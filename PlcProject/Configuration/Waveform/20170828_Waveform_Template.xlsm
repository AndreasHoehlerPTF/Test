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W:\16 DCC\02 Projects\Steinemann AW-1751021\Development\Waveform\"/>
    </mc:Choice>
  </mc:AlternateContent>
  <bookViews>
    <workbookView xWindow="0" yWindow="2400" windowWidth="19140" windowHeight="6990"/>
  </bookViews>
  <sheets>
    <sheet name="Tabelle" sheetId="2" r:id="rId1"/>
    <sheet name="Defintions" sheetId="11" r:id="rId2"/>
    <sheet name="Waveform" sheetId="4" r:id="rId3"/>
    <sheet name="Waveform 1" sheetId="7" r:id="rId4"/>
    <sheet name="Waveform 2" sheetId="8" r:id="rId5"/>
    <sheet name="Waveform 3" sheetId="9" r:id="rId6"/>
    <sheet name="Waveform 4" sheetId="10" r:id="rId7"/>
  </sheets>
  <functionGroups builtInGroupCount="18"/>
  <definedNames>
    <definedName name="DAC_LIMIT_MAX">Defintions!$C$20</definedName>
    <definedName name="DAC_LIMIT_MIN">Defintions!$B$20</definedName>
    <definedName name="GAIN_POWERAMP">Defintions!$B$15</definedName>
    <definedName name="GAIN_PREAMP">Defintions!$B$14</definedName>
    <definedName name="HW_LIMIT_MAX">Defintions!$C$21</definedName>
    <definedName name="HW_LIMIT_MIN">Defintions!$B$21</definedName>
    <definedName name="OFFSET_AMP">Defintions!$B$16</definedName>
    <definedName name="PH_FIRE_VOLTAGE_AMPLITUDE">Defintions!$B$13</definedName>
    <definedName name="PH_FIRE_VOLTAGE_OFFSET">Defintions!$B$12</definedName>
    <definedName name="U2_U4_Yref">#REF!</definedName>
    <definedName name="U2_Xref">#REF!</definedName>
    <definedName name="U3_U4_Xshift">#REF!</definedName>
    <definedName name="x_pattern_sequence">#REF!</definedName>
  </definedNames>
  <calcPr calcId="162913"/>
</workbook>
</file>

<file path=xl/calcChain.xml><?xml version="1.0" encoding="utf-8"?>
<calcChain xmlns="http://schemas.openxmlformats.org/spreadsheetml/2006/main">
  <c r="Y6" i="2" l="1"/>
  <c r="AG6" i="2" s="1"/>
  <c r="AJ1555" i="2" l="1"/>
  <c r="AJ1556" i="2"/>
  <c r="AJ1557" i="2"/>
  <c r="AJ1558" i="2"/>
  <c r="AJ1559" i="2"/>
  <c r="AJ1560" i="2"/>
  <c r="AJ1561" i="2"/>
  <c r="AJ1562" i="2"/>
  <c r="AJ1563" i="2"/>
  <c r="AJ1564" i="2"/>
  <c r="AJ1565" i="2"/>
  <c r="AJ1566" i="2"/>
  <c r="AJ1567" i="2"/>
  <c r="AJ1568" i="2"/>
  <c r="AJ1569" i="2"/>
  <c r="AJ1570" i="2"/>
  <c r="AJ1571" i="2"/>
  <c r="AJ1572" i="2"/>
  <c r="AJ1573" i="2"/>
  <c r="AJ1574" i="2"/>
  <c r="AJ1595" i="2"/>
  <c r="AJ1596" i="2"/>
  <c r="AJ1597" i="2"/>
  <c r="AJ1598" i="2"/>
  <c r="AJ1599" i="2"/>
  <c r="AJ1600" i="2"/>
  <c r="AJ1601" i="2"/>
  <c r="AJ1602" i="2"/>
  <c r="AJ1603" i="2"/>
  <c r="AJ1604" i="2"/>
  <c r="AJ1605" i="2"/>
  <c r="AJ1606" i="2"/>
  <c r="AJ1607" i="2"/>
  <c r="AJ1608" i="2"/>
  <c r="AJ1609" i="2"/>
  <c r="AJ1610" i="2"/>
  <c r="AJ1611" i="2"/>
  <c r="AJ1612" i="2"/>
  <c r="AJ1613" i="2"/>
  <c r="AJ1614" i="2"/>
  <c r="AJ1615" i="2"/>
  <c r="AJ1616" i="2"/>
  <c r="AJ1637" i="2"/>
  <c r="AJ1638" i="2"/>
  <c r="AJ1639" i="2"/>
  <c r="AJ1640" i="2"/>
  <c r="AJ1641" i="2"/>
  <c r="AJ1642" i="2"/>
  <c r="AJ1643" i="2"/>
  <c r="AJ1644" i="2"/>
  <c r="AJ1645" i="2"/>
  <c r="AJ1646" i="2"/>
  <c r="AJ1647" i="2"/>
  <c r="AJ1648" i="2"/>
  <c r="AJ1649" i="2"/>
  <c r="AJ1650" i="2"/>
  <c r="AJ1671" i="2"/>
  <c r="AJ1672" i="2"/>
  <c r="AJ1673" i="2"/>
  <c r="AJ1674" i="2"/>
  <c r="AJ1675" i="2"/>
  <c r="AJ1676" i="2"/>
  <c r="AJ1677" i="2"/>
  <c r="AJ1678" i="2"/>
  <c r="AJ1679" i="2"/>
  <c r="AJ1680" i="2"/>
  <c r="AJ1681" i="2"/>
  <c r="AJ1682" i="2"/>
  <c r="AJ1683" i="2"/>
  <c r="AJ1684" i="2"/>
  <c r="AJ1685" i="2"/>
  <c r="AJ1686" i="2"/>
  <c r="AJ1687" i="2"/>
  <c r="AJ1688" i="2"/>
  <c r="AJ1689" i="2"/>
  <c r="AJ1690" i="2"/>
  <c r="AJ1691" i="2"/>
  <c r="AJ1692" i="2"/>
  <c r="AJ1713" i="2"/>
  <c r="AJ1714" i="2"/>
  <c r="AJ1715" i="2"/>
  <c r="AJ1716" i="2"/>
  <c r="AJ1717" i="2"/>
  <c r="AJ1718" i="2"/>
  <c r="AJ1719" i="2"/>
  <c r="AJ1720" i="2"/>
  <c r="AJ1721" i="2"/>
  <c r="AJ1722" i="2"/>
  <c r="AJ1723" i="2"/>
  <c r="AJ1724" i="2"/>
  <c r="AJ1725" i="2"/>
  <c r="AJ1726" i="2"/>
  <c r="AJ1747" i="2"/>
  <c r="AJ1748" i="2"/>
  <c r="AJ1749" i="2"/>
  <c r="AJ1750" i="2"/>
  <c r="AJ1751" i="2"/>
  <c r="AJ1752" i="2"/>
  <c r="AJ1753" i="2"/>
  <c r="AJ1754" i="2"/>
  <c r="AJ1755" i="2"/>
  <c r="AJ1756" i="2"/>
  <c r="AJ1757" i="2"/>
  <c r="AJ1758" i="2"/>
  <c r="AJ1759" i="2"/>
  <c r="AJ1760" i="2"/>
  <c r="AJ1761" i="2"/>
  <c r="AJ1762" i="2"/>
  <c r="AJ1763" i="2"/>
  <c r="AJ1764" i="2"/>
  <c r="AJ1765" i="2"/>
  <c r="AJ1766" i="2"/>
  <c r="AJ1767" i="2"/>
  <c r="AJ1768" i="2"/>
  <c r="AJ1789" i="2"/>
  <c r="AJ1790" i="2"/>
  <c r="AJ1791" i="2"/>
  <c r="AJ1792" i="2"/>
  <c r="AJ1793" i="2"/>
  <c r="AJ1794" i="2"/>
  <c r="AJ1795" i="2"/>
  <c r="AJ1796" i="2"/>
  <c r="AJ1797" i="2"/>
  <c r="AJ1798" i="2"/>
  <c r="AJ1799" i="2"/>
  <c r="AJ1800" i="2"/>
  <c r="AJ1801" i="2"/>
  <c r="AJ1802" i="2"/>
  <c r="AJ1823" i="2"/>
  <c r="AJ1824" i="2"/>
  <c r="AJ1825" i="2"/>
  <c r="AJ1826" i="2"/>
  <c r="AJ1827" i="2"/>
  <c r="AJ1828" i="2"/>
  <c r="AJ1829" i="2"/>
  <c r="AJ1830" i="2"/>
  <c r="AJ1831" i="2"/>
  <c r="AJ1832" i="2"/>
  <c r="AJ1833" i="2"/>
  <c r="AJ1834" i="2"/>
  <c r="AJ1835" i="2"/>
  <c r="AJ1836" i="2"/>
  <c r="AJ1837" i="2"/>
  <c r="AJ1838" i="2"/>
  <c r="AJ1839" i="2"/>
  <c r="AJ1840" i="2"/>
  <c r="AJ1841" i="2"/>
  <c r="AJ1842" i="2"/>
  <c r="AJ1843" i="2"/>
  <c r="AJ1844" i="2"/>
  <c r="AJ1865" i="2"/>
  <c r="AJ1866" i="2"/>
  <c r="AJ1867" i="2"/>
  <c r="AJ1868" i="2"/>
  <c r="AJ1869" i="2"/>
  <c r="AJ1870" i="2"/>
  <c r="AJ1871" i="2"/>
  <c r="AJ1872" i="2"/>
  <c r="AJ1873" i="2"/>
  <c r="AJ1874" i="2"/>
  <c r="AJ1875" i="2"/>
  <c r="AJ1876" i="2"/>
  <c r="AJ1877" i="2"/>
  <c r="AJ1878" i="2"/>
  <c r="AJ1899" i="2"/>
  <c r="AJ1900" i="2"/>
  <c r="AJ1901" i="2"/>
  <c r="AJ1902" i="2"/>
  <c r="AJ1903" i="2"/>
  <c r="AJ1904" i="2"/>
  <c r="AJ1905" i="2"/>
  <c r="AJ1906" i="2"/>
  <c r="AJ1907" i="2"/>
  <c r="AJ1908" i="2"/>
  <c r="AJ1909" i="2"/>
  <c r="AJ1910" i="2"/>
  <c r="AJ1911" i="2"/>
  <c r="AJ1912" i="2"/>
  <c r="AJ1913" i="2"/>
  <c r="AJ1914" i="2"/>
  <c r="AJ1915" i="2"/>
  <c r="AJ1916" i="2"/>
  <c r="AJ1917" i="2"/>
  <c r="AJ1918" i="2"/>
  <c r="AJ1919" i="2"/>
  <c r="AJ1920" i="2"/>
  <c r="AJ1941" i="2"/>
  <c r="AJ1942" i="2"/>
  <c r="AJ1943" i="2"/>
  <c r="AJ1944" i="2"/>
  <c r="AJ1945" i="2"/>
  <c r="AJ1946" i="2"/>
  <c r="AJ1947" i="2"/>
  <c r="AJ1948" i="2"/>
  <c r="AJ1949" i="2"/>
  <c r="AJ1950" i="2"/>
  <c r="AJ1951" i="2"/>
  <c r="AJ1952" i="2"/>
  <c r="AJ1953" i="2"/>
  <c r="AJ1954" i="2"/>
  <c r="AJ1955" i="2"/>
  <c r="AJ1956" i="2"/>
  <c r="AJ1957" i="2"/>
  <c r="AJ1958" i="2"/>
  <c r="AJ1959" i="2"/>
  <c r="AJ1960" i="2"/>
  <c r="AJ1961" i="2"/>
  <c r="AJ1962" i="2"/>
  <c r="AJ1963" i="2"/>
  <c r="AJ1964" i="2"/>
  <c r="AJ1965" i="2"/>
  <c r="AJ1966" i="2"/>
  <c r="AJ1967" i="2"/>
  <c r="AJ1968" i="2"/>
  <c r="AJ1969" i="2"/>
  <c r="AJ1970" i="2"/>
  <c r="AJ1971" i="2"/>
  <c r="AJ1972" i="2"/>
  <c r="AJ1973" i="2"/>
  <c r="AJ1974" i="2"/>
  <c r="AJ1975" i="2"/>
  <c r="AJ1976" i="2"/>
  <c r="AJ1977" i="2"/>
  <c r="AJ1978" i="2"/>
  <c r="AJ1979" i="2"/>
  <c r="AJ1980" i="2"/>
  <c r="AJ1981" i="2"/>
  <c r="AJ1982" i="2"/>
  <c r="AJ1983" i="2"/>
  <c r="AJ1984" i="2"/>
  <c r="AJ1985" i="2"/>
  <c r="AJ1986" i="2"/>
  <c r="AJ1987" i="2"/>
  <c r="AJ1988" i="2"/>
  <c r="AJ1989" i="2"/>
  <c r="AJ1990" i="2"/>
  <c r="AJ1991" i="2"/>
  <c r="AJ1992" i="2"/>
  <c r="AJ1993" i="2"/>
  <c r="AJ1994" i="2"/>
  <c r="AJ1995" i="2"/>
  <c r="AJ1996" i="2"/>
  <c r="AJ1997" i="2"/>
  <c r="AJ1998" i="2"/>
  <c r="AJ1999" i="2"/>
  <c r="AJ2000" i="2"/>
  <c r="AJ2001" i="2"/>
  <c r="AJ2002" i="2"/>
  <c r="AJ2003" i="2"/>
  <c r="AJ2004" i="2"/>
  <c r="AJ2005" i="2"/>
  <c r="AJ2006" i="2"/>
  <c r="AJ2007" i="2"/>
  <c r="AJ2008" i="2"/>
  <c r="AJ2009" i="2"/>
  <c r="AJ2010" i="2"/>
  <c r="AJ2011" i="2"/>
  <c r="AJ2012" i="2"/>
  <c r="AJ2013" i="2"/>
  <c r="AJ2014" i="2"/>
  <c r="AJ2015" i="2"/>
  <c r="AJ2016" i="2"/>
  <c r="AJ2017" i="2"/>
  <c r="AJ2018" i="2"/>
  <c r="AJ2019" i="2"/>
  <c r="AJ2020" i="2"/>
  <c r="AJ2021" i="2"/>
  <c r="AJ2022" i="2"/>
  <c r="AJ2023" i="2"/>
  <c r="AJ2024" i="2"/>
  <c r="AJ2025" i="2"/>
  <c r="AJ2026" i="2"/>
  <c r="AJ2027" i="2"/>
  <c r="AJ2028" i="2"/>
  <c r="AJ2029" i="2"/>
  <c r="AJ2030" i="2"/>
  <c r="AJ2031" i="2"/>
  <c r="AJ2032" i="2"/>
  <c r="AJ2033" i="2"/>
  <c r="AJ2034" i="2"/>
  <c r="AJ2035" i="2"/>
  <c r="AJ2036" i="2"/>
  <c r="AJ2037" i="2"/>
  <c r="AJ2038" i="2"/>
  <c r="AJ2039" i="2"/>
  <c r="AJ2040" i="2"/>
  <c r="AJ2041" i="2"/>
  <c r="AJ2042" i="2"/>
  <c r="AJ2043" i="2"/>
  <c r="AJ2044" i="2"/>
  <c r="AJ2045" i="2"/>
  <c r="AJ2046" i="2"/>
  <c r="AJ2047" i="2"/>
  <c r="AJ2048" i="2"/>
  <c r="AJ2049" i="2"/>
  <c r="AJ2050" i="2"/>
  <c r="AJ2051" i="2"/>
  <c r="AJ2052" i="2"/>
  <c r="AJ2053" i="2"/>
  <c r="AJ2054" i="2"/>
  <c r="AJ2055" i="2"/>
  <c r="AJ2056" i="2"/>
  <c r="AJ2057" i="2"/>
  <c r="AJ2058" i="2"/>
  <c r="AJ2059" i="2"/>
  <c r="AJ2060" i="2"/>
  <c r="AJ2061" i="2"/>
  <c r="AJ2062" i="2"/>
  <c r="AJ2063" i="2"/>
  <c r="AJ2064" i="2"/>
  <c r="AJ2065" i="2"/>
  <c r="AJ1554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1423" i="2"/>
  <c r="AJ1424" i="2"/>
  <c r="AJ1425" i="2"/>
  <c r="AJ1426" i="2"/>
  <c r="AJ1427" i="2"/>
  <c r="AJ1428" i="2"/>
  <c r="AJ1429" i="2"/>
  <c r="AJ1430" i="2"/>
  <c r="AJ1431" i="2"/>
  <c r="AJ1432" i="2"/>
  <c r="AJ1433" i="2"/>
  <c r="AJ1434" i="2"/>
  <c r="AJ1435" i="2"/>
  <c r="AJ1436" i="2"/>
  <c r="AJ1437" i="2"/>
  <c r="AJ1438" i="2"/>
  <c r="AJ1439" i="2"/>
  <c r="AJ1440" i="2"/>
  <c r="AJ1441" i="2"/>
  <c r="AJ1442" i="2"/>
  <c r="AJ1443" i="2"/>
  <c r="AJ1444" i="2"/>
  <c r="AJ1445" i="2"/>
  <c r="AJ1446" i="2"/>
  <c r="AJ1447" i="2"/>
  <c r="AJ1448" i="2"/>
  <c r="AJ1449" i="2"/>
  <c r="AJ1450" i="2"/>
  <c r="AJ1451" i="2"/>
  <c r="AJ1452" i="2"/>
  <c r="AJ1453" i="2"/>
  <c r="AJ1454" i="2"/>
  <c r="AJ1455" i="2"/>
  <c r="AJ1456" i="2"/>
  <c r="AJ1457" i="2"/>
  <c r="AJ1458" i="2"/>
  <c r="AJ1459" i="2"/>
  <c r="AJ1460" i="2"/>
  <c r="AJ1461" i="2"/>
  <c r="AJ1462" i="2"/>
  <c r="AJ1463" i="2"/>
  <c r="AJ1464" i="2"/>
  <c r="AJ1465" i="2"/>
  <c r="AJ1466" i="2"/>
  <c r="AJ1467" i="2"/>
  <c r="AJ1468" i="2"/>
  <c r="AJ1469" i="2"/>
  <c r="AJ1470" i="2"/>
  <c r="AJ1471" i="2"/>
  <c r="AJ1472" i="2"/>
  <c r="AJ1473" i="2"/>
  <c r="AJ1474" i="2"/>
  <c r="AJ1475" i="2"/>
  <c r="AJ1476" i="2"/>
  <c r="AJ1477" i="2"/>
  <c r="AJ1478" i="2"/>
  <c r="AJ1479" i="2"/>
  <c r="AJ1480" i="2"/>
  <c r="AJ1481" i="2"/>
  <c r="AJ1482" i="2"/>
  <c r="AJ1483" i="2"/>
  <c r="AJ1484" i="2"/>
  <c r="AJ1485" i="2"/>
  <c r="AJ1486" i="2"/>
  <c r="AJ1487" i="2"/>
  <c r="AJ1488" i="2"/>
  <c r="AJ1489" i="2"/>
  <c r="AJ1490" i="2"/>
  <c r="AJ1491" i="2"/>
  <c r="AJ1492" i="2"/>
  <c r="AJ1493" i="2"/>
  <c r="AJ1494" i="2"/>
  <c r="AJ1495" i="2"/>
  <c r="AJ1496" i="2"/>
  <c r="AJ1497" i="2"/>
  <c r="AJ1498" i="2"/>
  <c r="AJ1499" i="2"/>
  <c r="AJ1500" i="2"/>
  <c r="AJ1501" i="2"/>
  <c r="AJ1502" i="2"/>
  <c r="AJ1503" i="2"/>
  <c r="AJ1504" i="2"/>
  <c r="AJ1505" i="2"/>
  <c r="AJ1506" i="2"/>
  <c r="AJ1507" i="2"/>
  <c r="AJ1508" i="2"/>
  <c r="AJ1509" i="2"/>
  <c r="AJ1510" i="2"/>
  <c r="AJ1511" i="2"/>
  <c r="AJ1512" i="2"/>
  <c r="AJ1513" i="2"/>
  <c r="AJ1514" i="2"/>
  <c r="AJ1515" i="2"/>
  <c r="AJ1516" i="2"/>
  <c r="AJ1517" i="2"/>
  <c r="AJ1518" i="2"/>
  <c r="AJ1519" i="2"/>
  <c r="AJ1520" i="2"/>
  <c r="AJ1521" i="2"/>
  <c r="AJ1522" i="2"/>
  <c r="AJ1523" i="2"/>
  <c r="AJ1524" i="2"/>
  <c r="AJ1525" i="2"/>
  <c r="AJ1526" i="2"/>
  <c r="AJ1527" i="2"/>
  <c r="AJ1528" i="2"/>
  <c r="AJ1529" i="2"/>
  <c r="AJ1530" i="2"/>
  <c r="AJ1531" i="2"/>
  <c r="AJ1532" i="2"/>
  <c r="AJ1533" i="2"/>
  <c r="AJ1534" i="2"/>
  <c r="AJ1535" i="2"/>
  <c r="AJ1536" i="2"/>
  <c r="AJ1537" i="2"/>
  <c r="AJ1538" i="2"/>
  <c r="AJ1539" i="2"/>
  <c r="AJ1540" i="2"/>
  <c r="AJ1541" i="2"/>
  <c r="AJ1542" i="2"/>
  <c r="AJ1543" i="2"/>
  <c r="AJ1544" i="2"/>
  <c r="AJ1545" i="2"/>
  <c r="AJ1546" i="2"/>
  <c r="AJ1547" i="2"/>
  <c r="AJ1548" i="2"/>
  <c r="AJ1549" i="2"/>
  <c r="AJ1550" i="2"/>
  <c r="AJ1551" i="2"/>
  <c r="AJ1552" i="2"/>
  <c r="AJ1553" i="2"/>
  <c r="AJ1042" i="2"/>
  <c r="AJ1041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530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18" i="2"/>
  <c r="S10" i="2"/>
  <c r="AJ7" i="2"/>
  <c r="AJ6" i="2"/>
  <c r="S11" i="2"/>
  <c r="Y7" i="2"/>
  <c r="Y8" i="2"/>
  <c r="Y9" i="2"/>
  <c r="AB7" i="2"/>
  <c r="AB6" i="2"/>
  <c r="K11" i="2"/>
  <c r="K10" i="2"/>
  <c r="Y290" i="2" l="1"/>
  <c r="Z290" i="2" s="1"/>
  <c r="AG7" i="2"/>
  <c r="AG8" i="2"/>
  <c r="AG9" i="2"/>
  <c r="I432" i="2"/>
  <c r="J432" i="2" s="1"/>
  <c r="Q70" i="2"/>
  <c r="R70" i="2" s="1"/>
  <c r="I496" i="2"/>
  <c r="J496" i="2" s="1"/>
  <c r="I368" i="2"/>
  <c r="J368" i="2" s="1"/>
  <c r="I304" i="2"/>
  <c r="J304" i="2" s="1"/>
  <c r="I240" i="2"/>
  <c r="J240" i="2" s="1"/>
  <c r="I142" i="2"/>
  <c r="J142" i="2" s="1"/>
  <c r="I488" i="2"/>
  <c r="J488" i="2" s="1"/>
  <c r="I424" i="2"/>
  <c r="J424" i="2" s="1"/>
  <c r="I360" i="2"/>
  <c r="J360" i="2" s="1"/>
  <c r="I296" i="2"/>
  <c r="J296" i="2" s="1"/>
  <c r="I232" i="2"/>
  <c r="J232" i="2" s="1"/>
  <c r="I125" i="2"/>
  <c r="J125" i="2" s="1"/>
  <c r="Q111" i="2"/>
  <c r="R111" i="2" s="1"/>
  <c r="I480" i="2"/>
  <c r="J480" i="2" s="1"/>
  <c r="I416" i="2"/>
  <c r="J416" i="2" s="1"/>
  <c r="I352" i="2"/>
  <c r="J352" i="2" s="1"/>
  <c r="I288" i="2"/>
  <c r="J288" i="2" s="1"/>
  <c r="I223" i="2"/>
  <c r="J223" i="2" s="1"/>
  <c r="I102" i="2"/>
  <c r="J102" i="2" s="1"/>
  <c r="Q174" i="2"/>
  <c r="R174" i="2" s="1"/>
  <c r="I529" i="2"/>
  <c r="J529" i="2" s="1"/>
  <c r="I472" i="2"/>
  <c r="J472" i="2" s="1"/>
  <c r="I408" i="2"/>
  <c r="J408" i="2" s="1"/>
  <c r="I344" i="2"/>
  <c r="J344" i="2" s="1"/>
  <c r="I280" i="2"/>
  <c r="J280" i="2" s="1"/>
  <c r="I213" i="2"/>
  <c r="J213" i="2" s="1"/>
  <c r="I83" i="2"/>
  <c r="J83" i="2" s="1"/>
  <c r="Q238" i="2"/>
  <c r="R238" i="2" s="1"/>
  <c r="I528" i="2"/>
  <c r="J528" i="2" s="1"/>
  <c r="I464" i="2"/>
  <c r="J464" i="2" s="1"/>
  <c r="I400" i="2"/>
  <c r="J400" i="2" s="1"/>
  <c r="I336" i="2"/>
  <c r="J336" i="2" s="1"/>
  <c r="I272" i="2"/>
  <c r="J272" i="2" s="1"/>
  <c r="I201" i="2"/>
  <c r="J201" i="2" s="1"/>
  <c r="I61" i="2"/>
  <c r="J61" i="2" s="1"/>
  <c r="Q302" i="2"/>
  <c r="R302" i="2" s="1"/>
  <c r="I520" i="2"/>
  <c r="J520" i="2" s="1"/>
  <c r="I456" i="2"/>
  <c r="J456" i="2" s="1"/>
  <c r="I392" i="2"/>
  <c r="J392" i="2" s="1"/>
  <c r="I328" i="2"/>
  <c r="J328" i="2" s="1"/>
  <c r="I264" i="2"/>
  <c r="J264" i="2" s="1"/>
  <c r="I189" i="2"/>
  <c r="J189" i="2" s="1"/>
  <c r="I38" i="2"/>
  <c r="J38" i="2" s="1"/>
  <c r="Q427" i="2"/>
  <c r="R427" i="2" s="1"/>
  <c r="I512" i="2"/>
  <c r="J512" i="2" s="1"/>
  <c r="I448" i="2"/>
  <c r="J448" i="2" s="1"/>
  <c r="I384" i="2"/>
  <c r="J384" i="2" s="1"/>
  <c r="I320" i="2"/>
  <c r="J320" i="2" s="1"/>
  <c r="I256" i="2"/>
  <c r="J256" i="2" s="1"/>
  <c r="I174" i="2"/>
  <c r="J174" i="2" s="1"/>
  <c r="I19" i="2"/>
  <c r="J19" i="2" s="1"/>
  <c r="Y152" i="2"/>
  <c r="Z152" i="2" s="1"/>
  <c r="I504" i="2"/>
  <c r="J504" i="2" s="1"/>
  <c r="I440" i="2"/>
  <c r="J440" i="2" s="1"/>
  <c r="I376" i="2"/>
  <c r="J376" i="2" s="1"/>
  <c r="I312" i="2"/>
  <c r="J312" i="2" s="1"/>
  <c r="I248" i="2"/>
  <c r="J248" i="2" s="1"/>
  <c r="I158" i="2"/>
  <c r="J158" i="2" s="1"/>
  <c r="Q39" i="2"/>
  <c r="R39" i="2" s="1"/>
  <c r="I527" i="2"/>
  <c r="J527" i="2" s="1"/>
  <c r="I519" i="2"/>
  <c r="J519" i="2" s="1"/>
  <c r="I511" i="2"/>
  <c r="J511" i="2" s="1"/>
  <c r="I503" i="2"/>
  <c r="J503" i="2" s="1"/>
  <c r="I495" i="2"/>
  <c r="J495" i="2" s="1"/>
  <c r="I487" i="2"/>
  <c r="J487" i="2" s="1"/>
  <c r="I479" i="2"/>
  <c r="J479" i="2" s="1"/>
  <c r="I471" i="2"/>
  <c r="J471" i="2" s="1"/>
  <c r="I463" i="2"/>
  <c r="J463" i="2" s="1"/>
  <c r="I455" i="2"/>
  <c r="J455" i="2" s="1"/>
  <c r="I447" i="2"/>
  <c r="J447" i="2" s="1"/>
  <c r="I439" i="2"/>
  <c r="J439" i="2" s="1"/>
  <c r="I431" i="2"/>
  <c r="J431" i="2" s="1"/>
  <c r="I423" i="2"/>
  <c r="J423" i="2" s="1"/>
  <c r="I415" i="2"/>
  <c r="J415" i="2" s="1"/>
  <c r="I407" i="2"/>
  <c r="J407" i="2" s="1"/>
  <c r="I399" i="2"/>
  <c r="J399" i="2" s="1"/>
  <c r="I391" i="2"/>
  <c r="J391" i="2" s="1"/>
  <c r="I383" i="2"/>
  <c r="J383" i="2" s="1"/>
  <c r="I375" i="2"/>
  <c r="J375" i="2" s="1"/>
  <c r="I367" i="2"/>
  <c r="J367" i="2" s="1"/>
  <c r="I359" i="2"/>
  <c r="J359" i="2" s="1"/>
  <c r="I351" i="2"/>
  <c r="J351" i="2" s="1"/>
  <c r="I343" i="2"/>
  <c r="J343" i="2" s="1"/>
  <c r="I335" i="2"/>
  <c r="J335" i="2" s="1"/>
  <c r="I327" i="2"/>
  <c r="J327" i="2" s="1"/>
  <c r="I319" i="2"/>
  <c r="J319" i="2" s="1"/>
  <c r="I311" i="2"/>
  <c r="J311" i="2" s="1"/>
  <c r="I303" i="2"/>
  <c r="J303" i="2" s="1"/>
  <c r="I295" i="2"/>
  <c r="J295" i="2" s="1"/>
  <c r="I287" i="2"/>
  <c r="J287" i="2" s="1"/>
  <c r="I279" i="2"/>
  <c r="J279" i="2" s="1"/>
  <c r="I271" i="2"/>
  <c r="J271" i="2" s="1"/>
  <c r="I263" i="2"/>
  <c r="J263" i="2" s="1"/>
  <c r="I255" i="2"/>
  <c r="J255" i="2" s="1"/>
  <c r="I247" i="2"/>
  <c r="J247" i="2" s="1"/>
  <c r="I239" i="2"/>
  <c r="J239" i="2" s="1"/>
  <c r="I231" i="2"/>
  <c r="J231" i="2" s="1"/>
  <c r="I222" i="2"/>
  <c r="J222" i="2" s="1"/>
  <c r="I211" i="2"/>
  <c r="J211" i="2" s="1"/>
  <c r="I199" i="2"/>
  <c r="J199" i="2" s="1"/>
  <c r="I187" i="2"/>
  <c r="J187" i="2" s="1"/>
  <c r="I173" i="2"/>
  <c r="J173" i="2" s="1"/>
  <c r="I157" i="2"/>
  <c r="J157" i="2" s="1"/>
  <c r="I141" i="2"/>
  <c r="J141" i="2" s="1"/>
  <c r="I123" i="2"/>
  <c r="J123" i="2" s="1"/>
  <c r="I101" i="2"/>
  <c r="J101" i="2" s="1"/>
  <c r="I78" i="2"/>
  <c r="J78" i="2" s="1"/>
  <c r="I59" i="2"/>
  <c r="J59" i="2" s="1"/>
  <c r="I37" i="2"/>
  <c r="J37" i="2" s="1"/>
  <c r="Q22" i="2"/>
  <c r="R22" i="2" s="1"/>
  <c r="Q41" i="2"/>
  <c r="R41" i="2" s="1"/>
  <c r="Q71" i="2"/>
  <c r="R71" i="2" s="1"/>
  <c r="Q119" i="2"/>
  <c r="R119" i="2" s="1"/>
  <c r="Q182" i="2"/>
  <c r="R182" i="2" s="1"/>
  <c r="Q246" i="2"/>
  <c r="R246" i="2" s="1"/>
  <c r="Q310" i="2"/>
  <c r="R310" i="2" s="1"/>
  <c r="Q446" i="2"/>
  <c r="R446" i="2" s="1"/>
  <c r="Y183" i="2"/>
  <c r="Z183" i="2" s="1"/>
  <c r="I526" i="2"/>
  <c r="J526" i="2" s="1"/>
  <c r="I518" i="2"/>
  <c r="J518" i="2" s="1"/>
  <c r="I510" i="2"/>
  <c r="J510" i="2" s="1"/>
  <c r="I502" i="2"/>
  <c r="J502" i="2" s="1"/>
  <c r="I494" i="2"/>
  <c r="J494" i="2" s="1"/>
  <c r="I486" i="2"/>
  <c r="J486" i="2" s="1"/>
  <c r="I478" i="2"/>
  <c r="J478" i="2" s="1"/>
  <c r="I470" i="2"/>
  <c r="J470" i="2" s="1"/>
  <c r="I462" i="2"/>
  <c r="J462" i="2" s="1"/>
  <c r="I454" i="2"/>
  <c r="J454" i="2" s="1"/>
  <c r="I446" i="2"/>
  <c r="J446" i="2" s="1"/>
  <c r="I438" i="2"/>
  <c r="J438" i="2" s="1"/>
  <c r="I430" i="2"/>
  <c r="J430" i="2" s="1"/>
  <c r="I422" i="2"/>
  <c r="J422" i="2" s="1"/>
  <c r="I414" i="2"/>
  <c r="J414" i="2" s="1"/>
  <c r="I406" i="2"/>
  <c r="J406" i="2" s="1"/>
  <c r="I398" i="2"/>
  <c r="J398" i="2" s="1"/>
  <c r="I390" i="2"/>
  <c r="J390" i="2" s="1"/>
  <c r="I382" i="2"/>
  <c r="J382" i="2" s="1"/>
  <c r="I374" i="2"/>
  <c r="J374" i="2" s="1"/>
  <c r="I366" i="2"/>
  <c r="J366" i="2" s="1"/>
  <c r="I358" i="2"/>
  <c r="J358" i="2" s="1"/>
  <c r="I350" i="2"/>
  <c r="J350" i="2" s="1"/>
  <c r="I342" i="2"/>
  <c r="J342" i="2" s="1"/>
  <c r="I334" i="2"/>
  <c r="J334" i="2" s="1"/>
  <c r="I326" i="2"/>
  <c r="J326" i="2" s="1"/>
  <c r="I318" i="2"/>
  <c r="J318" i="2" s="1"/>
  <c r="I310" i="2"/>
  <c r="J310" i="2" s="1"/>
  <c r="I302" i="2"/>
  <c r="J302" i="2" s="1"/>
  <c r="I294" i="2"/>
  <c r="J294" i="2" s="1"/>
  <c r="I286" i="2"/>
  <c r="J286" i="2" s="1"/>
  <c r="I278" i="2"/>
  <c r="J278" i="2" s="1"/>
  <c r="I270" i="2"/>
  <c r="J270" i="2" s="1"/>
  <c r="I262" i="2"/>
  <c r="J262" i="2" s="1"/>
  <c r="I254" i="2"/>
  <c r="J254" i="2" s="1"/>
  <c r="I246" i="2"/>
  <c r="J246" i="2" s="1"/>
  <c r="I238" i="2"/>
  <c r="J238" i="2" s="1"/>
  <c r="I230" i="2"/>
  <c r="J230" i="2" s="1"/>
  <c r="I221" i="2"/>
  <c r="J221" i="2" s="1"/>
  <c r="I210" i="2"/>
  <c r="J210" i="2" s="1"/>
  <c r="I198" i="2"/>
  <c r="J198" i="2" s="1"/>
  <c r="I185" i="2"/>
  <c r="J185" i="2" s="1"/>
  <c r="I171" i="2"/>
  <c r="J171" i="2" s="1"/>
  <c r="I155" i="2"/>
  <c r="J155" i="2" s="1"/>
  <c r="I139" i="2"/>
  <c r="J139" i="2" s="1"/>
  <c r="I118" i="2"/>
  <c r="J118" i="2" s="1"/>
  <c r="I99" i="2"/>
  <c r="J99" i="2" s="1"/>
  <c r="I77" i="2"/>
  <c r="J77" i="2" s="1"/>
  <c r="I54" i="2"/>
  <c r="J54" i="2" s="1"/>
  <c r="I35" i="2"/>
  <c r="J35" i="2" s="1"/>
  <c r="Q23" i="2"/>
  <c r="R23" i="2" s="1"/>
  <c r="Q46" i="2"/>
  <c r="R46" i="2" s="1"/>
  <c r="Q78" i="2"/>
  <c r="R78" i="2" s="1"/>
  <c r="Q127" i="2"/>
  <c r="R127" i="2" s="1"/>
  <c r="Q190" i="2"/>
  <c r="R190" i="2" s="1"/>
  <c r="Q254" i="2"/>
  <c r="R254" i="2" s="1"/>
  <c r="Q321" i="2"/>
  <c r="R321" i="2" s="1"/>
  <c r="Q478" i="2"/>
  <c r="R478" i="2" s="1"/>
  <c r="Y213" i="2"/>
  <c r="Z213" i="2" s="1"/>
  <c r="I525" i="2"/>
  <c r="J525" i="2" s="1"/>
  <c r="I517" i="2"/>
  <c r="J517" i="2" s="1"/>
  <c r="I509" i="2"/>
  <c r="J509" i="2" s="1"/>
  <c r="I501" i="2"/>
  <c r="J501" i="2" s="1"/>
  <c r="I493" i="2"/>
  <c r="J493" i="2" s="1"/>
  <c r="I485" i="2"/>
  <c r="J485" i="2" s="1"/>
  <c r="I477" i="2"/>
  <c r="J477" i="2" s="1"/>
  <c r="I469" i="2"/>
  <c r="J469" i="2" s="1"/>
  <c r="I461" i="2"/>
  <c r="J461" i="2" s="1"/>
  <c r="I453" i="2"/>
  <c r="J453" i="2" s="1"/>
  <c r="I445" i="2"/>
  <c r="J445" i="2" s="1"/>
  <c r="I437" i="2"/>
  <c r="J437" i="2" s="1"/>
  <c r="I429" i="2"/>
  <c r="J429" i="2" s="1"/>
  <c r="I421" i="2"/>
  <c r="J421" i="2" s="1"/>
  <c r="I413" i="2"/>
  <c r="J413" i="2" s="1"/>
  <c r="I405" i="2"/>
  <c r="J405" i="2" s="1"/>
  <c r="I397" i="2"/>
  <c r="J397" i="2" s="1"/>
  <c r="I389" i="2"/>
  <c r="J389" i="2" s="1"/>
  <c r="I381" i="2"/>
  <c r="J381" i="2" s="1"/>
  <c r="I373" i="2"/>
  <c r="J373" i="2" s="1"/>
  <c r="I365" i="2"/>
  <c r="J365" i="2" s="1"/>
  <c r="I357" i="2"/>
  <c r="J357" i="2" s="1"/>
  <c r="I349" i="2"/>
  <c r="J349" i="2" s="1"/>
  <c r="I341" i="2"/>
  <c r="J341" i="2" s="1"/>
  <c r="I333" i="2"/>
  <c r="J333" i="2" s="1"/>
  <c r="I325" i="2"/>
  <c r="J325" i="2" s="1"/>
  <c r="I317" i="2"/>
  <c r="J317" i="2" s="1"/>
  <c r="I309" i="2"/>
  <c r="J309" i="2" s="1"/>
  <c r="I301" i="2"/>
  <c r="J301" i="2" s="1"/>
  <c r="I293" i="2"/>
  <c r="J293" i="2" s="1"/>
  <c r="I285" i="2"/>
  <c r="J285" i="2" s="1"/>
  <c r="I277" i="2"/>
  <c r="J277" i="2" s="1"/>
  <c r="I269" i="2"/>
  <c r="J269" i="2" s="1"/>
  <c r="I261" i="2"/>
  <c r="J261" i="2" s="1"/>
  <c r="I253" i="2"/>
  <c r="J253" i="2" s="1"/>
  <c r="I245" i="2"/>
  <c r="J245" i="2" s="1"/>
  <c r="I237" i="2"/>
  <c r="J237" i="2" s="1"/>
  <c r="I229" i="2"/>
  <c r="J229" i="2" s="1"/>
  <c r="I219" i="2"/>
  <c r="J219" i="2" s="1"/>
  <c r="I209" i="2"/>
  <c r="J209" i="2" s="1"/>
  <c r="I197" i="2"/>
  <c r="J197" i="2" s="1"/>
  <c r="I183" i="2"/>
  <c r="J183" i="2" s="1"/>
  <c r="I169" i="2"/>
  <c r="J169" i="2" s="1"/>
  <c r="I153" i="2"/>
  <c r="J153" i="2" s="1"/>
  <c r="I137" i="2"/>
  <c r="J137" i="2" s="1"/>
  <c r="I117" i="2"/>
  <c r="J117" i="2" s="1"/>
  <c r="I94" i="2"/>
  <c r="J94" i="2" s="1"/>
  <c r="I75" i="2"/>
  <c r="J75" i="2" s="1"/>
  <c r="I53" i="2"/>
  <c r="J53" i="2" s="1"/>
  <c r="I30" i="2"/>
  <c r="J30" i="2" s="1"/>
  <c r="Q25" i="2"/>
  <c r="R25" i="2" s="1"/>
  <c r="Q47" i="2"/>
  <c r="R47" i="2" s="1"/>
  <c r="Q79" i="2"/>
  <c r="R79" i="2" s="1"/>
  <c r="Q135" i="2"/>
  <c r="R135" i="2" s="1"/>
  <c r="Q198" i="2"/>
  <c r="R198" i="2" s="1"/>
  <c r="Q262" i="2"/>
  <c r="R262" i="2" s="1"/>
  <c r="Q334" i="2"/>
  <c r="R334" i="2" s="1"/>
  <c r="Q510" i="2"/>
  <c r="R510" i="2" s="1"/>
  <c r="I524" i="2"/>
  <c r="J524" i="2" s="1"/>
  <c r="I516" i="2"/>
  <c r="J516" i="2" s="1"/>
  <c r="I508" i="2"/>
  <c r="J508" i="2" s="1"/>
  <c r="I500" i="2"/>
  <c r="J500" i="2" s="1"/>
  <c r="I492" i="2"/>
  <c r="J492" i="2" s="1"/>
  <c r="I484" i="2"/>
  <c r="J484" i="2" s="1"/>
  <c r="I476" i="2"/>
  <c r="J476" i="2" s="1"/>
  <c r="I468" i="2"/>
  <c r="J468" i="2" s="1"/>
  <c r="I460" i="2"/>
  <c r="J460" i="2" s="1"/>
  <c r="I452" i="2"/>
  <c r="J452" i="2" s="1"/>
  <c r="I444" i="2"/>
  <c r="J444" i="2" s="1"/>
  <c r="I436" i="2"/>
  <c r="J436" i="2" s="1"/>
  <c r="I428" i="2"/>
  <c r="J428" i="2" s="1"/>
  <c r="I420" i="2"/>
  <c r="J420" i="2" s="1"/>
  <c r="I412" i="2"/>
  <c r="J412" i="2" s="1"/>
  <c r="I404" i="2"/>
  <c r="J404" i="2" s="1"/>
  <c r="I396" i="2"/>
  <c r="J396" i="2" s="1"/>
  <c r="I388" i="2"/>
  <c r="J388" i="2" s="1"/>
  <c r="I380" i="2"/>
  <c r="J380" i="2" s="1"/>
  <c r="I372" i="2"/>
  <c r="J372" i="2" s="1"/>
  <c r="I364" i="2"/>
  <c r="J364" i="2" s="1"/>
  <c r="I356" i="2"/>
  <c r="J356" i="2" s="1"/>
  <c r="I348" i="2"/>
  <c r="J348" i="2" s="1"/>
  <c r="I340" i="2"/>
  <c r="J340" i="2" s="1"/>
  <c r="I332" i="2"/>
  <c r="J332" i="2" s="1"/>
  <c r="I324" i="2"/>
  <c r="J324" i="2" s="1"/>
  <c r="I316" i="2"/>
  <c r="J316" i="2" s="1"/>
  <c r="I308" i="2"/>
  <c r="J308" i="2" s="1"/>
  <c r="I300" i="2"/>
  <c r="J300" i="2" s="1"/>
  <c r="I292" i="2"/>
  <c r="J292" i="2" s="1"/>
  <c r="I284" i="2"/>
  <c r="J284" i="2" s="1"/>
  <c r="I276" i="2"/>
  <c r="J276" i="2" s="1"/>
  <c r="I268" i="2"/>
  <c r="J268" i="2" s="1"/>
  <c r="I260" i="2"/>
  <c r="J260" i="2" s="1"/>
  <c r="I252" i="2"/>
  <c r="J252" i="2" s="1"/>
  <c r="I244" i="2"/>
  <c r="J244" i="2" s="1"/>
  <c r="I236" i="2"/>
  <c r="J236" i="2" s="1"/>
  <c r="I228" i="2"/>
  <c r="J228" i="2" s="1"/>
  <c r="I218" i="2"/>
  <c r="J218" i="2" s="1"/>
  <c r="I207" i="2"/>
  <c r="J207" i="2" s="1"/>
  <c r="I195" i="2"/>
  <c r="J195" i="2" s="1"/>
  <c r="I182" i="2"/>
  <c r="J182" i="2" s="1"/>
  <c r="I166" i="2"/>
  <c r="J166" i="2" s="1"/>
  <c r="I150" i="2"/>
  <c r="J150" i="2" s="1"/>
  <c r="I134" i="2"/>
  <c r="J134" i="2" s="1"/>
  <c r="I115" i="2"/>
  <c r="J115" i="2" s="1"/>
  <c r="I93" i="2"/>
  <c r="J93" i="2" s="1"/>
  <c r="I70" i="2"/>
  <c r="J70" i="2" s="1"/>
  <c r="I51" i="2"/>
  <c r="J51" i="2" s="1"/>
  <c r="I29" i="2"/>
  <c r="J29" i="2" s="1"/>
  <c r="Q30" i="2"/>
  <c r="R30" i="2" s="1"/>
  <c r="Q54" i="2"/>
  <c r="R54" i="2" s="1"/>
  <c r="Q86" i="2"/>
  <c r="R86" i="2" s="1"/>
  <c r="Q143" i="2"/>
  <c r="R143" i="2" s="1"/>
  <c r="Q206" i="2"/>
  <c r="R206" i="2" s="1"/>
  <c r="Q270" i="2"/>
  <c r="R270" i="2" s="1"/>
  <c r="Q350" i="2"/>
  <c r="R350" i="2" s="1"/>
  <c r="Y30" i="2"/>
  <c r="Z30" i="2" s="1"/>
  <c r="AG522" i="2"/>
  <c r="AH522" i="2" s="1"/>
  <c r="AG514" i="2"/>
  <c r="AH514" i="2" s="1"/>
  <c r="AG506" i="2"/>
  <c r="AH506" i="2" s="1"/>
  <c r="AG498" i="2"/>
  <c r="AH498" i="2" s="1"/>
  <c r="AG490" i="2"/>
  <c r="AH490" i="2" s="1"/>
  <c r="AG482" i="2"/>
  <c r="AH482" i="2" s="1"/>
  <c r="AG474" i="2"/>
  <c r="AH474" i="2" s="1"/>
  <c r="AG466" i="2"/>
  <c r="AH466" i="2" s="1"/>
  <c r="AG458" i="2"/>
  <c r="AH458" i="2" s="1"/>
  <c r="AG450" i="2"/>
  <c r="AH450" i="2" s="1"/>
  <c r="AG442" i="2"/>
  <c r="AH442" i="2" s="1"/>
  <c r="AG434" i="2"/>
  <c r="AH434" i="2" s="1"/>
  <c r="AG426" i="2"/>
  <c r="AH426" i="2" s="1"/>
  <c r="AG418" i="2"/>
  <c r="AH418" i="2" s="1"/>
  <c r="AG410" i="2"/>
  <c r="AH410" i="2" s="1"/>
  <c r="AG378" i="2"/>
  <c r="AH378" i="2" s="1"/>
  <c r="AG370" i="2"/>
  <c r="AH370" i="2" s="1"/>
  <c r="AG338" i="2"/>
  <c r="AH338" i="2" s="1"/>
  <c r="AG330" i="2"/>
  <c r="AH330" i="2" s="1"/>
  <c r="AG306" i="2"/>
  <c r="AH306" i="2" s="1"/>
  <c r="AG298" i="2"/>
  <c r="AH298" i="2" s="1"/>
  <c r="AG290" i="2"/>
  <c r="AH290" i="2" s="1"/>
  <c r="AG266" i="2"/>
  <c r="AH266" i="2" s="1"/>
  <c r="AG258" i="2"/>
  <c r="AH258" i="2" s="1"/>
  <c r="AG226" i="2"/>
  <c r="AH226" i="2" s="1"/>
  <c r="AG218" i="2"/>
  <c r="AH218" i="2" s="1"/>
  <c r="AG186" i="2"/>
  <c r="AH186" i="2" s="1"/>
  <c r="AG179" i="2"/>
  <c r="AH179" i="2" s="1"/>
  <c r="AG156" i="2"/>
  <c r="AH156" i="2" s="1"/>
  <c r="AG148" i="2"/>
  <c r="AH148" i="2" s="1"/>
  <c r="AG140" i="2"/>
  <c r="AH140" i="2" s="1"/>
  <c r="AG101" i="2"/>
  <c r="AH101" i="2" s="1"/>
  <c r="AG77" i="2"/>
  <c r="AH77" i="2" s="1"/>
  <c r="AG69" i="2"/>
  <c r="AH69" i="2" s="1"/>
  <c r="AG61" i="2"/>
  <c r="AH61" i="2" s="1"/>
  <c r="AG38" i="2"/>
  <c r="AH38" i="2" s="1"/>
  <c r="AG31" i="2"/>
  <c r="AH31" i="2" s="1"/>
  <c r="AG23" i="2"/>
  <c r="AH23" i="2" s="1"/>
  <c r="Y528" i="2"/>
  <c r="Z528" i="2" s="1"/>
  <c r="Y520" i="2"/>
  <c r="Z520" i="2" s="1"/>
  <c r="Y512" i="2"/>
  <c r="Z512" i="2" s="1"/>
  <c r="Y505" i="2"/>
  <c r="Z505" i="2" s="1"/>
  <c r="Y498" i="2"/>
  <c r="Z498" i="2" s="1"/>
  <c r="Y490" i="2"/>
  <c r="Z490" i="2" s="1"/>
  <c r="Y483" i="2"/>
  <c r="Z483" i="2" s="1"/>
  <c r="Y475" i="2"/>
  <c r="Z475" i="2" s="1"/>
  <c r="Y467" i="2"/>
  <c r="Z467" i="2" s="1"/>
  <c r="Y459" i="2"/>
  <c r="Z459" i="2" s="1"/>
  <c r="Y451" i="2"/>
  <c r="Z451" i="2" s="1"/>
  <c r="Y444" i="2"/>
  <c r="Z444" i="2" s="1"/>
  <c r="Y437" i="2"/>
  <c r="Z437" i="2" s="1"/>
  <c r="Y429" i="2"/>
  <c r="Z429" i="2" s="1"/>
  <c r="Y421" i="2"/>
  <c r="Z421" i="2" s="1"/>
  <c r="Y414" i="2"/>
  <c r="Z414" i="2" s="1"/>
  <c r="Y407" i="2"/>
  <c r="Z407" i="2" s="1"/>
  <c r="Y399" i="2"/>
  <c r="Z399" i="2" s="1"/>
  <c r="AG529" i="2"/>
  <c r="AH529" i="2" s="1"/>
  <c r="AG521" i="2"/>
  <c r="AH521" i="2" s="1"/>
  <c r="AG513" i="2"/>
  <c r="AH513" i="2" s="1"/>
  <c r="AG505" i="2"/>
  <c r="AH505" i="2" s="1"/>
  <c r="AG497" i="2"/>
  <c r="AH497" i="2" s="1"/>
  <c r="AG489" i="2"/>
  <c r="AH489" i="2" s="1"/>
  <c r="AG481" i="2"/>
  <c r="AH481" i="2" s="1"/>
  <c r="AG473" i="2"/>
  <c r="AH473" i="2" s="1"/>
  <c r="AG465" i="2"/>
  <c r="AH465" i="2" s="1"/>
  <c r="AG457" i="2"/>
  <c r="AH457" i="2" s="1"/>
  <c r="AG449" i="2"/>
  <c r="AH449" i="2" s="1"/>
  <c r="AG441" i="2"/>
  <c r="AH441" i="2" s="1"/>
  <c r="AG433" i="2"/>
  <c r="AH433" i="2" s="1"/>
  <c r="AG425" i="2"/>
  <c r="AH425" i="2" s="1"/>
  <c r="AG417" i="2"/>
  <c r="AH417" i="2" s="1"/>
  <c r="AG409" i="2"/>
  <c r="AH409" i="2" s="1"/>
  <c r="AG377" i="2"/>
  <c r="AH377" i="2" s="1"/>
  <c r="AG369" i="2"/>
  <c r="AH369" i="2" s="1"/>
  <c r="AG337" i="2"/>
  <c r="AH337" i="2" s="1"/>
  <c r="AG329" i="2"/>
  <c r="AH329" i="2" s="1"/>
  <c r="AG305" i="2"/>
  <c r="AH305" i="2" s="1"/>
  <c r="AG297" i="2"/>
  <c r="AH297" i="2" s="1"/>
  <c r="AG289" i="2"/>
  <c r="AH289" i="2" s="1"/>
  <c r="AG265" i="2"/>
  <c r="AH265" i="2" s="1"/>
  <c r="AG257" i="2"/>
  <c r="AH257" i="2" s="1"/>
  <c r="AG225" i="2"/>
  <c r="AH225" i="2" s="1"/>
  <c r="AG217" i="2"/>
  <c r="AH217" i="2" s="1"/>
  <c r="AG185" i="2"/>
  <c r="AH185" i="2" s="1"/>
  <c r="AG178" i="2"/>
  <c r="AH178" i="2" s="1"/>
  <c r="AG155" i="2"/>
  <c r="AH155" i="2" s="1"/>
  <c r="AG147" i="2"/>
  <c r="AH147" i="2" s="1"/>
  <c r="AG139" i="2"/>
  <c r="AH139" i="2" s="1"/>
  <c r="AG108" i="2"/>
  <c r="AH108" i="2" s="1"/>
  <c r="AG76" i="2"/>
  <c r="AH76" i="2" s="1"/>
  <c r="AG68" i="2"/>
  <c r="AH68" i="2" s="1"/>
  <c r="AG60" i="2"/>
  <c r="AH60" i="2" s="1"/>
  <c r="AG37" i="2"/>
  <c r="AH37" i="2" s="1"/>
  <c r="AG30" i="2"/>
  <c r="AH30" i="2" s="1"/>
  <c r="AG22" i="2"/>
  <c r="AH22" i="2" s="1"/>
  <c r="Y527" i="2"/>
  <c r="Z527" i="2" s="1"/>
  <c r="Y519" i="2"/>
  <c r="Z519" i="2" s="1"/>
  <c r="Y511" i="2"/>
  <c r="Z511" i="2" s="1"/>
  <c r="Y504" i="2"/>
  <c r="Z504" i="2" s="1"/>
  <c r="Y497" i="2"/>
  <c r="Z497" i="2" s="1"/>
  <c r="Y489" i="2"/>
  <c r="Z489" i="2" s="1"/>
  <c r="Y482" i="2"/>
  <c r="Z482" i="2" s="1"/>
  <c r="Y474" i="2"/>
  <c r="Z474" i="2" s="1"/>
  <c r="Y466" i="2"/>
  <c r="Z466" i="2" s="1"/>
  <c r="Y458" i="2"/>
  <c r="Z458" i="2" s="1"/>
  <c r="Y450" i="2"/>
  <c r="Z450" i="2" s="1"/>
  <c r="Y443" i="2"/>
  <c r="Z443" i="2" s="1"/>
  <c r="Y436" i="2"/>
  <c r="Z436" i="2" s="1"/>
  <c r="Y428" i="2"/>
  <c r="Z428" i="2" s="1"/>
  <c r="Y420" i="2"/>
  <c r="Z420" i="2" s="1"/>
  <c r="Y406" i="2"/>
  <c r="Z406" i="2" s="1"/>
  <c r="Y398" i="2"/>
  <c r="Z398" i="2" s="1"/>
  <c r="Y391" i="2"/>
  <c r="Z391" i="2" s="1"/>
  <c r="AG528" i="2"/>
  <c r="AH528" i="2" s="1"/>
  <c r="AG520" i="2"/>
  <c r="AH520" i="2" s="1"/>
  <c r="AG512" i="2"/>
  <c r="AH512" i="2" s="1"/>
  <c r="AG504" i="2"/>
  <c r="AH504" i="2" s="1"/>
  <c r="AG496" i="2"/>
  <c r="AH496" i="2" s="1"/>
  <c r="AG488" i="2"/>
  <c r="AH488" i="2" s="1"/>
  <c r="AG480" i="2"/>
  <c r="AH480" i="2" s="1"/>
  <c r="AG472" i="2"/>
  <c r="AH472" i="2" s="1"/>
  <c r="AG464" i="2"/>
  <c r="AH464" i="2" s="1"/>
  <c r="AG456" i="2"/>
  <c r="AH456" i="2" s="1"/>
  <c r="AG448" i="2"/>
  <c r="AH448" i="2" s="1"/>
  <c r="AG440" i="2"/>
  <c r="AH440" i="2" s="1"/>
  <c r="AG432" i="2"/>
  <c r="AH432" i="2" s="1"/>
  <c r="AG424" i="2"/>
  <c r="AH424" i="2" s="1"/>
  <c r="AG416" i="2"/>
  <c r="AH416" i="2" s="1"/>
  <c r="AG408" i="2"/>
  <c r="AH408" i="2" s="1"/>
  <c r="AG384" i="2"/>
  <c r="AH384" i="2" s="1"/>
  <c r="AG376" i="2"/>
  <c r="AH376" i="2" s="1"/>
  <c r="AG368" i="2"/>
  <c r="AH368" i="2" s="1"/>
  <c r="AG336" i="2"/>
  <c r="AH336" i="2" s="1"/>
  <c r="AG304" i="2"/>
  <c r="AH304" i="2" s="1"/>
  <c r="AG296" i="2"/>
  <c r="AH296" i="2" s="1"/>
  <c r="AG288" i="2"/>
  <c r="AH288" i="2" s="1"/>
  <c r="AG264" i="2"/>
  <c r="AH264" i="2" s="1"/>
  <c r="AG256" i="2"/>
  <c r="AH256" i="2" s="1"/>
  <c r="AG232" i="2"/>
  <c r="AH232" i="2" s="1"/>
  <c r="AG224" i="2"/>
  <c r="AH224" i="2" s="1"/>
  <c r="AG216" i="2"/>
  <c r="AH216" i="2" s="1"/>
  <c r="AG184" i="2"/>
  <c r="AH184" i="2" s="1"/>
  <c r="AG177" i="2"/>
  <c r="AH177" i="2" s="1"/>
  <c r="AG154" i="2"/>
  <c r="AH154" i="2" s="1"/>
  <c r="AG146" i="2"/>
  <c r="AH146" i="2" s="1"/>
  <c r="AG138" i="2"/>
  <c r="AH138" i="2" s="1"/>
  <c r="AG114" i="2"/>
  <c r="AH114" i="2" s="1"/>
  <c r="AG107" i="2"/>
  <c r="AH107" i="2" s="1"/>
  <c r="AG75" i="2"/>
  <c r="AH75" i="2" s="1"/>
  <c r="AG67" i="2"/>
  <c r="AH67" i="2" s="1"/>
  <c r="AG59" i="2"/>
  <c r="AH59" i="2" s="1"/>
  <c r="AG36" i="2"/>
  <c r="AH36" i="2" s="1"/>
  <c r="AG29" i="2"/>
  <c r="AH29" i="2" s="1"/>
  <c r="AG21" i="2"/>
  <c r="AH21" i="2" s="1"/>
  <c r="Y526" i="2"/>
  <c r="Z526" i="2" s="1"/>
  <c r="Y518" i="2"/>
  <c r="Z518" i="2" s="1"/>
  <c r="Y510" i="2"/>
  <c r="Z510" i="2" s="1"/>
  <c r="Y503" i="2"/>
  <c r="Z503" i="2" s="1"/>
  <c r="Y496" i="2"/>
  <c r="Z496" i="2" s="1"/>
  <c r="Y488" i="2"/>
  <c r="Z488" i="2" s="1"/>
  <c r="Y481" i="2"/>
  <c r="Z481" i="2" s="1"/>
  <c r="Y473" i="2"/>
  <c r="Z473" i="2" s="1"/>
  <c r="Y465" i="2"/>
  <c r="Z465" i="2" s="1"/>
  <c r="Y457" i="2"/>
  <c r="Z457" i="2" s="1"/>
  <c r="Y449" i="2"/>
  <c r="Z449" i="2" s="1"/>
  <c r="Y442" i="2"/>
  <c r="Z442" i="2" s="1"/>
  <c r="Y435" i="2"/>
  <c r="Z435" i="2" s="1"/>
  <c r="Y427" i="2"/>
  <c r="Z427" i="2" s="1"/>
  <c r="Y419" i="2"/>
  <c r="Z419" i="2" s="1"/>
  <c r="Y413" i="2"/>
  <c r="Z413" i="2" s="1"/>
  <c r="Y405" i="2"/>
  <c r="Z405" i="2" s="1"/>
  <c r="Y397" i="2"/>
  <c r="Z397" i="2" s="1"/>
  <c r="Y390" i="2"/>
  <c r="Z390" i="2" s="1"/>
  <c r="Y382" i="2"/>
  <c r="Z382" i="2" s="1"/>
  <c r="AG527" i="2"/>
  <c r="AH527" i="2" s="1"/>
  <c r="AG519" i="2"/>
  <c r="AH519" i="2" s="1"/>
  <c r="AG511" i="2"/>
  <c r="AH511" i="2" s="1"/>
  <c r="AG503" i="2"/>
  <c r="AH503" i="2" s="1"/>
  <c r="AG495" i="2"/>
  <c r="AH495" i="2" s="1"/>
  <c r="AG487" i="2"/>
  <c r="AH487" i="2" s="1"/>
  <c r="AG479" i="2"/>
  <c r="AH479" i="2" s="1"/>
  <c r="AG471" i="2"/>
  <c r="AH471" i="2" s="1"/>
  <c r="AG463" i="2"/>
  <c r="AH463" i="2" s="1"/>
  <c r="AG455" i="2"/>
  <c r="AH455" i="2" s="1"/>
  <c r="AG447" i="2"/>
  <c r="AH447" i="2" s="1"/>
  <c r="AG439" i="2"/>
  <c r="AH439" i="2" s="1"/>
  <c r="AG431" i="2"/>
  <c r="AH431" i="2" s="1"/>
  <c r="AG423" i="2"/>
  <c r="AH423" i="2" s="1"/>
  <c r="AG415" i="2"/>
  <c r="AH415" i="2" s="1"/>
  <c r="AG407" i="2"/>
  <c r="AH407" i="2" s="1"/>
  <c r="AG383" i="2"/>
  <c r="AH383" i="2" s="1"/>
  <c r="AG375" i="2"/>
  <c r="AH375" i="2" s="1"/>
  <c r="AG367" i="2"/>
  <c r="AH367" i="2" s="1"/>
  <c r="AG335" i="2"/>
  <c r="AH335" i="2" s="1"/>
  <c r="AG303" i="2"/>
  <c r="AH303" i="2" s="1"/>
  <c r="AG295" i="2"/>
  <c r="AH295" i="2" s="1"/>
  <c r="AG287" i="2"/>
  <c r="AH287" i="2" s="1"/>
  <c r="AG263" i="2"/>
  <c r="AH263" i="2" s="1"/>
  <c r="AG255" i="2"/>
  <c r="AH255" i="2" s="1"/>
  <c r="AG231" i="2"/>
  <c r="AH231" i="2" s="1"/>
  <c r="AG223" i="2"/>
  <c r="AH223" i="2" s="1"/>
  <c r="AG215" i="2"/>
  <c r="AH215" i="2" s="1"/>
  <c r="AG183" i="2"/>
  <c r="AH183" i="2" s="1"/>
  <c r="AG153" i="2"/>
  <c r="AH153" i="2" s="1"/>
  <c r="AG145" i="2"/>
  <c r="AH145" i="2" s="1"/>
  <c r="AG137" i="2"/>
  <c r="AH137" i="2" s="1"/>
  <c r="AG113" i="2"/>
  <c r="AH113" i="2" s="1"/>
  <c r="AG106" i="2"/>
  <c r="AH106" i="2" s="1"/>
  <c r="AG74" i="2"/>
  <c r="AH74" i="2" s="1"/>
  <c r="AG66" i="2"/>
  <c r="AH66" i="2" s="1"/>
  <c r="AG35" i="2"/>
  <c r="AH35" i="2" s="1"/>
  <c r="AG28" i="2"/>
  <c r="AH28" i="2" s="1"/>
  <c r="AG20" i="2"/>
  <c r="AH20" i="2" s="1"/>
  <c r="Y525" i="2"/>
  <c r="Z525" i="2" s="1"/>
  <c r="Y517" i="2"/>
  <c r="Z517" i="2" s="1"/>
  <c r="Y509" i="2"/>
  <c r="Z509" i="2" s="1"/>
  <c r="Y502" i="2"/>
  <c r="Z502" i="2" s="1"/>
  <c r="Y495" i="2"/>
  <c r="Z495" i="2" s="1"/>
  <c r="Y487" i="2"/>
  <c r="Z487" i="2" s="1"/>
  <c r="Y480" i="2"/>
  <c r="Z480" i="2" s="1"/>
  <c r="Y472" i="2"/>
  <c r="Z472" i="2" s="1"/>
  <c r="Y464" i="2"/>
  <c r="Z464" i="2" s="1"/>
  <c r="Y456" i="2"/>
  <c r="Z456" i="2" s="1"/>
  <c r="Y448" i="2"/>
  <c r="Z448" i="2" s="1"/>
  <c r="Y434" i="2"/>
  <c r="Z434" i="2" s="1"/>
  <c r="Y426" i="2"/>
  <c r="Z426" i="2" s="1"/>
  <c r="AG526" i="2"/>
  <c r="AH526" i="2" s="1"/>
  <c r="AG518" i="2"/>
  <c r="AH518" i="2" s="1"/>
  <c r="AG510" i="2"/>
  <c r="AH510" i="2" s="1"/>
  <c r="AG502" i="2"/>
  <c r="AH502" i="2" s="1"/>
  <c r="AG494" i="2"/>
  <c r="AH494" i="2" s="1"/>
  <c r="AG486" i="2"/>
  <c r="AH486" i="2" s="1"/>
  <c r="AG478" i="2"/>
  <c r="AH478" i="2" s="1"/>
  <c r="AG470" i="2"/>
  <c r="AH470" i="2" s="1"/>
  <c r="AG462" i="2"/>
  <c r="AH462" i="2" s="1"/>
  <c r="AG454" i="2"/>
  <c r="AH454" i="2" s="1"/>
  <c r="AG446" i="2"/>
  <c r="AH446" i="2" s="1"/>
  <c r="AG438" i="2"/>
  <c r="AH438" i="2" s="1"/>
  <c r="AG430" i="2"/>
  <c r="AH430" i="2" s="1"/>
  <c r="AG422" i="2"/>
  <c r="AH422" i="2" s="1"/>
  <c r="AG414" i="2"/>
  <c r="AH414" i="2" s="1"/>
  <c r="AG406" i="2"/>
  <c r="AH406" i="2" s="1"/>
  <c r="AG382" i="2"/>
  <c r="AH382" i="2" s="1"/>
  <c r="AG374" i="2"/>
  <c r="AH374" i="2" s="1"/>
  <c r="AG366" i="2"/>
  <c r="AH366" i="2" s="1"/>
  <c r="AG342" i="2"/>
  <c r="AH342" i="2" s="1"/>
  <c r="AG334" i="2"/>
  <c r="AH334" i="2" s="1"/>
  <c r="AG302" i="2"/>
  <c r="AH302" i="2" s="1"/>
  <c r="AG294" i="2"/>
  <c r="AH294" i="2" s="1"/>
  <c r="AG262" i="2"/>
  <c r="AH262" i="2" s="1"/>
  <c r="AG254" i="2"/>
  <c r="AH254" i="2" s="1"/>
  <c r="AG230" i="2"/>
  <c r="AH230" i="2" s="1"/>
  <c r="AG222" i="2"/>
  <c r="AH222" i="2" s="1"/>
  <c r="AG214" i="2"/>
  <c r="AH214" i="2" s="1"/>
  <c r="AG190" i="2"/>
  <c r="AH190" i="2" s="1"/>
  <c r="AG182" i="2"/>
  <c r="AH182" i="2" s="1"/>
  <c r="AG152" i="2"/>
  <c r="AH152" i="2" s="1"/>
  <c r="AG144" i="2"/>
  <c r="AH144" i="2" s="1"/>
  <c r="AG136" i="2"/>
  <c r="AH136" i="2" s="1"/>
  <c r="AG112" i="2"/>
  <c r="AH112" i="2" s="1"/>
  <c r="AG105" i="2"/>
  <c r="AH105" i="2" s="1"/>
  <c r="AG73" i="2"/>
  <c r="AH73" i="2" s="1"/>
  <c r="AG65" i="2"/>
  <c r="AH65" i="2" s="1"/>
  <c r="AG34" i="2"/>
  <c r="AH34" i="2" s="1"/>
  <c r="AG27" i="2"/>
  <c r="AH27" i="2" s="1"/>
  <c r="AG19" i="2"/>
  <c r="AH19" i="2" s="1"/>
  <c r="Y524" i="2"/>
  <c r="Z524" i="2" s="1"/>
  <c r="Y516" i="2"/>
  <c r="Z516" i="2" s="1"/>
  <c r="Y508" i="2"/>
  <c r="Z508" i="2" s="1"/>
  <c r="Y501" i="2"/>
  <c r="Z501" i="2" s="1"/>
  <c r="Y494" i="2"/>
  <c r="Z494" i="2" s="1"/>
  <c r="Y479" i="2"/>
  <c r="Z479" i="2" s="1"/>
  <c r="Y471" i="2"/>
  <c r="Z471" i="2" s="1"/>
  <c r="Y463" i="2"/>
  <c r="Z463" i="2" s="1"/>
  <c r="Y455" i="2"/>
  <c r="Z455" i="2" s="1"/>
  <c r="Y447" i="2"/>
  <c r="Z447" i="2" s="1"/>
  <c r="Y441" i="2"/>
  <c r="Z441" i="2" s="1"/>
  <c r="Y433" i="2"/>
  <c r="Z433" i="2" s="1"/>
  <c r="Y425" i="2"/>
  <c r="Z425" i="2" s="1"/>
  <c r="Y418" i="2"/>
  <c r="Z418" i="2" s="1"/>
  <c r="Y411" i="2"/>
  <c r="Z411" i="2" s="1"/>
  <c r="Y403" i="2"/>
  <c r="Z403" i="2" s="1"/>
  <c r="Y396" i="2"/>
  <c r="Z396" i="2" s="1"/>
  <c r="Y388" i="2"/>
  <c r="Z388" i="2" s="1"/>
  <c r="Y380" i="2"/>
  <c r="Z380" i="2" s="1"/>
  <c r="AG525" i="2"/>
  <c r="AH525" i="2" s="1"/>
  <c r="AG517" i="2"/>
  <c r="AH517" i="2" s="1"/>
  <c r="AG509" i="2"/>
  <c r="AH509" i="2" s="1"/>
  <c r="AG501" i="2"/>
  <c r="AH501" i="2" s="1"/>
  <c r="AG493" i="2"/>
  <c r="AH493" i="2" s="1"/>
  <c r="AG485" i="2"/>
  <c r="AH485" i="2" s="1"/>
  <c r="AG477" i="2"/>
  <c r="AH477" i="2" s="1"/>
  <c r="AG469" i="2"/>
  <c r="AH469" i="2" s="1"/>
  <c r="AG461" i="2"/>
  <c r="AH461" i="2" s="1"/>
  <c r="AG453" i="2"/>
  <c r="AH453" i="2" s="1"/>
  <c r="AG445" i="2"/>
  <c r="AH445" i="2" s="1"/>
  <c r="AG437" i="2"/>
  <c r="AH437" i="2" s="1"/>
  <c r="AG429" i="2"/>
  <c r="AH429" i="2" s="1"/>
  <c r="AG421" i="2"/>
  <c r="AH421" i="2" s="1"/>
  <c r="AG413" i="2"/>
  <c r="AH413" i="2" s="1"/>
  <c r="AG405" i="2"/>
  <c r="AH405" i="2" s="1"/>
  <c r="AG381" i="2"/>
  <c r="AH381" i="2" s="1"/>
  <c r="AG373" i="2"/>
  <c r="AH373" i="2" s="1"/>
  <c r="AG365" i="2"/>
  <c r="AH365" i="2" s="1"/>
  <c r="AG341" i="2"/>
  <c r="AH341" i="2" s="1"/>
  <c r="AG333" i="2"/>
  <c r="AH333" i="2" s="1"/>
  <c r="AG301" i="2"/>
  <c r="AH301" i="2" s="1"/>
  <c r="AG293" i="2"/>
  <c r="AH293" i="2" s="1"/>
  <c r="AG261" i="2"/>
  <c r="AH261" i="2" s="1"/>
  <c r="AG253" i="2"/>
  <c r="AH253" i="2" s="1"/>
  <c r="AG229" i="2"/>
  <c r="AH229" i="2" s="1"/>
  <c r="AG221" i="2"/>
  <c r="AH221" i="2" s="1"/>
  <c r="AG213" i="2"/>
  <c r="AH213" i="2" s="1"/>
  <c r="AG189" i="2"/>
  <c r="AH189" i="2" s="1"/>
  <c r="AG181" i="2"/>
  <c r="AH181" i="2" s="1"/>
  <c r="AG151" i="2"/>
  <c r="AH151" i="2" s="1"/>
  <c r="AG143" i="2"/>
  <c r="AH143" i="2" s="1"/>
  <c r="AG135" i="2"/>
  <c r="AH135" i="2" s="1"/>
  <c r="AG111" i="2"/>
  <c r="AH111" i="2" s="1"/>
  <c r="AG104" i="2"/>
  <c r="AH104" i="2" s="1"/>
  <c r="AG80" i="2"/>
  <c r="AH80" i="2" s="1"/>
  <c r="AG72" i="2"/>
  <c r="AH72" i="2" s="1"/>
  <c r="AG64" i="2"/>
  <c r="AH64" i="2" s="1"/>
  <c r="AG33" i="2"/>
  <c r="AH33" i="2" s="1"/>
  <c r="AG26" i="2"/>
  <c r="AH26" i="2" s="1"/>
  <c r="AG18" i="2"/>
  <c r="AH18" i="2" s="1"/>
  <c r="Y523" i="2"/>
  <c r="Z523" i="2" s="1"/>
  <c r="Y515" i="2"/>
  <c r="Z515" i="2" s="1"/>
  <c r="Y507" i="2"/>
  <c r="Z507" i="2" s="1"/>
  <c r="Y493" i="2"/>
  <c r="Z493" i="2" s="1"/>
  <c r="Y486" i="2"/>
  <c r="Z486" i="2" s="1"/>
  <c r="Y478" i="2"/>
  <c r="Z478" i="2" s="1"/>
  <c r="Y470" i="2"/>
  <c r="Z470" i="2" s="1"/>
  <c r="Y462" i="2"/>
  <c r="Z462" i="2" s="1"/>
  <c r="Y454" i="2"/>
  <c r="Z454" i="2" s="1"/>
  <c r="Y446" i="2"/>
  <c r="Z446" i="2" s="1"/>
  <c r="Y440" i="2"/>
  <c r="Z440" i="2" s="1"/>
  <c r="Y432" i="2"/>
  <c r="Z432" i="2" s="1"/>
  <c r="Y424" i="2"/>
  <c r="Z424" i="2" s="1"/>
  <c r="Y417" i="2"/>
  <c r="Z417" i="2" s="1"/>
  <c r="Y410" i="2"/>
  <c r="Z410" i="2" s="1"/>
  <c r="Y402" i="2"/>
  <c r="Z402" i="2" s="1"/>
  <c r="Y395" i="2"/>
  <c r="Z395" i="2" s="1"/>
  <c r="Y387" i="2"/>
  <c r="Z387" i="2" s="1"/>
  <c r="Y379" i="2"/>
  <c r="Z379" i="2" s="1"/>
  <c r="AG523" i="2"/>
  <c r="AH523" i="2" s="1"/>
  <c r="AG515" i="2"/>
  <c r="AH515" i="2" s="1"/>
  <c r="AG507" i="2"/>
  <c r="AH507" i="2" s="1"/>
  <c r="AG499" i="2"/>
  <c r="AH499" i="2" s="1"/>
  <c r="AG491" i="2"/>
  <c r="AH491" i="2" s="1"/>
  <c r="AG483" i="2"/>
  <c r="AH483" i="2" s="1"/>
  <c r="AG475" i="2"/>
  <c r="AH475" i="2" s="1"/>
  <c r="AG467" i="2"/>
  <c r="AH467" i="2" s="1"/>
  <c r="AG459" i="2"/>
  <c r="AH459" i="2" s="1"/>
  <c r="AG451" i="2"/>
  <c r="AH451" i="2" s="1"/>
  <c r="AG443" i="2"/>
  <c r="AH443" i="2" s="1"/>
  <c r="AG435" i="2"/>
  <c r="AH435" i="2" s="1"/>
  <c r="AG427" i="2"/>
  <c r="AH427" i="2" s="1"/>
  <c r="AG419" i="2"/>
  <c r="AH419" i="2" s="1"/>
  <c r="AG411" i="2"/>
  <c r="AH411" i="2" s="1"/>
  <c r="AG379" i="2"/>
  <c r="AH379" i="2" s="1"/>
  <c r="AG371" i="2"/>
  <c r="AH371" i="2" s="1"/>
  <c r="AG363" i="2"/>
  <c r="AH363" i="2" s="1"/>
  <c r="AG339" i="2"/>
  <c r="AH339" i="2" s="1"/>
  <c r="AG331" i="2"/>
  <c r="AH331" i="2" s="1"/>
  <c r="AG307" i="2"/>
  <c r="AH307" i="2" s="1"/>
  <c r="AG299" i="2"/>
  <c r="AH299" i="2" s="1"/>
  <c r="AG291" i="2"/>
  <c r="AH291" i="2" s="1"/>
  <c r="AG259" i="2"/>
  <c r="AH259" i="2" s="1"/>
  <c r="AG227" i="2"/>
  <c r="AH227" i="2" s="1"/>
  <c r="AG219" i="2"/>
  <c r="AH219" i="2" s="1"/>
  <c r="AG211" i="2"/>
  <c r="AH211" i="2" s="1"/>
  <c r="AG187" i="2"/>
  <c r="AH187" i="2" s="1"/>
  <c r="AG180" i="2"/>
  <c r="AH180" i="2" s="1"/>
  <c r="AG149" i="2"/>
  <c r="AH149" i="2" s="1"/>
  <c r="AG141" i="2"/>
  <c r="AH141" i="2" s="1"/>
  <c r="AG109" i="2"/>
  <c r="AH109" i="2" s="1"/>
  <c r="AG102" i="2"/>
  <c r="AH102" i="2" s="1"/>
  <c r="AG78" i="2"/>
  <c r="AH78" i="2" s="1"/>
  <c r="AG70" i="2"/>
  <c r="AH70" i="2" s="1"/>
  <c r="AG62" i="2"/>
  <c r="AH62" i="2" s="1"/>
  <c r="AG32" i="2"/>
  <c r="AH32" i="2" s="1"/>
  <c r="AG24" i="2"/>
  <c r="AH24" i="2" s="1"/>
  <c r="Y529" i="2"/>
  <c r="Z529" i="2" s="1"/>
  <c r="Y521" i="2"/>
  <c r="Z521" i="2" s="1"/>
  <c r="Y513" i="2"/>
  <c r="Z513" i="2" s="1"/>
  <c r="Y506" i="2"/>
  <c r="Z506" i="2" s="1"/>
  <c r="Y499" i="2"/>
  <c r="Z499" i="2" s="1"/>
  <c r="Y491" i="2"/>
  <c r="Z491" i="2" s="1"/>
  <c r="Y484" i="2"/>
  <c r="Z484" i="2" s="1"/>
  <c r="Y476" i="2"/>
  <c r="Z476" i="2" s="1"/>
  <c r="Y468" i="2"/>
  <c r="Z468" i="2" s="1"/>
  <c r="Y460" i="2"/>
  <c r="Z460" i="2" s="1"/>
  <c r="Y452" i="2"/>
  <c r="Z452" i="2" s="1"/>
  <c r="Y445" i="2"/>
  <c r="Z445" i="2" s="1"/>
  <c r="Y438" i="2"/>
  <c r="Z438" i="2" s="1"/>
  <c r="Y430" i="2"/>
  <c r="Z430" i="2" s="1"/>
  <c r="Y422" i="2"/>
  <c r="Z422" i="2" s="1"/>
  <c r="Y415" i="2"/>
  <c r="Z415" i="2" s="1"/>
  <c r="Y408" i="2"/>
  <c r="Z408" i="2" s="1"/>
  <c r="Y400" i="2"/>
  <c r="Z400" i="2" s="1"/>
  <c r="Y393" i="2"/>
  <c r="Z393" i="2" s="1"/>
  <c r="Y385" i="2"/>
  <c r="Z385" i="2" s="1"/>
  <c r="Y377" i="2"/>
  <c r="Z377" i="2" s="1"/>
  <c r="AG468" i="2"/>
  <c r="AH468" i="2" s="1"/>
  <c r="AG340" i="2"/>
  <c r="AH340" i="2" s="1"/>
  <c r="AG212" i="2"/>
  <c r="AH212" i="2" s="1"/>
  <c r="AG150" i="2"/>
  <c r="AH150" i="2" s="1"/>
  <c r="AG25" i="2"/>
  <c r="AH25" i="2" s="1"/>
  <c r="Y477" i="2"/>
  <c r="Z477" i="2" s="1"/>
  <c r="Y416" i="2"/>
  <c r="Z416" i="2" s="1"/>
  <c r="Y389" i="2"/>
  <c r="Z389" i="2" s="1"/>
  <c r="Y374" i="2"/>
  <c r="Z374" i="2" s="1"/>
  <c r="Y367" i="2"/>
  <c r="Z367" i="2" s="1"/>
  <c r="Y359" i="2"/>
  <c r="Z359" i="2" s="1"/>
  <c r="Y351" i="2"/>
  <c r="Z351" i="2" s="1"/>
  <c r="Y343" i="2"/>
  <c r="Z343" i="2" s="1"/>
  <c r="Y335" i="2"/>
  <c r="Z335" i="2" s="1"/>
  <c r="Y327" i="2"/>
  <c r="Z327" i="2" s="1"/>
  <c r="Y319" i="2"/>
  <c r="Z319" i="2" s="1"/>
  <c r="Y311" i="2"/>
  <c r="Z311" i="2" s="1"/>
  <c r="Y303" i="2"/>
  <c r="Z303" i="2" s="1"/>
  <c r="Y295" i="2"/>
  <c r="Z295" i="2" s="1"/>
  <c r="Y288" i="2"/>
  <c r="Z288" i="2" s="1"/>
  <c r="Y280" i="2"/>
  <c r="Z280" i="2" s="1"/>
  <c r="Y273" i="2"/>
  <c r="Z273" i="2" s="1"/>
  <c r="Y265" i="2"/>
  <c r="Z265" i="2" s="1"/>
  <c r="Y258" i="2"/>
  <c r="Z258" i="2" s="1"/>
  <c r="Y226" i="2"/>
  <c r="Z226" i="2" s="1"/>
  <c r="Y218" i="2"/>
  <c r="Z218" i="2" s="1"/>
  <c r="Y187" i="2"/>
  <c r="Z187" i="2" s="1"/>
  <c r="Y180" i="2"/>
  <c r="Z180" i="2" s="1"/>
  <c r="Y149" i="2"/>
  <c r="Z149" i="2" s="1"/>
  <c r="Y141" i="2"/>
  <c r="Z141" i="2" s="1"/>
  <c r="Y111" i="2"/>
  <c r="Z111" i="2" s="1"/>
  <c r="Y103" i="2"/>
  <c r="Z103" i="2" s="1"/>
  <c r="Y80" i="2"/>
  <c r="Z80" i="2" s="1"/>
  <c r="Y72" i="2"/>
  <c r="Z72" i="2" s="1"/>
  <c r="Y65" i="2"/>
  <c r="Z65" i="2" s="1"/>
  <c r="Y34" i="2"/>
  <c r="Z34" i="2" s="1"/>
  <c r="Y27" i="2"/>
  <c r="Z27" i="2" s="1"/>
  <c r="Y19" i="2"/>
  <c r="Z19" i="2" s="1"/>
  <c r="Q523" i="2"/>
  <c r="R523" i="2" s="1"/>
  <c r="Q515" i="2"/>
  <c r="R515" i="2" s="1"/>
  <c r="Q507" i="2"/>
  <c r="R507" i="2" s="1"/>
  <c r="Q499" i="2"/>
  <c r="R499" i="2" s="1"/>
  <c r="Q491" i="2"/>
  <c r="R491" i="2" s="1"/>
  <c r="Q483" i="2"/>
  <c r="R483" i="2" s="1"/>
  <c r="Q475" i="2"/>
  <c r="R475" i="2" s="1"/>
  <c r="Q467" i="2"/>
  <c r="R467" i="2" s="1"/>
  <c r="Q459" i="2"/>
  <c r="R459" i="2" s="1"/>
  <c r="Q451" i="2"/>
  <c r="R451" i="2" s="1"/>
  <c r="AG524" i="2"/>
  <c r="AH524" i="2" s="1"/>
  <c r="AG460" i="2"/>
  <c r="AH460" i="2" s="1"/>
  <c r="AG332" i="2"/>
  <c r="AH332" i="2" s="1"/>
  <c r="AG142" i="2"/>
  <c r="AH142" i="2" s="1"/>
  <c r="AG79" i="2"/>
  <c r="AH79" i="2" s="1"/>
  <c r="Y469" i="2"/>
  <c r="Z469" i="2" s="1"/>
  <c r="Y412" i="2"/>
  <c r="Z412" i="2" s="1"/>
  <c r="Y386" i="2"/>
  <c r="Z386" i="2" s="1"/>
  <c r="Y366" i="2"/>
  <c r="Z366" i="2" s="1"/>
  <c r="Y358" i="2"/>
  <c r="Z358" i="2" s="1"/>
  <c r="Y350" i="2"/>
  <c r="Z350" i="2" s="1"/>
  <c r="Y342" i="2"/>
  <c r="Z342" i="2" s="1"/>
  <c r="Y334" i="2"/>
  <c r="Z334" i="2" s="1"/>
  <c r="Y326" i="2"/>
  <c r="Z326" i="2" s="1"/>
  <c r="Y318" i="2"/>
  <c r="Z318" i="2" s="1"/>
  <c r="Y310" i="2"/>
  <c r="Z310" i="2" s="1"/>
  <c r="Y302" i="2"/>
  <c r="Z302" i="2" s="1"/>
  <c r="Y294" i="2"/>
  <c r="Z294" i="2" s="1"/>
  <c r="Y287" i="2"/>
  <c r="Z287" i="2" s="1"/>
  <c r="Y279" i="2"/>
  <c r="Z279" i="2" s="1"/>
  <c r="Y272" i="2"/>
  <c r="Z272" i="2" s="1"/>
  <c r="Y264" i="2"/>
  <c r="Z264" i="2" s="1"/>
  <c r="Y257" i="2"/>
  <c r="Z257" i="2" s="1"/>
  <c r="Y225" i="2"/>
  <c r="Z225" i="2" s="1"/>
  <c r="Y217" i="2"/>
  <c r="Z217" i="2" s="1"/>
  <c r="Y186" i="2"/>
  <c r="Z186" i="2" s="1"/>
  <c r="Y179" i="2"/>
  <c r="Z179" i="2" s="1"/>
  <c r="Y156" i="2"/>
  <c r="Z156" i="2" s="1"/>
  <c r="Y148" i="2"/>
  <c r="Z148" i="2" s="1"/>
  <c r="Y140" i="2"/>
  <c r="Z140" i="2" s="1"/>
  <c r="Y110" i="2"/>
  <c r="Z110" i="2" s="1"/>
  <c r="Y102" i="2"/>
  <c r="Z102" i="2" s="1"/>
  <c r="Y79" i="2"/>
  <c r="Z79" i="2" s="1"/>
  <c r="Y71" i="2"/>
  <c r="Z71" i="2" s="1"/>
  <c r="Y64" i="2"/>
  <c r="Z64" i="2" s="1"/>
  <c r="Y33" i="2"/>
  <c r="Z33" i="2" s="1"/>
  <c r="Y26" i="2"/>
  <c r="Z26" i="2" s="1"/>
  <c r="Y18" i="2"/>
  <c r="Z18" i="2" s="1"/>
  <c r="Q522" i="2"/>
  <c r="R522" i="2" s="1"/>
  <c r="Q514" i="2"/>
  <c r="R514" i="2" s="1"/>
  <c r="Q506" i="2"/>
  <c r="R506" i="2" s="1"/>
  <c r="Q498" i="2"/>
  <c r="R498" i="2" s="1"/>
  <c r="Q490" i="2"/>
  <c r="R490" i="2" s="1"/>
  <c r="Q482" i="2"/>
  <c r="R482" i="2" s="1"/>
  <c r="Q474" i="2"/>
  <c r="R474" i="2" s="1"/>
  <c r="Q466" i="2"/>
  <c r="R466" i="2" s="1"/>
  <c r="Q458" i="2"/>
  <c r="R458" i="2" s="1"/>
  <c r="Q450" i="2"/>
  <c r="R450" i="2" s="1"/>
  <c r="Q442" i="2"/>
  <c r="R442" i="2" s="1"/>
  <c r="Q434" i="2"/>
  <c r="R434" i="2" s="1"/>
  <c r="Q426" i="2"/>
  <c r="R426" i="2" s="1"/>
  <c r="Q418" i="2"/>
  <c r="R418" i="2" s="1"/>
  <c r="Q410" i="2"/>
  <c r="R410" i="2" s="1"/>
  <c r="Q402" i="2"/>
  <c r="R402" i="2" s="1"/>
  <c r="Q394" i="2"/>
  <c r="R394" i="2" s="1"/>
  <c r="Q386" i="2"/>
  <c r="R386" i="2" s="1"/>
  <c r="Q378" i="2"/>
  <c r="R378" i="2" s="1"/>
  <c r="Q370" i="2"/>
  <c r="R370" i="2" s="1"/>
  <c r="Q362" i="2"/>
  <c r="R362" i="2" s="1"/>
  <c r="Q354" i="2"/>
  <c r="R354" i="2" s="1"/>
  <c r="Q346" i="2"/>
  <c r="R346" i="2" s="1"/>
  <c r="Q338" i="2"/>
  <c r="R338" i="2" s="1"/>
  <c r="Q330" i="2"/>
  <c r="R330" i="2" s="1"/>
  <c r="AG516" i="2"/>
  <c r="AH516" i="2" s="1"/>
  <c r="AG452" i="2"/>
  <c r="AH452" i="2" s="1"/>
  <c r="AG260" i="2"/>
  <c r="AH260" i="2" s="1"/>
  <c r="AG71" i="2"/>
  <c r="AH71" i="2" s="1"/>
  <c r="Y522" i="2"/>
  <c r="Z522" i="2" s="1"/>
  <c r="Y461" i="2"/>
  <c r="Z461" i="2" s="1"/>
  <c r="Y409" i="2"/>
  <c r="Z409" i="2" s="1"/>
  <c r="Y384" i="2"/>
  <c r="Z384" i="2" s="1"/>
  <c r="Y373" i="2"/>
  <c r="Z373" i="2" s="1"/>
  <c r="Y365" i="2"/>
  <c r="Z365" i="2" s="1"/>
  <c r="Y357" i="2"/>
  <c r="Z357" i="2" s="1"/>
  <c r="Y349" i="2"/>
  <c r="Z349" i="2" s="1"/>
  <c r="Y341" i="2"/>
  <c r="Z341" i="2" s="1"/>
  <c r="Y333" i="2"/>
  <c r="Z333" i="2" s="1"/>
  <c r="Y325" i="2"/>
  <c r="Z325" i="2" s="1"/>
  <c r="Y317" i="2"/>
  <c r="Z317" i="2" s="1"/>
  <c r="Y309" i="2"/>
  <c r="Z309" i="2" s="1"/>
  <c r="Y301" i="2"/>
  <c r="Z301" i="2" s="1"/>
  <c r="Y293" i="2"/>
  <c r="Z293" i="2" s="1"/>
  <c r="Y286" i="2"/>
  <c r="Z286" i="2" s="1"/>
  <c r="Y278" i="2"/>
  <c r="Z278" i="2" s="1"/>
  <c r="Y271" i="2"/>
  <c r="Z271" i="2" s="1"/>
  <c r="Y263" i="2"/>
  <c r="Z263" i="2" s="1"/>
  <c r="Y256" i="2"/>
  <c r="Z256" i="2" s="1"/>
  <c r="Y232" i="2"/>
  <c r="Z232" i="2" s="1"/>
  <c r="Y224" i="2"/>
  <c r="Z224" i="2" s="1"/>
  <c r="Y216" i="2"/>
  <c r="Z216" i="2" s="1"/>
  <c r="Y178" i="2"/>
  <c r="Z178" i="2" s="1"/>
  <c r="Y155" i="2"/>
  <c r="Z155" i="2" s="1"/>
  <c r="Y147" i="2"/>
  <c r="Z147" i="2" s="1"/>
  <c r="Y139" i="2"/>
  <c r="Z139" i="2" s="1"/>
  <c r="Y109" i="2"/>
  <c r="Z109" i="2" s="1"/>
  <c r="Y101" i="2"/>
  <c r="Z101" i="2" s="1"/>
  <c r="Y78" i="2"/>
  <c r="Z78" i="2" s="1"/>
  <c r="Y70" i="2"/>
  <c r="Z70" i="2" s="1"/>
  <c r="Y63" i="2"/>
  <c r="Z63" i="2" s="1"/>
  <c r="Y32" i="2"/>
  <c r="Z32" i="2" s="1"/>
  <c r="Y25" i="2"/>
  <c r="Z25" i="2" s="1"/>
  <c r="Q529" i="2"/>
  <c r="R529" i="2" s="1"/>
  <c r="Q521" i="2"/>
  <c r="R521" i="2" s="1"/>
  <c r="Q513" i="2"/>
  <c r="R513" i="2" s="1"/>
  <c r="Q505" i="2"/>
  <c r="R505" i="2" s="1"/>
  <c r="Q497" i="2"/>
  <c r="R497" i="2" s="1"/>
  <c r="Q489" i="2"/>
  <c r="R489" i="2" s="1"/>
  <c r="Q481" i="2"/>
  <c r="R481" i="2" s="1"/>
  <c r="Q473" i="2"/>
  <c r="R473" i="2" s="1"/>
  <c r="Q465" i="2"/>
  <c r="R465" i="2" s="1"/>
  <c r="Q457" i="2"/>
  <c r="R457" i="2" s="1"/>
  <c r="Q449" i="2"/>
  <c r="R449" i="2" s="1"/>
  <c r="Q441" i="2"/>
  <c r="R441" i="2" s="1"/>
  <c r="Q433" i="2"/>
  <c r="R433" i="2" s="1"/>
  <c r="Q425" i="2"/>
  <c r="R425" i="2" s="1"/>
  <c r="Q417" i="2"/>
  <c r="R417" i="2" s="1"/>
  <c r="Q409" i="2"/>
  <c r="R409" i="2" s="1"/>
  <c r="Q401" i="2"/>
  <c r="R401" i="2" s="1"/>
  <c r="Q393" i="2"/>
  <c r="R393" i="2" s="1"/>
  <c r="Q385" i="2"/>
  <c r="R385" i="2" s="1"/>
  <c r="AG508" i="2"/>
  <c r="AH508" i="2" s="1"/>
  <c r="AG444" i="2"/>
  <c r="AH444" i="2" s="1"/>
  <c r="AG380" i="2"/>
  <c r="AH380" i="2" s="1"/>
  <c r="AG188" i="2"/>
  <c r="AH188" i="2" s="1"/>
  <c r="AG63" i="2"/>
  <c r="AH63" i="2" s="1"/>
  <c r="Y514" i="2"/>
  <c r="Z514" i="2" s="1"/>
  <c r="Y453" i="2"/>
  <c r="Z453" i="2" s="1"/>
  <c r="Y404" i="2"/>
  <c r="Z404" i="2" s="1"/>
  <c r="Y383" i="2"/>
  <c r="Z383" i="2" s="1"/>
  <c r="Y372" i="2"/>
  <c r="Z372" i="2" s="1"/>
  <c r="Y364" i="2"/>
  <c r="Z364" i="2" s="1"/>
  <c r="Y356" i="2"/>
  <c r="Z356" i="2" s="1"/>
  <c r="Y348" i="2"/>
  <c r="Z348" i="2" s="1"/>
  <c r="Y340" i="2"/>
  <c r="Z340" i="2" s="1"/>
  <c r="Y332" i="2"/>
  <c r="Z332" i="2" s="1"/>
  <c r="Y324" i="2"/>
  <c r="Z324" i="2" s="1"/>
  <c r="Y316" i="2"/>
  <c r="Z316" i="2" s="1"/>
  <c r="Y308" i="2"/>
  <c r="Z308" i="2" s="1"/>
  <c r="Y300" i="2"/>
  <c r="Z300" i="2" s="1"/>
  <c r="Y285" i="2"/>
  <c r="Z285" i="2" s="1"/>
  <c r="Y270" i="2"/>
  <c r="Z270" i="2" s="1"/>
  <c r="Y255" i="2"/>
  <c r="Z255" i="2" s="1"/>
  <c r="Y231" i="2"/>
  <c r="Z231" i="2" s="1"/>
  <c r="Y223" i="2"/>
  <c r="Z223" i="2" s="1"/>
  <c r="Y215" i="2"/>
  <c r="Z215" i="2" s="1"/>
  <c r="Y185" i="2"/>
  <c r="Z185" i="2" s="1"/>
  <c r="Y177" i="2"/>
  <c r="Z177" i="2" s="1"/>
  <c r="Y154" i="2"/>
  <c r="Z154" i="2" s="1"/>
  <c r="Y146" i="2"/>
  <c r="Z146" i="2" s="1"/>
  <c r="Y138" i="2"/>
  <c r="Z138" i="2" s="1"/>
  <c r="Y108" i="2"/>
  <c r="Z108" i="2" s="1"/>
  <c r="Y77" i="2"/>
  <c r="Z77" i="2" s="1"/>
  <c r="Y62" i="2"/>
  <c r="Z62" i="2" s="1"/>
  <c r="Y31" i="2"/>
  <c r="Z31" i="2" s="1"/>
  <c r="Y24" i="2"/>
  <c r="Z24" i="2" s="1"/>
  <c r="Q528" i="2"/>
  <c r="R528" i="2" s="1"/>
  <c r="Q520" i="2"/>
  <c r="R520" i="2" s="1"/>
  <c r="Q512" i="2"/>
  <c r="R512" i="2" s="1"/>
  <c r="Q504" i="2"/>
  <c r="R504" i="2" s="1"/>
  <c r="Q496" i="2"/>
  <c r="R496" i="2" s="1"/>
  <c r="Q488" i="2"/>
  <c r="R488" i="2" s="1"/>
  <c r="Q480" i="2"/>
  <c r="R480" i="2" s="1"/>
  <c r="Q472" i="2"/>
  <c r="R472" i="2" s="1"/>
  <c r="Q464" i="2"/>
  <c r="R464" i="2" s="1"/>
  <c r="Q456" i="2"/>
  <c r="R456" i="2" s="1"/>
  <c r="Q448" i="2"/>
  <c r="R448" i="2" s="1"/>
  <c r="Q440" i="2"/>
  <c r="R440" i="2" s="1"/>
  <c r="Q432" i="2"/>
  <c r="R432" i="2" s="1"/>
  <c r="Q424" i="2"/>
  <c r="R424" i="2" s="1"/>
  <c r="Q416" i="2"/>
  <c r="R416" i="2" s="1"/>
  <c r="Q408" i="2"/>
  <c r="R408" i="2" s="1"/>
  <c r="Q400" i="2"/>
  <c r="R400" i="2" s="1"/>
  <c r="Q392" i="2"/>
  <c r="R392" i="2" s="1"/>
  <c r="Q384" i="2"/>
  <c r="R384" i="2" s="1"/>
  <c r="Q376" i="2"/>
  <c r="R376" i="2" s="1"/>
  <c r="Q368" i="2"/>
  <c r="R368" i="2" s="1"/>
  <c r="Q360" i="2"/>
  <c r="R360" i="2" s="1"/>
  <c r="Q352" i="2"/>
  <c r="R352" i="2" s="1"/>
  <c r="Q344" i="2"/>
  <c r="R344" i="2" s="1"/>
  <c r="Q336" i="2"/>
  <c r="R336" i="2" s="1"/>
  <c r="Q328" i="2"/>
  <c r="R328" i="2" s="1"/>
  <c r="Q320" i="2"/>
  <c r="R320" i="2" s="1"/>
  <c r="AG500" i="2"/>
  <c r="AH500" i="2" s="1"/>
  <c r="AG436" i="2"/>
  <c r="AH436" i="2" s="1"/>
  <c r="AG372" i="2"/>
  <c r="AH372" i="2" s="1"/>
  <c r="AG308" i="2"/>
  <c r="AH308" i="2" s="1"/>
  <c r="Y401" i="2"/>
  <c r="Z401" i="2" s="1"/>
  <c r="Y381" i="2"/>
  <c r="Z381" i="2" s="1"/>
  <c r="Y371" i="2"/>
  <c r="Z371" i="2" s="1"/>
  <c r="Y363" i="2"/>
  <c r="Z363" i="2" s="1"/>
  <c r="Y355" i="2"/>
  <c r="Z355" i="2" s="1"/>
  <c r="Y347" i="2"/>
  <c r="Z347" i="2" s="1"/>
  <c r="Y339" i="2"/>
  <c r="Z339" i="2" s="1"/>
  <c r="Y331" i="2"/>
  <c r="Z331" i="2" s="1"/>
  <c r="Y323" i="2"/>
  <c r="Z323" i="2" s="1"/>
  <c r="Y315" i="2"/>
  <c r="Z315" i="2" s="1"/>
  <c r="Y307" i="2"/>
  <c r="Z307" i="2" s="1"/>
  <c r="Y299" i="2"/>
  <c r="Z299" i="2" s="1"/>
  <c r="Y292" i="2"/>
  <c r="Z292" i="2" s="1"/>
  <c r="Y284" i="2"/>
  <c r="Z284" i="2" s="1"/>
  <c r="Y277" i="2"/>
  <c r="Z277" i="2" s="1"/>
  <c r="Y269" i="2"/>
  <c r="Z269" i="2" s="1"/>
  <c r="Y262" i="2"/>
  <c r="Z262" i="2" s="1"/>
  <c r="Y254" i="2"/>
  <c r="Z254" i="2" s="1"/>
  <c r="Y230" i="2"/>
  <c r="Z230" i="2" s="1"/>
  <c r="Y222" i="2"/>
  <c r="Z222" i="2" s="1"/>
  <c r="Y214" i="2"/>
  <c r="Z214" i="2" s="1"/>
  <c r="Y184" i="2"/>
  <c r="Z184" i="2" s="1"/>
  <c r="Y153" i="2"/>
  <c r="Z153" i="2" s="1"/>
  <c r="Y145" i="2"/>
  <c r="Z145" i="2" s="1"/>
  <c r="Y137" i="2"/>
  <c r="Z137" i="2" s="1"/>
  <c r="Y107" i="2"/>
  <c r="Z107" i="2" s="1"/>
  <c r="Y76" i="2"/>
  <c r="Z76" i="2" s="1"/>
  <c r="Y69" i="2"/>
  <c r="Z69" i="2" s="1"/>
  <c r="Y61" i="2"/>
  <c r="Z61" i="2" s="1"/>
  <c r="Y38" i="2"/>
  <c r="Z38" i="2" s="1"/>
  <c r="Y23" i="2"/>
  <c r="Z23" i="2" s="1"/>
  <c r="Q527" i="2"/>
  <c r="R527" i="2" s="1"/>
  <c r="Q519" i="2"/>
  <c r="R519" i="2" s="1"/>
  <c r="Q511" i="2"/>
  <c r="R511" i="2" s="1"/>
  <c r="Q503" i="2"/>
  <c r="R503" i="2" s="1"/>
  <c r="Q495" i="2"/>
  <c r="R495" i="2" s="1"/>
  <c r="Q487" i="2"/>
  <c r="R487" i="2" s="1"/>
  <c r="Q479" i="2"/>
  <c r="R479" i="2" s="1"/>
  <c r="Q471" i="2"/>
  <c r="R471" i="2" s="1"/>
  <c r="Q463" i="2"/>
  <c r="R463" i="2" s="1"/>
  <c r="Q455" i="2"/>
  <c r="R455" i="2" s="1"/>
  <c r="Q447" i="2"/>
  <c r="R447" i="2" s="1"/>
  <c r="Q439" i="2"/>
  <c r="R439" i="2" s="1"/>
  <c r="Q431" i="2"/>
  <c r="R431" i="2" s="1"/>
  <c r="Q423" i="2"/>
  <c r="R423" i="2" s="1"/>
  <c r="Q415" i="2"/>
  <c r="R415" i="2" s="1"/>
  <c r="Q407" i="2"/>
  <c r="R407" i="2" s="1"/>
  <c r="Q399" i="2"/>
  <c r="R399" i="2" s="1"/>
  <c r="Q391" i="2"/>
  <c r="R391" i="2" s="1"/>
  <c r="Q383" i="2"/>
  <c r="R383" i="2" s="1"/>
  <c r="Q375" i="2"/>
  <c r="R375" i="2" s="1"/>
  <c r="Q367" i="2"/>
  <c r="R367" i="2" s="1"/>
  <c r="Q359" i="2"/>
  <c r="R359" i="2" s="1"/>
  <c r="Q351" i="2"/>
  <c r="R351" i="2" s="1"/>
  <c r="Q343" i="2"/>
  <c r="R343" i="2" s="1"/>
  <c r="Q335" i="2"/>
  <c r="R335" i="2" s="1"/>
  <c r="Q327" i="2"/>
  <c r="R327" i="2" s="1"/>
  <c r="Q319" i="2"/>
  <c r="R319" i="2" s="1"/>
  <c r="AG492" i="2"/>
  <c r="AH492" i="2" s="1"/>
  <c r="AG428" i="2"/>
  <c r="AH428" i="2" s="1"/>
  <c r="AG364" i="2"/>
  <c r="AH364" i="2" s="1"/>
  <c r="AG300" i="2"/>
  <c r="AH300" i="2" s="1"/>
  <c r="AG110" i="2"/>
  <c r="AH110" i="2" s="1"/>
  <c r="Y500" i="2"/>
  <c r="Z500" i="2" s="1"/>
  <c r="Y439" i="2"/>
  <c r="Z439" i="2" s="1"/>
  <c r="Y378" i="2"/>
  <c r="Z378" i="2" s="1"/>
  <c r="Y370" i="2"/>
  <c r="Z370" i="2" s="1"/>
  <c r="Y362" i="2"/>
  <c r="Z362" i="2" s="1"/>
  <c r="Y354" i="2"/>
  <c r="Z354" i="2" s="1"/>
  <c r="Y346" i="2"/>
  <c r="Z346" i="2" s="1"/>
  <c r="Y338" i="2"/>
  <c r="Z338" i="2" s="1"/>
  <c r="Y330" i="2"/>
  <c r="Z330" i="2" s="1"/>
  <c r="Y322" i="2"/>
  <c r="Z322" i="2" s="1"/>
  <c r="Y314" i="2"/>
  <c r="Z314" i="2" s="1"/>
  <c r="Y306" i="2"/>
  <c r="Z306" i="2" s="1"/>
  <c r="Y298" i="2"/>
  <c r="Z298" i="2" s="1"/>
  <c r="Y291" i="2"/>
  <c r="Z291" i="2" s="1"/>
  <c r="Y283" i="2"/>
  <c r="Z283" i="2" s="1"/>
  <c r="Y276" i="2"/>
  <c r="Z276" i="2" s="1"/>
  <c r="Y268" i="2"/>
  <c r="Z268" i="2" s="1"/>
  <c r="AG476" i="2"/>
  <c r="AH476" i="2" s="1"/>
  <c r="AG412" i="2"/>
  <c r="AH412" i="2" s="1"/>
  <c r="AG220" i="2"/>
  <c r="AH220" i="2" s="1"/>
  <c r="Y485" i="2"/>
  <c r="Z485" i="2" s="1"/>
  <c r="Y423" i="2"/>
  <c r="Z423" i="2" s="1"/>
  <c r="Y392" i="2"/>
  <c r="Z392" i="2" s="1"/>
  <c r="Y375" i="2"/>
  <c r="Z375" i="2" s="1"/>
  <c r="Y368" i="2"/>
  <c r="Z368" i="2" s="1"/>
  <c r="Y360" i="2"/>
  <c r="Z360" i="2" s="1"/>
  <c r="Y352" i="2"/>
  <c r="Z352" i="2" s="1"/>
  <c r="Y344" i="2"/>
  <c r="Z344" i="2" s="1"/>
  <c r="Y336" i="2"/>
  <c r="Z336" i="2" s="1"/>
  <c r="Y328" i="2"/>
  <c r="Z328" i="2" s="1"/>
  <c r="Y320" i="2"/>
  <c r="Z320" i="2" s="1"/>
  <c r="Y312" i="2"/>
  <c r="Z312" i="2" s="1"/>
  <c r="Y304" i="2"/>
  <c r="Z304" i="2" s="1"/>
  <c r="Y296" i="2"/>
  <c r="Z296" i="2" s="1"/>
  <c r="Y289" i="2"/>
  <c r="Z289" i="2" s="1"/>
  <c r="Y281" i="2"/>
  <c r="Z281" i="2" s="1"/>
  <c r="Y274" i="2"/>
  <c r="Z274" i="2" s="1"/>
  <c r="Y266" i="2"/>
  <c r="Z266" i="2" s="1"/>
  <c r="Y259" i="2"/>
  <c r="Z259" i="2" s="1"/>
  <c r="Y227" i="2"/>
  <c r="Z227" i="2" s="1"/>
  <c r="Y219" i="2"/>
  <c r="Z219" i="2" s="1"/>
  <c r="Y211" i="2"/>
  <c r="Z211" i="2" s="1"/>
  <c r="Y188" i="2"/>
  <c r="Z188" i="2" s="1"/>
  <c r="Y181" i="2"/>
  <c r="Z181" i="2" s="1"/>
  <c r="Y150" i="2"/>
  <c r="Z150" i="2" s="1"/>
  <c r="Y142" i="2"/>
  <c r="Z142" i="2" s="1"/>
  <c r="Y112" i="2"/>
  <c r="Z112" i="2" s="1"/>
  <c r="Y104" i="2"/>
  <c r="Z104" i="2" s="1"/>
  <c r="Y73" i="2"/>
  <c r="Z73" i="2" s="1"/>
  <c r="Y66" i="2"/>
  <c r="Z66" i="2" s="1"/>
  <c r="Y35" i="2"/>
  <c r="Z35" i="2" s="1"/>
  <c r="Y28" i="2"/>
  <c r="Z28" i="2" s="1"/>
  <c r="Y20" i="2"/>
  <c r="Z20" i="2" s="1"/>
  <c r="Q524" i="2"/>
  <c r="R524" i="2" s="1"/>
  <c r="Q516" i="2"/>
  <c r="R516" i="2" s="1"/>
  <c r="Q508" i="2"/>
  <c r="R508" i="2" s="1"/>
  <c r="Q500" i="2"/>
  <c r="R500" i="2" s="1"/>
  <c r="Q492" i="2"/>
  <c r="R492" i="2" s="1"/>
  <c r="Q484" i="2"/>
  <c r="R484" i="2" s="1"/>
  <c r="Q476" i="2"/>
  <c r="R476" i="2" s="1"/>
  <c r="Q468" i="2"/>
  <c r="R468" i="2" s="1"/>
  <c r="Q460" i="2"/>
  <c r="R460" i="2" s="1"/>
  <c r="Q452" i="2"/>
  <c r="R452" i="2" s="1"/>
  <c r="Q444" i="2"/>
  <c r="R444" i="2" s="1"/>
  <c r="Q436" i="2"/>
  <c r="R436" i="2" s="1"/>
  <c r="Q428" i="2"/>
  <c r="R428" i="2" s="1"/>
  <c r="Q420" i="2"/>
  <c r="R420" i="2" s="1"/>
  <c r="Q412" i="2"/>
  <c r="R412" i="2" s="1"/>
  <c r="Q404" i="2"/>
  <c r="R404" i="2" s="1"/>
  <c r="Q396" i="2"/>
  <c r="R396" i="2" s="1"/>
  <c r="Q388" i="2"/>
  <c r="R388" i="2" s="1"/>
  <c r="Q380" i="2"/>
  <c r="R380" i="2" s="1"/>
  <c r="Q372" i="2"/>
  <c r="R372" i="2" s="1"/>
  <c r="Q364" i="2"/>
  <c r="R364" i="2" s="1"/>
  <c r="Q356" i="2"/>
  <c r="R356" i="2" s="1"/>
  <c r="Q348" i="2"/>
  <c r="R348" i="2" s="1"/>
  <c r="Q340" i="2"/>
  <c r="R340" i="2" s="1"/>
  <c r="Q332" i="2"/>
  <c r="R332" i="2" s="1"/>
  <c r="Q324" i="2"/>
  <c r="R324" i="2" s="1"/>
  <c r="Q316" i="2"/>
  <c r="R316" i="2" s="1"/>
  <c r="Y345" i="2"/>
  <c r="Z345" i="2" s="1"/>
  <c r="Y282" i="2"/>
  <c r="Z282" i="2" s="1"/>
  <c r="Y212" i="2"/>
  <c r="Z212" i="2" s="1"/>
  <c r="Y182" i="2"/>
  <c r="Z182" i="2" s="1"/>
  <c r="Y151" i="2"/>
  <c r="Z151" i="2" s="1"/>
  <c r="Y59" i="2"/>
  <c r="Z59" i="2" s="1"/>
  <c r="Y29" i="2"/>
  <c r="Z29" i="2" s="1"/>
  <c r="Q509" i="2"/>
  <c r="R509" i="2" s="1"/>
  <c r="Q477" i="2"/>
  <c r="R477" i="2" s="1"/>
  <c r="Q445" i="2"/>
  <c r="R445" i="2" s="1"/>
  <c r="Q422" i="2"/>
  <c r="R422" i="2" s="1"/>
  <c r="Q403" i="2"/>
  <c r="R403" i="2" s="1"/>
  <c r="Q381" i="2"/>
  <c r="R381" i="2" s="1"/>
  <c r="Q365" i="2"/>
  <c r="R365" i="2" s="1"/>
  <c r="Q349" i="2"/>
  <c r="R349" i="2" s="1"/>
  <c r="Q333" i="2"/>
  <c r="R333" i="2" s="1"/>
  <c r="Q318" i="2"/>
  <c r="R318" i="2" s="1"/>
  <c r="Q309" i="2"/>
  <c r="R309" i="2" s="1"/>
  <c r="Q301" i="2"/>
  <c r="R301" i="2" s="1"/>
  <c r="Q293" i="2"/>
  <c r="R293" i="2" s="1"/>
  <c r="Q285" i="2"/>
  <c r="R285" i="2" s="1"/>
  <c r="Q277" i="2"/>
  <c r="R277" i="2" s="1"/>
  <c r="Q269" i="2"/>
  <c r="R269" i="2" s="1"/>
  <c r="Q261" i="2"/>
  <c r="R261" i="2" s="1"/>
  <c r="Q253" i="2"/>
  <c r="R253" i="2" s="1"/>
  <c r="Q245" i="2"/>
  <c r="R245" i="2" s="1"/>
  <c r="Q237" i="2"/>
  <c r="R237" i="2" s="1"/>
  <c r="Q229" i="2"/>
  <c r="R229" i="2" s="1"/>
  <c r="Q221" i="2"/>
  <c r="R221" i="2" s="1"/>
  <c r="Q213" i="2"/>
  <c r="R213" i="2" s="1"/>
  <c r="Q205" i="2"/>
  <c r="R205" i="2" s="1"/>
  <c r="Q197" i="2"/>
  <c r="R197" i="2" s="1"/>
  <c r="Q189" i="2"/>
  <c r="R189" i="2" s="1"/>
  <c r="Q181" i="2"/>
  <c r="R181" i="2" s="1"/>
  <c r="Q173" i="2"/>
  <c r="R173" i="2" s="1"/>
  <c r="Q165" i="2"/>
  <c r="R165" i="2" s="1"/>
  <c r="Q157" i="2"/>
  <c r="R157" i="2" s="1"/>
  <c r="Q150" i="2"/>
  <c r="R150" i="2" s="1"/>
  <c r="Q142" i="2"/>
  <c r="R142" i="2" s="1"/>
  <c r="Q134" i="2"/>
  <c r="R134" i="2" s="1"/>
  <c r="Q126" i="2"/>
  <c r="R126" i="2" s="1"/>
  <c r="Q118" i="2"/>
  <c r="R118" i="2" s="1"/>
  <c r="Q110" i="2"/>
  <c r="R110" i="2" s="1"/>
  <c r="Q102" i="2"/>
  <c r="R102" i="2" s="1"/>
  <c r="Q94" i="2"/>
  <c r="R94" i="2" s="1"/>
  <c r="AG484" i="2"/>
  <c r="AH484" i="2" s="1"/>
  <c r="Y492" i="2"/>
  <c r="Z492" i="2" s="1"/>
  <c r="Y337" i="2"/>
  <c r="Z337" i="2" s="1"/>
  <c r="Y275" i="2"/>
  <c r="Z275" i="2" s="1"/>
  <c r="Y144" i="2"/>
  <c r="Z144" i="2" s="1"/>
  <c r="Y114" i="2"/>
  <c r="Z114" i="2" s="1"/>
  <c r="Y22" i="2"/>
  <c r="Z22" i="2" s="1"/>
  <c r="Q502" i="2"/>
  <c r="R502" i="2" s="1"/>
  <c r="Q470" i="2"/>
  <c r="R470" i="2" s="1"/>
  <c r="Q443" i="2"/>
  <c r="R443" i="2" s="1"/>
  <c r="Q421" i="2"/>
  <c r="R421" i="2" s="1"/>
  <c r="Q398" i="2"/>
  <c r="R398" i="2" s="1"/>
  <c r="Q379" i="2"/>
  <c r="R379" i="2" s="1"/>
  <c r="Q363" i="2"/>
  <c r="R363" i="2" s="1"/>
  <c r="Q347" i="2"/>
  <c r="R347" i="2" s="1"/>
  <c r="Q331" i="2"/>
  <c r="R331" i="2" s="1"/>
  <c r="Q317" i="2"/>
  <c r="R317" i="2" s="1"/>
  <c r="Q308" i="2"/>
  <c r="R308" i="2" s="1"/>
  <c r="Q300" i="2"/>
  <c r="R300" i="2" s="1"/>
  <c r="Q292" i="2"/>
  <c r="R292" i="2" s="1"/>
  <c r="Q284" i="2"/>
  <c r="R284" i="2" s="1"/>
  <c r="Q276" i="2"/>
  <c r="R276" i="2" s="1"/>
  <c r="Q268" i="2"/>
  <c r="R268" i="2" s="1"/>
  <c r="Q260" i="2"/>
  <c r="R260" i="2" s="1"/>
  <c r="Q252" i="2"/>
  <c r="R252" i="2" s="1"/>
  <c r="Q244" i="2"/>
  <c r="R244" i="2" s="1"/>
  <c r="Q236" i="2"/>
  <c r="R236" i="2" s="1"/>
  <c r="Q228" i="2"/>
  <c r="R228" i="2" s="1"/>
  <c r="Q220" i="2"/>
  <c r="R220" i="2" s="1"/>
  <c r="Q212" i="2"/>
  <c r="R212" i="2" s="1"/>
  <c r="Q204" i="2"/>
  <c r="R204" i="2" s="1"/>
  <c r="Q196" i="2"/>
  <c r="R196" i="2" s="1"/>
  <c r="Q188" i="2"/>
  <c r="R188" i="2" s="1"/>
  <c r="Q180" i="2"/>
  <c r="R180" i="2" s="1"/>
  <c r="Q172" i="2"/>
  <c r="R172" i="2" s="1"/>
  <c r="Q164" i="2"/>
  <c r="R164" i="2" s="1"/>
  <c r="Q156" i="2"/>
  <c r="R156" i="2" s="1"/>
  <c r="Q149" i="2"/>
  <c r="R149" i="2" s="1"/>
  <c r="Q141" i="2"/>
  <c r="R141" i="2" s="1"/>
  <c r="Q133" i="2"/>
  <c r="R133" i="2" s="1"/>
  <c r="Q125" i="2"/>
  <c r="R125" i="2" s="1"/>
  <c r="Q117" i="2"/>
  <c r="R117" i="2" s="1"/>
  <c r="Q109" i="2"/>
  <c r="R109" i="2" s="1"/>
  <c r="Q101" i="2"/>
  <c r="R101" i="2" s="1"/>
  <c r="Q93" i="2"/>
  <c r="R93" i="2" s="1"/>
  <c r="Q85" i="2"/>
  <c r="R85" i="2" s="1"/>
  <c r="Q77" i="2"/>
  <c r="R77" i="2" s="1"/>
  <c r="Q69" i="2"/>
  <c r="R69" i="2" s="1"/>
  <c r="Q61" i="2"/>
  <c r="R61" i="2" s="1"/>
  <c r="Q53" i="2"/>
  <c r="R53" i="2" s="1"/>
  <c r="Q45" i="2"/>
  <c r="R45" i="2" s="1"/>
  <c r="Q37" i="2"/>
  <c r="R37" i="2" s="1"/>
  <c r="Q29" i="2"/>
  <c r="R29" i="2" s="1"/>
  <c r="Q21" i="2"/>
  <c r="R21" i="2" s="1"/>
  <c r="I23" i="2"/>
  <c r="J23" i="2" s="1"/>
  <c r="I31" i="2"/>
  <c r="J31" i="2" s="1"/>
  <c r="I39" i="2"/>
  <c r="J39" i="2" s="1"/>
  <c r="I47" i="2"/>
  <c r="J47" i="2" s="1"/>
  <c r="I55" i="2"/>
  <c r="J55" i="2" s="1"/>
  <c r="I63" i="2"/>
  <c r="J63" i="2" s="1"/>
  <c r="I71" i="2"/>
  <c r="J71" i="2" s="1"/>
  <c r="I79" i="2"/>
  <c r="J79" i="2" s="1"/>
  <c r="I87" i="2"/>
  <c r="J87" i="2" s="1"/>
  <c r="I95" i="2"/>
  <c r="J95" i="2" s="1"/>
  <c r="I103" i="2"/>
  <c r="J103" i="2" s="1"/>
  <c r="I111" i="2"/>
  <c r="J111" i="2" s="1"/>
  <c r="I119" i="2"/>
  <c r="J119" i="2" s="1"/>
  <c r="I127" i="2"/>
  <c r="J127" i="2" s="1"/>
  <c r="I135" i="2"/>
  <c r="J135" i="2" s="1"/>
  <c r="I143" i="2"/>
  <c r="J143" i="2" s="1"/>
  <c r="I151" i="2"/>
  <c r="J151" i="2" s="1"/>
  <c r="I159" i="2"/>
  <c r="J159" i="2" s="1"/>
  <c r="I167" i="2"/>
  <c r="J167" i="2" s="1"/>
  <c r="I175" i="2"/>
  <c r="J175" i="2" s="1"/>
  <c r="AG420" i="2"/>
  <c r="AH420" i="2" s="1"/>
  <c r="Y431" i="2"/>
  <c r="Z431" i="2" s="1"/>
  <c r="Y329" i="2"/>
  <c r="Z329" i="2" s="1"/>
  <c r="Y267" i="2"/>
  <c r="Z267" i="2" s="1"/>
  <c r="Y143" i="2"/>
  <c r="Z143" i="2" s="1"/>
  <c r="Y113" i="2"/>
  <c r="Z113" i="2" s="1"/>
  <c r="Y21" i="2"/>
  <c r="Z21" i="2" s="1"/>
  <c r="Q501" i="2"/>
  <c r="R501" i="2" s="1"/>
  <c r="Q469" i="2"/>
  <c r="R469" i="2" s="1"/>
  <c r="Q438" i="2"/>
  <c r="R438" i="2" s="1"/>
  <c r="Q419" i="2"/>
  <c r="R419" i="2" s="1"/>
  <c r="Q397" i="2"/>
  <c r="R397" i="2" s="1"/>
  <c r="Q377" i="2"/>
  <c r="R377" i="2" s="1"/>
  <c r="Q361" i="2"/>
  <c r="R361" i="2" s="1"/>
  <c r="Q345" i="2"/>
  <c r="R345" i="2" s="1"/>
  <c r="Q329" i="2"/>
  <c r="R329" i="2" s="1"/>
  <c r="Q315" i="2"/>
  <c r="R315" i="2" s="1"/>
  <c r="Q307" i="2"/>
  <c r="R307" i="2" s="1"/>
  <c r="Q299" i="2"/>
  <c r="R299" i="2" s="1"/>
  <c r="Q291" i="2"/>
  <c r="R291" i="2" s="1"/>
  <c r="Q283" i="2"/>
  <c r="R283" i="2" s="1"/>
  <c r="Q275" i="2"/>
  <c r="R275" i="2" s="1"/>
  <c r="Q267" i="2"/>
  <c r="R267" i="2" s="1"/>
  <c r="Q259" i="2"/>
  <c r="R259" i="2" s="1"/>
  <c r="Q251" i="2"/>
  <c r="R251" i="2" s="1"/>
  <c r="Q243" i="2"/>
  <c r="R243" i="2" s="1"/>
  <c r="Q235" i="2"/>
  <c r="R235" i="2" s="1"/>
  <c r="Q227" i="2"/>
  <c r="R227" i="2" s="1"/>
  <c r="Q219" i="2"/>
  <c r="R219" i="2" s="1"/>
  <c r="Q211" i="2"/>
  <c r="R211" i="2" s="1"/>
  <c r="Q203" i="2"/>
  <c r="R203" i="2" s="1"/>
  <c r="Q195" i="2"/>
  <c r="R195" i="2" s="1"/>
  <c r="Q187" i="2"/>
  <c r="R187" i="2" s="1"/>
  <c r="Q179" i="2"/>
  <c r="R179" i="2" s="1"/>
  <c r="Q171" i="2"/>
  <c r="R171" i="2" s="1"/>
  <c r="Q163" i="2"/>
  <c r="R163" i="2" s="1"/>
  <c r="Q155" i="2"/>
  <c r="R155" i="2" s="1"/>
  <c r="Q148" i="2"/>
  <c r="R148" i="2" s="1"/>
  <c r="Q140" i="2"/>
  <c r="R140" i="2" s="1"/>
  <c r="Q132" i="2"/>
  <c r="R132" i="2" s="1"/>
  <c r="Q124" i="2"/>
  <c r="R124" i="2" s="1"/>
  <c r="Q116" i="2"/>
  <c r="R116" i="2" s="1"/>
  <c r="Q108" i="2"/>
  <c r="R108" i="2" s="1"/>
  <c r="Q100" i="2"/>
  <c r="R100" i="2" s="1"/>
  <c r="Q92" i="2"/>
  <c r="R92" i="2" s="1"/>
  <c r="Q84" i="2"/>
  <c r="R84" i="2" s="1"/>
  <c r="Q76" i="2"/>
  <c r="R76" i="2" s="1"/>
  <c r="Q68" i="2"/>
  <c r="R68" i="2" s="1"/>
  <c r="Q60" i="2"/>
  <c r="R60" i="2" s="1"/>
  <c r="Q52" i="2"/>
  <c r="R52" i="2" s="1"/>
  <c r="Q44" i="2"/>
  <c r="R44" i="2" s="1"/>
  <c r="Q36" i="2"/>
  <c r="R36" i="2" s="1"/>
  <c r="Q28" i="2"/>
  <c r="R28" i="2" s="1"/>
  <c r="Q20" i="2"/>
  <c r="R20" i="2" s="1"/>
  <c r="I24" i="2"/>
  <c r="J24" i="2" s="1"/>
  <c r="I32" i="2"/>
  <c r="J32" i="2" s="1"/>
  <c r="I40" i="2"/>
  <c r="J40" i="2" s="1"/>
  <c r="I48" i="2"/>
  <c r="J48" i="2" s="1"/>
  <c r="I56" i="2"/>
  <c r="J56" i="2" s="1"/>
  <c r="I64" i="2"/>
  <c r="J64" i="2" s="1"/>
  <c r="I72" i="2"/>
  <c r="J72" i="2" s="1"/>
  <c r="I80" i="2"/>
  <c r="J80" i="2" s="1"/>
  <c r="I88" i="2"/>
  <c r="J88" i="2" s="1"/>
  <c r="I96" i="2"/>
  <c r="J96" i="2" s="1"/>
  <c r="I104" i="2"/>
  <c r="J104" i="2" s="1"/>
  <c r="I112" i="2"/>
  <c r="J112" i="2" s="1"/>
  <c r="I120" i="2"/>
  <c r="J120" i="2" s="1"/>
  <c r="I128" i="2"/>
  <c r="J128" i="2" s="1"/>
  <c r="I136" i="2"/>
  <c r="J136" i="2" s="1"/>
  <c r="I144" i="2"/>
  <c r="J144" i="2" s="1"/>
  <c r="I152" i="2"/>
  <c r="J152" i="2" s="1"/>
  <c r="I160" i="2"/>
  <c r="J160" i="2" s="1"/>
  <c r="I168" i="2"/>
  <c r="J168" i="2" s="1"/>
  <c r="I176" i="2"/>
  <c r="J176" i="2" s="1"/>
  <c r="I184" i="2"/>
  <c r="J184" i="2" s="1"/>
  <c r="I192" i="2"/>
  <c r="J192" i="2" s="1"/>
  <c r="I200" i="2"/>
  <c r="J200" i="2" s="1"/>
  <c r="I208" i="2"/>
  <c r="J208" i="2" s="1"/>
  <c r="I216" i="2"/>
  <c r="J216" i="2" s="1"/>
  <c r="I224" i="2"/>
  <c r="J224" i="2" s="1"/>
  <c r="Y394" i="2"/>
  <c r="Z394" i="2" s="1"/>
  <c r="Y321" i="2"/>
  <c r="Z321" i="2" s="1"/>
  <c r="Y261" i="2"/>
  <c r="Z261" i="2" s="1"/>
  <c r="Y229" i="2"/>
  <c r="Z229" i="2" s="1"/>
  <c r="Y136" i="2"/>
  <c r="Z136" i="2" s="1"/>
  <c r="Y106" i="2"/>
  <c r="Z106" i="2" s="1"/>
  <c r="Y75" i="2"/>
  <c r="Z75" i="2" s="1"/>
  <c r="Q526" i="2"/>
  <c r="R526" i="2" s="1"/>
  <c r="Q494" i="2"/>
  <c r="R494" i="2" s="1"/>
  <c r="Q462" i="2"/>
  <c r="R462" i="2" s="1"/>
  <c r="Q437" i="2"/>
  <c r="R437" i="2" s="1"/>
  <c r="Q414" i="2"/>
  <c r="R414" i="2" s="1"/>
  <c r="Q395" i="2"/>
  <c r="R395" i="2" s="1"/>
  <c r="Q374" i="2"/>
  <c r="R374" i="2" s="1"/>
  <c r="Q358" i="2"/>
  <c r="R358" i="2" s="1"/>
  <c r="Q342" i="2"/>
  <c r="R342" i="2" s="1"/>
  <c r="Q326" i="2"/>
  <c r="R326" i="2" s="1"/>
  <c r="Q314" i="2"/>
  <c r="R314" i="2" s="1"/>
  <c r="Q306" i="2"/>
  <c r="R306" i="2" s="1"/>
  <c r="Q298" i="2"/>
  <c r="R298" i="2" s="1"/>
  <c r="Q290" i="2"/>
  <c r="R290" i="2" s="1"/>
  <c r="Q282" i="2"/>
  <c r="R282" i="2" s="1"/>
  <c r="Q274" i="2"/>
  <c r="R274" i="2" s="1"/>
  <c r="Q266" i="2"/>
  <c r="R266" i="2" s="1"/>
  <c r="Q258" i="2"/>
  <c r="R258" i="2" s="1"/>
  <c r="Q250" i="2"/>
  <c r="R250" i="2" s="1"/>
  <c r="Q242" i="2"/>
  <c r="R242" i="2" s="1"/>
  <c r="Q234" i="2"/>
  <c r="R234" i="2" s="1"/>
  <c r="Q226" i="2"/>
  <c r="R226" i="2" s="1"/>
  <c r="Q218" i="2"/>
  <c r="R218" i="2" s="1"/>
  <c r="Q210" i="2"/>
  <c r="R210" i="2" s="1"/>
  <c r="Q202" i="2"/>
  <c r="R202" i="2" s="1"/>
  <c r="Q194" i="2"/>
  <c r="R194" i="2" s="1"/>
  <c r="Q186" i="2"/>
  <c r="R186" i="2" s="1"/>
  <c r="Q178" i="2"/>
  <c r="R178" i="2" s="1"/>
  <c r="Q170" i="2"/>
  <c r="R170" i="2" s="1"/>
  <c r="Q162" i="2"/>
  <c r="R162" i="2" s="1"/>
  <c r="Q154" i="2"/>
  <c r="R154" i="2" s="1"/>
  <c r="Q147" i="2"/>
  <c r="R147" i="2" s="1"/>
  <c r="Q139" i="2"/>
  <c r="R139" i="2" s="1"/>
  <c r="Q131" i="2"/>
  <c r="R131" i="2" s="1"/>
  <c r="Q123" i="2"/>
  <c r="R123" i="2" s="1"/>
  <c r="Q115" i="2"/>
  <c r="R115" i="2" s="1"/>
  <c r="Q107" i="2"/>
  <c r="R107" i="2" s="1"/>
  <c r="Q99" i="2"/>
  <c r="R99" i="2" s="1"/>
  <c r="Q91" i="2"/>
  <c r="R91" i="2" s="1"/>
  <c r="Q83" i="2"/>
  <c r="R83" i="2" s="1"/>
  <c r="Q75" i="2"/>
  <c r="R75" i="2" s="1"/>
  <c r="Q67" i="2"/>
  <c r="R67" i="2" s="1"/>
  <c r="Q59" i="2"/>
  <c r="R59" i="2" s="1"/>
  <c r="Q51" i="2"/>
  <c r="R51" i="2" s="1"/>
  <c r="Q43" i="2"/>
  <c r="R43" i="2" s="1"/>
  <c r="Q35" i="2"/>
  <c r="R35" i="2" s="1"/>
  <c r="Q27" i="2"/>
  <c r="R27" i="2" s="1"/>
  <c r="Q19" i="2"/>
  <c r="R19" i="2" s="1"/>
  <c r="I25" i="2"/>
  <c r="J25" i="2" s="1"/>
  <c r="I33" i="2"/>
  <c r="J33" i="2" s="1"/>
  <c r="I41" i="2"/>
  <c r="J41" i="2" s="1"/>
  <c r="I49" i="2"/>
  <c r="J49" i="2" s="1"/>
  <c r="I57" i="2"/>
  <c r="J57" i="2" s="1"/>
  <c r="I65" i="2"/>
  <c r="J65" i="2" s="1"/>
  <c r="I73" i="2"/>
  <c r="J73" i="2" s="1"/>
  <c r="I81" i="2"/>
  <c r="J81" i="2" s="1"/>
  <c r="I89" i="2"/>
  <c r="J89" i="2" s="1"/>
  <c r="I97" i="2"/>
  <c r="J97" i="2" s="1"/>
  <c r="I105" i="2"/>
  <c r="J105" i="2" s="1"/>
  <c r="I113" i="2"/>
  <c r="J113" i="2" s="1"/>
  <c r="I121" i="2"/>
  <c r="J121" i="2" s="1"/>
  <c r="I129" i="2"/>
  <c r="J129" i="2" s="1"/>
  <c r="AG292" i="2"/>
  <c r="AH292" i="2" s="1"/>
  <c r="Y376" i="2"/>
  <c r="Z376" i="2" s="1"/>
  <c r="Y313" i="2"/>
  <c r="Z313" i="2" s="1"/>
  <c r="Y260" i="2"/>
  <c r="Z260" i="2" s="1"/>
  <c r="Y228" i="2"/>
  <c r="Z228" i="2" s="1"/>
  <c r="Y135" i="2"/>
  <c r="Z135" i="2" s="1"/>
  <c r="Y105" i="2"/>
  <c r="Z105" i="2" s="1"/>
  <c r="Y74" i="2"/>
  <c r="Z74" i="2" s="1"/>
  <c r="Q525" i="2"/>
  <c r="R525" i="2" s="1"/>
  <c r="Q493" i="2"/>
  <c r="R493" i="2" s="1"/>
  <c r="Q461" i="2"/>
  <c r="R461" i="2" s="1"/>
  <c r="Q435" i="2"/>
  <c r="R435" i="2" s="1"/>
  <c r="Q413" i="2"/>
  <c r="R413" i="2" s="1"/>
  <c r="Q390" i="2"/>
  <c r="R390" i="2" s="1"/>
  <c r="Q373" i="2"/>
  <c r="R373" i="2" s="1"/>
  <c r="Q357" i="2"/>
  <c r="R357" i="2" s="1"/>
  <c r="Q341" i="2"/>
  <c r="R341" i="2" s="1"/>
  <c r="Q325" i="2"/>
  <c r="R325" i="2" s="1"/>
  <c r="Q313" i="2"/>
  <c r="R313" i="2" s="1"/>
  <c r="Q305" i="2"/>
  <c r="R305" i="2" s="1"/>
  <c r="Q297" i="2"/>
  <c r="R297" i="2" s="1"/>
  <c r="Q289" i="2"/>
  <c r="R289" i="2" s="1"/>
  <c r="Q281" i="2"/>
  <c r="R281" i="2" s="1"/>
  <c r="Q273" i="2"/>
  <c r="R273" i="2" s="1"/>
  <c r="Q265" i="2"/>
  <c r="R265" i="2" s="1"/>
  <c r="Q257" i="2"/>
  <c r="R257" i="2" s="1"/>
  <c r="Q249" i="2"/>
  <c r="R249" i="2" s="1"/>
  <c r="Q241" i="2"/>
  <c r="R241" i="2" s="1"/>
  <c r="Q233" i="2"/>
  <c r="R233" i="2" s="1"/>
  <c r="Q225" i="2"/>
  <c r="R225" i="2" s="1"/>
  <c r="Q217" i="2"/>
  <c r="R217" i="2" s="1"/>
  <c r="Q209" i="2"/>
  <c r="R209" i="2" s="1"/>
  <c r="Q201" i="2"/>
  <c r="R201" i="2" s="1"/>
  <c r="Q193" i="2"/>
  <c r="R193" i="2" s="1"/>
  <c r="Q185" i="2"/>
  <c r="R185" i="2" s="1"/>
  <c r="Q177" i="2"/>
  <c r="R177" i="2" s="1"/>
  <c r="Q169" i="2"/>
  <c r="R169" i="2" s="1"/>
  <c r="Q161" i="2"/>
  <c r="R161" i="2" s="1"/>
  <c r="Q153" i="2"/>
  <c r="R153" i="2" s="1"/>
  <c r="Q146" i="2"/>
  <c r="R146" i="2" s="1"/>
  <c r="Q138" i="2"/>
  <c r="R138" i="2" s="1"/>
  <c r="Q130" i="2"/>
  <c r="R130" i="2" s="1"/>
  <c r="Q122" i="2"/>
  <c r="R122" i="2" s="1"/>
  <c r="Q114" i="2"/>
  <c r="R114" i="2" s="1"/>
  <c r="Q106" i="2"/>
  <c r="R106" i="2" s="1"/>
  <c r="Q98" i="2"/>
  <c r="R98" i="2" s="1"/>
  <c r="Q90" i="2"/>
  <c r="R90" i="2" s="1"/>
  <c r="Q82" i="2"/>
  <c r="R82" i="2" s="1"/>
  <c r="Q74" i="2"/>
  <c r="R74" i="2" s="1"/>
  <c r="Q66" i="2"/>
  <c r="R66" i="2" s="1"/>
  <c r="Q58" i="2"/>
  <c r="R58" i="2" s="1"/>
  <c r="Q50" i="2"/>
  <c r="R50" i="2" s="1"/>
  <c r="Q42" i="2"/>
  <c r="R42" i="2" s="1"/>
  <c r="Q34" i="2"/>
  <c r="R34" i="2" s="1"/>
  <c r="Q26" i="2"/>
  <c r="R26" i="2" s="1"/>
  <c r="Q18" i="2"/>
  <c r="R18" i="2" s="1"/>
  <c r="I26" i="2"/>
  <c r="J26" i="2" s="1"/>
  <c r="I34" i="2"/>
  <c r="J34" i="2" s="1"/>
  <c r="I42" i="2"/>
  <c r="J42" i="2" s="1"/>
  <c r="I50" i="2"/>
  <c r="J50" i="2" s="1"/>
  <c r="I58" i="2"/>
  <c r="J58" i="2" s="1"/>
  <c r="I66" i="2"/>
  <c r="J66" i="2" s="1"/>
  <c r="I74" i="2"/>
  <c r="J74" i="2" s="1"/>
  <c r="I82" i="2"/>
  <c r="J82" i="2" s="1"/>
  <c r="I90" i="2"/>
  <c r="J90" i="2" s="1"/>
  <c r="I98" i="2"/>
  <c r="J98" i="2" s="1"/>
  <c r="I106" i="2"/>
  <c r="J106" i="2" s="1"/>
  <c r="I114" i="2"/>
  <c r="J114" i="2" s="1"/>
  <c r="I122" i="2"/>
  <c r="J122" i="2" s="1"/>
  <c r="I130" i="2"/>
  <c r="J130" i="2" s="1"/>
  <c r="I138" i="2"/>
  <c r="J138" i="2" s="1"/>
  <c r="I146" i="2"/>
  <c r="J146" i="2" s="1"/>
  <c r="I154" i="2"/>
  <c r="J154" i="2" s="1"/>
  <c r="I162" i="2"/>
  <c r="J162" i="2" s="1"/>
  <c r="I170" i="2"/>
  <c r="J170" i="2" s="1"/>
  <c r="I178" i="2"/>
  <c r="J178" i="2" s="1"/>
  <c r="I186" i="2"/>
  <c r="J186" i="2" s="1"/>
  <c r="I194" i="2"/>
  <c r="J194" i="2" s="1"/>
  <c r="I202" i="2"/>
  <c r="J202" i="2" s="1"/>
  <c r="AG228" i="2"/>
  <c r="AH228" i="2" s="1"/>
  <c r="Y369" i="2"/>
  <c r="Z369" i="2" s="1"/>
  <c r="Y305" i="2"/>
  <c r="Z305" i="2" s="1"/>
  <c r="Y253" i="2"/>
  <c r="Z253" i="2" s="1"/>
  <c r="Y221" i="2"/>
  <c r="Z221" i="2" s="1"/>
  <c r="Y190" i="2"/>
  <c r="Z190" i="2" s="1"/>
  <c r="Y68" i="2"/>
  <c r="Z68" i="2" s="1"/>
  <c r="Y37" i="2"/>
  <c r="Z37" i="2" s="1"/>
  <c r="Q518" i="2"/>
  <c r="R518" i="2" s="1"/>
  <c r="Q486" i="2"/>
  <c r="R486" i="2" s="1"/>
  <c r="Q454" i="2"/>
  <c r="R454" i="2" s="1"/>
  <c r="Q430" i="2"/>
  <c r="R430" i="2" s="1"/>
  <c r="Q411" i="2"/>
  <c r="R411" i="2" s="1"/>
  <c r="Q389" i="2"/>
  <c r="R389" i="2" s="1"/>
  <c r="Q371" i="2"/>
  <c r="R371" i="2" s="1"/>
  <c r="Q355" i="2"/>
  <c r="R355" i="2" s="1"/>
  <c r="Q339" i="2"/>
  <c r="R339" i="2" s="1"/>
  <c r="Q323" i="2"/>
  <c r="R323" i="2" s="1"/>
  <c r="Q312" i="2"/>
  <c r="R312" i="2" s="1"/>
  <c r="Q304" i="2"/>
  <c r="R304" i="2" s="1"/>
  <c r="Q296" i="2"/>
  <c r="R296" i="2" s="1"/>
  <c r="Q288" i="2"/>
  <c r="R288" i="2" s="1"/>
  <c r="Q280" i="2"/>
  <c r="R280" i="2" s="1"/>
  <c r="Q272" i="2"/>
  <c r="R272" i="2" s="1"/>
  <c r="Q264" i="2"/>
  <c r="R264" i="2" s="1"/>
  <c r="Q256" i="2"/>
  <c r="R256" i="2" s="1"/>
  <c r="Q248" i="2"/>
  <c r="R248" i="2" s="1"/>
  <c r="Q240" i="2"/>
  <c r="R240" i="2" s="1"/>
  <c r="Q232" i="2"/>
  <c r="R232" i="2" s="1"/>
  <c r="Q224" i="2"/>
  <c r="R224" i="2" s="1"/>
  <c r="Q216" i="2"/>
  <c r="R216" i="2" s="1"/>
  <c r="Q208" i="2"/>
  <c r="R208" i="2" s="1"/>
  <c r="Q200" i="2"/>
  <c r="R200" i="2" s="1"/>
  <c r="Q192" i="2"/>
  <c r="R192" i="2" s="1"/>
  <c r="Q184" i="2"/>
  <c r="R184" i="2" s="1"/>
  <c r="Q176" i="2"/>
  <c r="R176" i="2" s="1"/>
  <c r="Q168" i="2"/>
  <c r="R168" i="2" s="1"/>
  <c r="Q160" i="2"/>
  <c r="R160" i="2" s="1"/>
  <c r="Q152" i="2"/>
  <c r="R152" i="2" s="1"/>
  <c r="Q145" i="2"/>
  <c r="R145" i="2" s="1"/>
  <c r="Q137" i="2"/>
  <c r="R137" i="2" s="1"/>
  <c r="Q129" i="2"/>
  <c r="R129" i="2" s="1"/>
  <c r="Q121" i="2"/>
  <c r="R121" i="2" s="1"/>
  <c r="Q113" i="2"/>
  <c r="R113" i="2" s="1"/>
  <c r="Q105" i="2"/>
  <c r="R105" i="2" s="1"/>
  <c r="Q97" i="2"/>
  <c r="R97" i="2" s="1"/>
  <c r="Q89" i="2"/>
  <c r="R89" i="2" s="1"/>
  <c r="Q81" i="2"/>
  <c r="R81" i="2" s="1"/>
  <c r="Q73" i="2"/>
  <c r="R73" i="2" s="1"/>
  <c r="Q65" i="2"/>
  <c r="R65" i="2" s="1"/>
  <c r="Q57" i="2"/>
  <c r="R57" i="2" s="1"/>
  <c r="Q49" i="2"/>
  <c r="R49" i="2" s="1"/>
  <c r="Y361" i="2"/>
  <c r="Z361" i="2" s="1"/>
  <c r="Y297" i="2"/>
  <c r="Z297" i="2" s="1"/>
  <c r="Y220" i="2"/>
  <c r="Z220" i="2" s="1"/>
  <c r="Y189" i="2"/>
  <c r="Z189" i="2" s="1"/>
  <c r="Y67" i="2"/>
  <c r="Z67" i="2" s="1"/>
  <c r="Y36" i="2"/>
  <c r="Z36" i="2" s="1"/>
  <c r="Q517" i="2"/>
  <c r="R517" i="2" s="1"/>
  <c r="Q485" i="2"/>
  <c r="R485" i="2" s="1"/>
  <c r="Q453" i="2"/>
  <c r="R453" i="2" s="1"/>
  <c r="Q429" i="2"/>
  <c r="R429" i="2" s="1"/>
  <c r="Q406" i="2"/>
  <c r="R406" i="2" s="1"/>
  <c r="Q387" i="2"/>
  <c r="R387" i="2" s="1"/>
  <c r="Q369" i="2"/>
  <c r="R369" i="2" s="1"/>
  <c r="Q353" i="2"/>
  <c r="R353" i="2" s="1"/>
  <c r="Q337" i="2"/>
  <c r="R337" i="2" s="1"/>
  <c r="Q322" i="2"/>
  <c r="R322" i="2" s="1"/>
  <c r="Q311" i="2"/>
  <c r="R311" i="2" s="1"/>
  <c r="Q303" i="2"/>
  <c r="R303" i="2" s="1"/>
  <c r="Q295" i="2"/>
  <c r="R295" i="2" s="1"/>
  <c r="Q287" i="2"/>
  <c r="R287" i="2" s="1"/>
  <c r="Q279" i="2"/>
  <c r="R279" i="2" s="1"/>
  <c r="Q271" i="2"/>
  <c r="R271" i="2" s="1"/>
  <c r="Q263" i="2"/>
  <c r="R263" i="2" s="1"/>
  <c r="Q255" i="2"/>
  <c r="R255" i="2" s="1"/>
  <c r="Q247" i="2"/>
  <c r="R247" i="2" s="1"/>
  <c r="Q239" i="2"/>
  <c r="R239" i="2" s="1"/>
  <c r="Q231" i="2"/>
  <c r="R231" i="2" s="1"/>
  <c r="Q223" i="2"/>
  <c r="R223" i="2" s="1"/>
  <c r="Q215" i="2"/>
  <c r="R215" i="2" s="1"/>
  <c r="Q207" i="2"/>
  <c r="R207" i="2" s="1"/>
  <c r="Q199" i="2"/>
  <c r="R199" i="2" s="1"/>
  <c r="Q191" i="2"/>
  <c r="R191" i="2" s="1"/>
  <c r="Q183" i="2"/>
  <c r="R183" i="2" s="1"/>
  <c r="Q175" i="2"/>
  <c r="R175" i="2" s="1"/>
  <c r="Q167" i="2"/>
  <c r="R167" i="2" s="1"/>
  <c r="Q159" i="2"/>
  <c r="R159" i="2" s="1"/>
  <c r="Q144" i="2"/>
  <c r="R144" i="2" s="1"/>
  <c r="Q136" i="2"/>
  <c r="R136" i="2" s="1"/>
  <c r="Q128" i="2"/>
  <c r="R128" i="2" s="1"/>
  <c r="Q120" i="2"/>
  <c r="R120" i="2" s="1"/>
  <c r="Q112" i="2"/>
  <c r="R112" i="2" s="1"/>
  <c r="Q104" i="2"/>
  <c r="R104" i="2" s="1"/>
  <c r="Q96" i="2"/>
  <c r="R96" i="2" s="1"/>
  <c r="Q88" i="2"/>
  <c r="R88" i="2" s="1"/>
  <c r="Q80" i="2"/>
  <c r="R80" i="2" s="1"/>
  <c r="Q72" i="2"/>
  <c r="R72" i="2" s="1"/>
  <c r="Q64" i="2"/>
  <c r="R64" i="2" s="1"/>
  <c r="Q56" i="2"/>
  <c r="R56" i="2" s="1"/>
  <c r="Q48" i="2"/>
  <c r="R48" i="2" s="1"/>
  <c r="Q40" i="2"/>
  <c r="R40" i="2" s="1"/>
  <c r="Q32" i="2"/>
  <c r="R32" i="2" s="1"/>
  <c r="Q24" i="2"/>
  <c r="R24" i="2" s="1"/>
  <c r="I20" i="2"/>
  <c r="J20" i="2" s="1"/>
  <c r="I28" i="2"/>
  <c r="J28" i="2" s="1"/>
  <c r="I36" i="2"/>
  <c r="J36" i="2" s="1"/>
  <c r="I44" i="2"/>
  <c r="J44" i="2" s="1"/>
  <c r="I52" i="2"/>
  <c r="J52" i="2" s="1"/>
  <c r="I60" i="2"/>
  <c r="J60" i="2" s="1"/>
  <c r="I68" i="2"/>
  <c r="J68" i="2" s="1"/>
  <c r="I76" i="2"/>
  <c r="J76" i="2" s="1"/>
  <c r="I84" i="2"/>
  <c r="J84" i="2" s="1"/>
  <c r="I92" i="2"/>
  <c r="J92" i="2" s="1"/>
  <c r="I100" i="2"/>
  <c r="J100" i="2" s="1"/>
  <c r="I108" i="2"/>
  <c r="J108" i="2" s="1"/>
  <c r="I116" i="2"/>
  <c r="J116" i="2" s="1"/>
  <c r="I132" i="2"/>
  <c r="J132" i="2" s="1"/>
  <c r="I140" i="2"/>
  <c r="J140" i="2" s="1"/>
  <c r="I148" i="2"/>
  <c r="J148" i="2" s="1"/>
  <c r="I156" i="2"/>
  <c r="J156" i="2" s="1"/>
  <c r="I164" i="2"/>
  <c r="J164" i="2" s="1"/>
  <c r="I172" i="2"/>
  <c r="J172" i="2" s="1"/>
  <c r="I180" i="2"/>
  <c r="J180" i="2" s="1"/>
  <c r="I188" i="2"/>
  <c r="J188" i="2" s="1"/>
  <c r="I196" i="2"/>
  <c r="J196" i="2" s="1"/>
  <c r="I204" i="2"/>
  <c r="J204" i="2" s="1"/>
  <c r="I212" i="2"/>
  <c r="J212" i="2" s="1"/>
  <c r="I220" i="2"/>
  <c r="J220" i="2" s="1"/>
  <c r="I523" i="2"/>
  <c r="J523" i="2" s="1"/>
  <c r="I515" i="2"/>
  <c r="J515" i="2" s="1"/>
  <c r="I507" i="2"/>
  <c r="J507" i="2" s="1"/>
  <c r="I499" i="2"/>
  <c r="J499" i="2" s="1"/>
  <c r="I491" i="2"/>
  <c r="J491" i="2" s="1"/>
  <c r="I483" i="2"/>
  <c r="J483" i="2" s="1"/>
  <c r="I475" i="2"/>
  <c r="J475" i="2" s="1"/>
  <c r="I467" i="2"/>
  <c r="J467" i="2" s="1"/>
  <c r="I459" i="2"/>
  <c r="J459" i="2" s="1"/>
  <c r="I451" i="2"/>
  <c r="J451" i="2" s="1"/>
  <c r="I443" i="2"/>
  <c r="J443" i="2" s="1"/>
  <c r="I435" i="2"/>
  <c r="J435" i="2" s="1"/>
  <c r="I427" i="2"/>
  <c r="J427" i="2" s="1"/>
  <c r="I419" i="2"/>
  <c r="J419" i="2" s="1"/>
  <c r="I411" i="2"/>
  <c r="J411" i="2" s="1"/>
  <c r="I403" i="2"/>
  <c r="J403" i="2" s="1"/>
  <c r="I395" i="2"/>
  <c r="J395" i="2" s="1"/>
  <c r="I387" i="2"/>
  <c r="J387" i="2" s="1"/>
  <c r="I379" i="2"/>
  <c r="J379" i="2" s="1"/>
  <c r="I371" i="2"/>
  <c r="J371" i="2" s="1"/>
  <c r="I363" i="2"/>
  <c r="J363" i="2" s="1"/>
  <c r="I355" i="2"/>
  <c r="J355" i="2" s="1"/>
  <c r="I347" i="2"/>
  <c r="J347" i="2" s="1"/>
  <c r="I339" i="2"/>
  <c r="J339" i="2" s="1"/>
  <c r="I331" i="2"/>
  <c r="J331" i="2" s="1"/>
  <c r="I323" i="2"/>
  <c r="J323" i="2" s="1"/>
  <c r="I315" i="2"/>
  <c r="J315" i="2" s="1"/>
  <c r="I307" i="2"/>
  <c r="J307" i="2" s="1"/>
  <c r="I299" i="2"/>
  <c r="J299" i="2" s="1"/>
  <c r="I291" i="2"/>
  <c r="J291" i="2" s="1"/>
  <c r="I283" i="2"/>
  <c r="J283" i="2" s="1"/>
  <c r="I275" i="2"/>
  <c r="J275" i="2" s="1"/>
  <c r="I267" i="2"/>
  <c r="J267" i="2" s="1"/>
  <c r="I259" i="2"/>
  <c r="J259" i="2" s="1"/>
  <c r="I251" i="2"/>
  <c r="J251" i="2" s="1"/>
  <c r="I243" i="2"/>
  <c r="J243" i="2" s="1"/>
  <c r="I235" i="2"/>
  <c r="J235" i="2" s="1"/>
  <c r="I227" i="2"/>
  <c r="J227" i="2" s="1"/>
  <c r="I217" i="2"/>
  <c r="J217" i="2" s="1"/>
  <c r="I206" i="2"/>
  <c r="J206" i="2" s="1"/>
  <c r="I193" i="2"/>
  <c r="J193" i="2" s="1"/>
  <c r="I181" i="2"/>
  <c r="J181" i="2" s="1"/>
  <c r="I165" i="2"/>
  <c r="J165" i="2" s="1"/>
  <c r="I149" i="2"/>
  <c r="J149" i="2" s="1"/>
  <c r="I133" i="2"/>
  <c r="J133" i="2" s="1"/>
  <c r="I110" i="2"/>
  <c r="J110" i="2" s="1"/>
  <c r="I91" i="2"/>
  <c r="J91" i="2" s="1"/>
  <c r="I69" i="2"/>
  <c r="J69" i="2" s="1"/>
  <c r="I46" i="2"/>
  <c r="J46" i="2" s="1"/>
  <c r="I27" i="2"/>
  <c r="J27" i="2" s="1"/>
  <c r="Q31" i="2"/>
  <c r="R31" i="2" s="1"/>
  <c r="Q55" i="2"/>
  <c r="R55" i="2" s="1"/>
  <c r="Q87" i="2"/>
  <c r="R87" i="2" s="1"/>
  <c r="Q151" i="2"/>
  <c r="R151" i="2" s="1"/>
  <c r="Q214" i="2"/>
  <c r="R214" i="2" s="1"/>
  <c r="Q278" i="2"/>
  <c r="R278" i="2" s="1"/>
  <c r="Q366" i="2"/>
  <c r="R366" i="2" s="1"/>
  <c r="Y60" i="2"/>
  <c r="Z60" i="2" s="1"/>
  <c r="Y353" i="2"/>
  <c r="Z353" i="2" s="1"/>
  <c r="I18" i="2"/>
  <c r="J18" i="2" s="1"/>
  <c r="I522" i="2"/>
  <c r="J522" i="2" s="1"/>
  <c r="I514" i="2"/>
  <c r="J514" i="2" s="1"/>
  <c r="I506" i="2"/>
  <c r="J506" i="2" s="1"/>
  <c r="I498" i="2"/>
  <c r="J498" i="2" s="1"/>
  <c r="I490" i="2"/>
  <c r="J490" i="2" s="1"/>
  <c r="I482" i="2"/>
  <c r="J482" i="2" s="1"/>
  <c r="I474" i="2"/>
  <c r="J474" i="2" s="1"/>
  <c r="I466" i="2"/>
  <c r="J466" i="2" s="1"/>
  <c r="I458" i="2"/>
  <c r="J458" i="2" s="1"/>
  <c r="I450" i="2"/>
  <c r="J450" i="2" s="1"/>
  <c r="I442" i="2"/>
  <c r="J442" i="2" s="1"/>
  <c r="I434" i="2"/>
  <c r="J434" i="2" s="1"/>
  <c r="I426" i="2"/>
  <c r="J426" i="2" s="1"/>
  <c r="I418" i="2"/>
  <c r="J418" i="2" s="1"/>
  <c r="I410" i="2"/>
  <c r="J410" i="2" s="1"/>
  <c r="I402" i="2"/>
  <c r="J402" i="2" s="1"/>
  <c r="I394" i="2"/>
  <c r="J394" i="2" s="1"/>
  <c r="I386" i="2"/>
  <c r="J386" i="2" s="1"/>
  <c r="I378" i="2"/>
  <c r="J378" i="2" s="1"/>
  <c r="I370" i="2"/>
  <c r="J370" i="2" s="1"/>
  <c r="I362" i="2"/>
  <c r="J362" i="2" s="1"/>
  <c r="I354" i="2"/>
  <c r="J354" i="2" s="1"/>
  <c r="I346" i="2"/>
  <c r="J346" i="2" s="1"/>
  <c r="I338" i="2"/>
  <c r="J338" i="2" s="1"/>
  <c r="I330" i="2"/>
  <c r="J330" i="2" s="1"/>
  <c r="I322" i="2"/>
  <c r="J322" i="2" s="1"/>
  <c r="I314" i="2"/>
  <c r="J314" i="2" s="1"/>
  <c r="I306" i="2"/>
  <c r="J306" i="2" s="1"/>
  <c r="I298" i="2"/>
  <c r="J298" i="2" s="1"/>
  <c r="I290" i="2"/>
  <c r="J290" i="2" s="1"/>
  <c r="I282" i="2"/>
  <c r="J282" i="2" s="1"/>
  <c r="I274" i="2"/>
  <c r="J274" i="2" s="1"/>
  <c r="I266" i="2"/>
  <c r="J266" i="2" s="1"/>
  <c r="I258" i="2"/>
  <c r="J258" i="2" s="1"/>
  <c r="I250" i="2"/>
  <c r="J250" i="2" s="1"/>
  <c r="I242" i="2"/>
  <c r="J242" i="2" s="1"/>
  <c r="I234" i="2"/>
  <c r="J234" i="2" s="1"/>
  <c r="I226" i="2"/>
  <c r="J226" i="2" s="1"/>
  <c r="I215" i="2"/>
  <c r="J215" i="2" s="1"/>
  <c r="I205" i="2"/>
  <c r="J205" i="2" s="1"/>
  <c r="I191" i="2"/>
  <c r="J191" i="2" s="1"/>
  <c r="I179" i="2"/>
  <c r="J179" i="2" s="1"/>
  <c r="I163" i="2"/>
  <c r="J163" i="2" s="1"/>
  <c r="I147" i="2"/>
  <c r="J147" i="2" s="1"/>
  <c r="I131" i="2"/>
  <c r="J131" i="2" s="1"/>
  <c r="I109" i="2"/>
  <c r="J109" i="2" s="1"/>
  <c r="I86" i="2"/>
  <c r="J86" i="2" s="1"/>
  <c r="I67" i="2"/>
  <c r="J67" i="2" s="1"/>
  <c r="I45" i="2"/>
  <c r="J45" i="2" s="1"/>
  <c r="I22" i="2"/>
  <c r="J22" i="2" s="1"/>
  <c r="Q33" i="2"/>
  <c r="R33" i="2" s="1"/>
  <c r="Q62" i="2"/>
  <c r="R62" i="2" s="1"/>
  <c r="Q95" i="2"/>
  <c r="R95" i="2" s="1"/>
  <c r="Q158" i="2"/>
  <c r="R158" i="2" s="1"/>
  <c r="Q222" i="2"/>
  <c r="R222" i="2" s="1"/>
  <c r="Q286" i="2"/>
  <c r="R286" i="2" s="1"/>
  <c r="Q382" i="2"/>
  <c r="R382" i="2" s="1"/>
  <c r="AG103" i="2"/>
  <c r="AH103" i="2" s="1"/>
  <c r="I521" i="2"/>
  <c r="J521" i="2" s="1"/>
  <c r="I513" i="2"/>
  <c r="J513" i="2" s="1"/>
  <c r="I505" i="2"/>
  <c r="J505" i="2" s="1"/>
  <c r="I497" i="2"/>
  <c r="J497" i="2" s="1"/>
  <c r="I489" i="2"/>
  <c r="J489" i="2" s="1"/>
  <c r="I481" i="2"/>
  <c r="J481" i="2" s="1"/>
  <c r="I473" i="2"/>
  <c r="J473" i="2" s="1"/>
  <c r="I465" i="2"/>
  <c r="J465" i="2" s="1"/>
  <c r="I457" i="2"/>
  <c r="J457" i="2" s="1"/>
  <c r="I449" i="2"/>
  <c r="J449" i="2" s="1"/>
  <c r="I441" i="2"/>
  <c r="J441" i="2" s="1"/>
  <c r="I433" i="2"/>
  <c r="J433" i="2" s="1"/>
  <c r="I425" i="2"/>
  <c r="J425" i="2" s="1"/>
  <c r="I417" i="2"/>
  <c r="J417" i="2" s="1"/>
  <c r="I409" i="2"/>
  <c r="J409" i="2" s="1"/>
  <c r="I401" i="2"/>
  <c r="J401" i="2" s="1"/>
  <c r="I393" i="2"/>
  <c r="J393" i="2" s="1"/>
  <c r="I385" i="2"/>
  <c r="J385" i="2" s="1"/>
  <c r="I377" i="2"/>
  <c r="J377" i="2" s="1"/>
  <c r="I369" i="2"/>
  <c r="J369" i="2" s="1"/>
  <c r="I361" i="2"/>
  <c r="J361" i="2" s="1"/>
  <c r="I353" i="2"/>
  <c r="J353" i="2" s="1"/>
  <c r="I345" i="2"/>
  <c r="J345" i="2" s="1"/>
  <c r="I337" i="2"/>
  <c r="J337" i="2" s="1"/>
  <c r="I329" i="2"/>
  <c r="J329" i="2" s="1"/>
  <c r="I321" i="2"/>
  <c r="J321" i="2" s="1"/>
  <c r="I313" i="2"/>
  <c r="J313" i="2" s="1"/>
  <c r="I305" i="2"/>
  <c r="J305" i="2" s="1"/>
  <c r="I297" i="2"/>
  <c r="J297" i="2" s="1"/>
  <c r="I289" i="2"/>
  <c r="J289" i="2" s="1"/>
  <c r="I281" i="2"/>
  <c r="J281" i="2" s="1"/>
  <c r="I273" i="2"/>
  <c r="J273" i="2" s="1"/>
  <c r="I265" i="2"/>
  <c r="J265" i="2" s="1"/>
  <c r="I257" i="2"/>
  <c r="J257" i="2" s="1"/>
  <c r="I249" i="2"/>
  <c r="J249" i="2" s="1"/>
  <c r="I241" i="2"/>
  <c r="J241" i="2" s="1"/>
  <c r="I233" i="2"/>
  <c r="J233" i="2" s="1"/>
  <c r="I225" i="2"/>
  <c r="J225" i="2" s="1"/>
  <c r="I214" i="2"/>
  <c r="J214" i="2" s="1"/>
  <c r="I203" i="2"/>
  <c r="J203" i="2" s="1"/>
  <c r="I190" i="2"/>
  <c r="J190" i="2" s="1"/>
  <c r="I177" i="2"/>
  <c r="J177" i="2" s="1"/>
  <c r="I161" i="2"/>
  <c r="J161" i="2" s="1"/>
  <c r="I145" i="2"/>
  <c r="J145" i="2" s="1"/>
  <c r="I126" i="2"/>
  <c r="J126" i="2" s="1"/>
  <c r="I107" i="2"/>
  <c r="J107" i="2" s="1"/>
  <c r="I85" i="2"/>
  <c r="J85" i="2" s="1"/>
  <c r="I62" i="2"/>
  <c r="J62" i="2" s="1"/>
  <c r="I43" i="2"/>
  <c r="J43" i="2" s="1"/>
  <c r="I21" i="2"/>
  <c r="J21" i="2" s="1"/>
  <c r="Q38" i="2"/>
  <c r="R38" i="2" s="1"/>
  <c r="Q63" i="2"/>
  <c r="R63" i="2" s="1"/>
  <c r="Q103" i="2"/>
  <c r="R103" i="2" s="1"/>
  <c r="Q166" i="2"/>
  <c r="R166" i="2" s="1"/>
  <c r="Q230" i="2"/>
  <c r="R230" i="2" s="1"/>
  <c r="Q294" i="2"/>
  <c r="R294" i="2" s="1"/>
  <c r="Q405" i="2"/>
  <c r="R405" i="2" s="1"/>
  <c r="AE385" i="2"/>
  <c r="AE343" i="2"/>
  <c r="AJ1879" i="2" s="1"/>
  <c r="AE309" i="2"/>
  <c r="AG309" i="2" s="1"/>
  <c r="AH309" i="2" s="1"/>
  <c r="AE267" i="2"/>
  <c r="AG267" i="2" s="1"/>
  <c r="AH267" i="2" s="1"/>
  <c r="AE157" i="2"/>
  <c r="AE115" i="2"/>
  <c r="AG115" i="2" s="1"/>
  <c r="AH115" i="2" s="1"/>
  <c r="AE82" i="2"/>
  <c r="AG82" i="2" s="1"/>
  <c r="AH82" i="2" s="1"/>
  <c r="AE81" i="2"/>
  <c r="AJ1617" i="2" s="1"/>
  <c r="AE39" i="2"/>
  <c r="AE233" i="2"/>
  <c r="AG233" i="2" s="1"/>
  <c r="AH233" i="2" s="1"/>
  <c r="AE191" i="2"/>
  <c r="W233" i="2"/>
  <c r="W191" i="2"/>
  <c r="W157" i="2"/>
  <c r="AJ1181" i="2" s="1"/>
  <c r="W115" i="2"/>
  <c r="W81" i="2"/>
  <c r="W39" i="2"/>
  <c r="W40" i="2" l="1"/>
  <c r="AJ1063" i="2"/>
  <c r="W82" i="2"/>
  <c r="AJ1105" i="2"/>
  <c r="W116" i="2"/>
  <c r="AJ1139" i="2"/>
  <c r="AE386" i="2"/>
  <c r="AJ1921" i="2"/>
  <c r="Y157" i="2"/>
  <c r="Z157" i="2" s="1"/>
  <c r="AG343" i="2"/>
  <c r="AH343" i="2" s="1"/>
  <c r="W192" i="2"/>
  <c r="AJ1215" i="2"/>
  <c r="AE158" i="2"/>
  <c r="AJ1693" i="2"/>
  <c r="AG81" i="2"/>
  <c r="AH81" i="2" s="1"/>
  <c r="Y81" i="2"/>
  <c r="Z81" i="2" s="1"/>
  <c r="Y115" i="2"/>
  <c r="Z115" i="2" s="1"/>
  <c r="Y39" i="2"/>
  <c r="Z39" i="2" s="1"/>
  <c r="W158" i="2"/>
  <c r="W234" i="2"/>
  <c r="AJ1257" i="2"/>
  <c r="AE268" i="2"/>
  <c r="AJ1803" i="2"/>
  <c r="AE192" i="2"/>
  <c r="AJ1727" i="2"/>
  <c r="AE310" i="2"/>
  <c r="AJ1845" i="2"/>
  <c r="Y191" i="2"/>
  <c r="Z191" i="2" s="1"/>
  <c r="AG157" i="2"/>
  <c r="AH157" i="2" s="1"/>
  <c r="AG385" i="2"/>
  <c r="AH385" i="2" s="1"/>
  <c r="AE83" i="2"/>
  <c r="AJ1618" i="2"/>
  <c r="AE116" i="2"/>
  <c r="AJ1651" i="2"/>
  <c r="AE234" i="2"/>
  <c r="AJ1769" i="2"/>
  <c r="AE40" i="2"/>
  <c r="AJ1575" i="2"/>
  <c r="AE344" i="2"/>
  <c r="Y233" i="2"/>
  <c r="Z233" i="2" s="1"/>
  <c r="AG39" i="2"/>
  <c r="AH39" i="2" s="1"/>
  <c r="AG191" i="2"/>
  <c r="AH191" i="2" s="1"/>
  <c r="AN400" i="2"/>
  <c r="AE345" i="2" l="1"/>
  <c r="AJ1880" i="2"/>
  <c r="AG344" i="2"/>
  <c r="AH344" i="2" s="1"/>
  <c r="AE84" i="2"/>
  <c r="AJ1619" i="2"/>
  <c r="AG83" i="2"/>
  <c r="AH83" i="2" s="1"/>
  <c r="AE387" i="2"/>
  <c r="AJ1922" i="2"/>
  <c r="AG386" i="2"/>
  <c r="AH386" i="2" s="1"/>
  <c r="AE193" i="2"/>
  <c r="AJ1728" i="2"/>
  <c r="AG192" i="2"/>
  <c r="AH192" i="2" s="1"/>
  <c r="AE269" i="2"/>
  <c r="AJ1804" i="2"/>
  <c r="AG268" i="2"/>
  <c r="AH268" i="2" s="1"/>
  <c r="AE117" i="2"/>
  <c r="AJ1652" i="2"/>
  <c r="AG116" i="2"/>
  <c r="AH116" i="2" s="1"/>
  <c r="AE41" i="2"/>
  <c r="AJ1576" i="2"/>
  <c r="AG40" i="2"/>
  <c r="AH40" i="2" s="1"/>
  <c r="AE159" i="2"/>
  <c r="AJ1694" i="2"/>
  <c r="AG158" i="2"/>
  <c r="AH158" i="2" s="1"/>
  <c r="W117" i="2"/>
  <c r="AJ1140" i="2"/>
  <c r="Y116" i="2"/>
  <c r="Z116" i="2" s="1"/>
  <c r="W235" i="2"/>
  <c r="AJ1258" i="2"/>
  <c r="Y234" i="2"/>
  <c r="Z234" i="2" s="1"/>
  <c r="W159" i="2"/>
  <c r="AJ1182" i="2"/>
  <c r="Y158" i="2"/>
  <c r="Z158" i="2" s="1"/>
  <c r="W193" i="2"/>
  <c r="AJ1216" i="2"/>
  <c r="Y192" i="2"/>
  <c r="Z192" i="2" s="1"/>
  <c r="W83" i="2"/>
  <c r="AJ1106" i="2"/>
  <c r="Y82" i="2"/>
  <c r="Z82" i="2" s="1"/>
  <c r="AE235" i="2"/>
  <c r="AJ1770" i="2"/>
  <c r="AG234" i="2"/>
  <c r="AH234" i="2" s="1"/>
  <c r="AE311" i="2"/>
  <c r="AJ1846" i="2"/>
  <c r="AG310" i="2"/>
  <c r="AH310" i="2" s="1"/>
  <c r="W41" i="2"/>
  <c r="AJ1064" i="2"/>
  <c r="Y40" i="2"/>
  <c r="Z40" i="2" s="1"/>
  <c r="G124" i="2"/>
  <c r="W160" i="2" l="1"/>
  <c r="AJ1183" i="2"/>
  <c r="Y159" i="2"/>
  <c r="Z159" i="2" s="1"/>
  <c r="AE388" i="2"/>
  <c r="AJ1923" i="2"/>
  <c r="AG387" i="2"/>
  <c r="AH387" i="2" s="1"/>
  <c r="AE118" i="2"/>
  <c r="AJ1653" i="2"/>
  <c r="AG117" i="2"/>
  <c r="AH117" i="2" s="1"/>
  <c r="W42" i="2"/>
  <c r="AJ1065" i="2"/>
  <c r="Y41" i="2"/>
  <c r="Z41" i="2" s="1"/>
  <c r="AE160" i="2"/>
  <c r="AJ1695" i="2"/>
  <c r="AG159" i="2"/>
  <c r="AH159" i="2" s="1"/>
  <c r="W84" i="2"/>
  <c r="AJ1107" i="2"/>
  <c r="Y83" i="2"/>
  <c r="Z83" i="2" s="1"/>
  <c r="AE270" i="2"/>
  <c r="AJ1805" i="2"/>
  <c r="AG269" i="2"/>
  <c r="AH269" i="2" s="1"/>
  <c r="W236" i="2"/>
  <c r="AJ1259" i="2"/>
  <c r="Y235" i="2"/>
  <c r="Z235" i="2" s="1"/>
  <c r="AE85" i="2"/>
  <c r="AJ1620" i="2"/>
  <c r="AG84" i="2"/>
  <c r="AH84" i="2" s="1"/>
  <c r="AE312" i="2"/>
  <c r="AJ1847" i="2"/>
  <c r="AG311" i="2"/>
  <c r="AH311" i="2" s="1"/>
  <c r="AE42" i="2"/>
  <c r="AJ1577" i="2"/>
  <c r="AG41" i="2"/>
  <c r="AH41" i="2" s="1"/>
  <c r="AE194" i="2"/>
  <c r="AJ1729" i="2"/>
  <c r="AG193" i="2"/>
  <c r="AH193" i="2" s="1"/>
  <c r="AE236" i="2"/>
  <c r="AJ1771" i="2"/>
  <c r="AG235" i="2"/>
  <c r="AH235" i="2" s="1"/>
  <c r="W194" i="2"/>
  <c r="AJ1217" i="2"/>
  <c r="Y193" i="2"/>
  <c r="Z193" i="2" s="1"/>
  <c r="AJ15" i="2"/>
  <c r="AJ124" i="2"/>
  <c r="I124" i="2"/>
  <c r="J124" i="2" s="1"/>
  <c r="W118" i="2"/>
  <c r="AJ1141" i="2"/>
  <c r="Y117" i="2"/>
  <c r="Z117" i="2" s="1"/>
  <c r="AE346" i="2"/>
  <c r="AJ1881" i="2"/>
  <c r="AG345" i="2"/>
  <c r="AH345" i="2" s="1"/>
  <c r="AJ16" i="2"/>
  <c r="W195" i="2" l="1"/>
  <c r="AJ1218" i="2"/>
  <c r="Y194" i="2"/>
  <c r="Z194" i="2" s="1"/>
  <c r="W85" i="2"/>
  <c r="AJ1108" i="2"/>
  <c r="Y84" i="2"/>
  <c r="Z84" i="2" s="1"/>
  <c r="W119" i="2"/>
  <c r="AJ1142" i="2"/>
  <c r="Y118" i="2"/>
  <c r="Z118" i="2" s="1"/>
  <c r="AE43" i="2"/>
  <c r="AJ1578" i="2"/>
  <c r="AG42" i="2"/>
  <c r="AH42" i="2" s="1"/>
  <c r="AE119" i="2"/>
  <c r="AJ1654" i="2"/>
  <c r="AG118" i="2"/>
  <c r="AH118" i="2" s="1"/>
  <c r="W237" i="2"/>
  <c r="AJ1260" i="2"/>
  <c r="Y236" i="2"/>
  <c r="Z236" i="2" s="1"/>
  <c r="AE313" i="2"/>
  <c r="AJ1848" i="2"/>
  <c r="AG312" i="2"/>
  <c r="AH312" i="2" s="1"/>
  <c r="AE389" i="2"/>
  <c r="AJ1924" i="2"/>
  <c r="AG388" i="2"/>
  <c r="AH388" i="2" s="1"/>
  <c r="AE237" i="2"/>
  <c r="AJ1772" i="2"/>
  <c r="AG236" i="2"/>
  <c r="AH236" i="2" s="1"/>
  <c r="AE271" i="2"/>
  <c r="AJ1806" i="2"/>
  <c r="AG270" i="2"/>
  <c r="AH270" i="2" s="1"/>
  <c r="AE347" i="2"/>
  <c r="AJ1882" i="2"/>
  <c r="AG346" i="2"/>
  <c r="AH346" i="2" s="1"/>
  <c r="AE195" i="2"/>
  <c r="AJ1730" i="2"/>
  <c r="AG194" i="2"/>
  <c r="AH194" i="2" s="1"/>
  <c r="W43" i="2"/>
  <c r="AJ1066" i="2"/>
  <c r="Y42" i="2"/>
  <c r="Z42" i="2" s="1"/>
  <c r="AE161" i="2"/>
  <c r="AJ1696" i="2"/>
  <c r="AG160" i="2"/>
  <c r="AH160" i="2" s="1"/>
  <c r="AE86" i="2"/>
  <c r="AJ1621" i="2"/>
  <c r="AG85" i="2"/>
  <c r="AH85" i="2" s="1"/>
  <c r="W161" i="2"/>
  <c r="AJ1184" i="2"/>
  <c r="Y160" i="2"/>
  <c r="Z160" i="2" s="1"/>
  <c r="AM2060" i="2"/>
  <c r="AE162" i="2" l="1"/>
  <c r="AJ1697" i="2"/>
  <c r="AG161" i="2"/>
  <c r="AH161" i="2" s="1"/>
  <c r="W238" i="2"/>
  <c r="AJ1261" i="2"/>
  <c r="Y237" i="2"/>
  <c r="Z237" i="2" s="1"/>
  <c r="W162" i="2"/>
  <c r="AJ1185" i="2"/>
  <c r="Y161" i="2"/>
  <c r="Z161" i="2" s="1"/>
  <c r="AE390" i="2"/>
  <c r="AJ1925" i="2"/>
  <c r="AG389" i="2"/>
  <c r="AH389" i="2" s="1"/>
  <c r="W44" i="2"/>
  <c r="AJ1067" i="2"/>
  <c r="Y43" i="2"/>
  <c r="Z43" i="2" s="1"/>
  <c r="AE120" i="2"/>
  <c r="AJ1655" i="2"/>
  <c r="AG119" i="2"/>
  <c r="AH119" i="2" s="1"/>
  <c r="AE348" i="2"/>
  <c r="AJ1883" i="2"/>
  <c r="AG347" i="2"/>
  <c r="AH347" i="2" s="1"/>
  <c r="AE272" i="2"/>
  <c r="AJ1807" i="2"/>
  <c r="AG271" i="2"/>
  <c r="AH271" i="2" s="1"/>
  <c r="W86" i="2"/>
  <c r="AJ1109" i="2"/>
  <c r="Y85" i="2"/>
  <c r="Z85" i="2" s="1"/>
  <c r="AE87" i="2"/>
  <c r="AJ1622" i="2"/>
  <c r="AG86" i="2"/>
  <c r="AH86" i="2" s="1"/>
  <c r="AE314" i="2"/>
  <c r="AJ1849" i="2"/>
  <c r="AG313" i="2"/>
  <c r="AH313" i="2" s="1"/>
  <c r="W120" i="2"/>
  <c r="AJ1143" i="2"/>
  <c r="Y119" i="2"/>
  <c r="Z119" i="2" s="1"/>
  <c r="AE196" i="2"/>
  <c r="AJ1731" i="2"/>
  <c r="AG195" i="2"/>
  <c r="AH195" i="2" s="1"/>
  <c r="AE44" i="2"/>
  <c r="AJ1579" i="2"/>
  <c r="AG43" i="2"/>
  <c r="AH43" i="2" s="1"/>
  <c r="AE238" i="2"/>
  <c r="AJ1773" i="2"/>
  <c r="AG237" i="2"/>
  <c r="AH237" i="2" s="1"/>
  <c r="W196" i="2"/>
  <c r="AJ1219" i="2"/>
  <c r="Y195" i="2"/>
  <c r="Z195" i="2" s="1"/>
  <c r="I16" i="2"/>
  <c r="Q16" i="2"/>
  <c r="I15" i="2"/>
  <c r="Q15" i="2"/>
  <c r="AN2060" i="2"/>
  <c r="AP2060" i="2" s="1"/>
  <c r="AN18" i="2"/>
  <c r="AM38" i="2"/>
  <c r="AE197" i="2" l="1"/>
  <c r="AJ1732" i="2"/>
  <c r="AG196" i="2"/>
  <c r="AH196" i="2" s="1"/>
  <c r="AE88" i="2"/>
  <c r="AJ1623" i="2"/>
  <c r="AG87" i="2"/>
  <c r="AH87" i="2" s="1"/>
  <c r="W45" i="2"/>
  <c r="AJ1068" i="2"/>
  <c r="Y44" i="2"/>
  <c r="Z44" i="2" s="1"/>
  <c r="AE315" i="2"/>
  <c r="AJ1850" i="2"/>
  <c r="AG314" i="2"/>
  <c r="AH314" i="2" s="1"/>
  <c r="AE239" i="2"/>
  <c r="AJ1774" i="2"/>
  <c r="AG238" i="2"/>
  <c r="AH238" i="2" s="1"/>
  <c r="AE349" i="2"/>
  <c r="AJ1884" i="2"/>
  <c r="AG348" i="2"/>
  <c r="AH348" i="2" s="1"/>
  <c r="W239" i="2"/>
  <c r="AJ1262" i="2"/>
  <c r="Y238" i="2"/>
  <c r="Z238" i="2" s="1"/>
  <c r="W121" i="2"/>
  <c r="AJ1144" i="2"/>
  <c r="Y120" i="2"/>
  <c r="Z120" i="2" s="1"/>
  <c r="AE273" i="2"/>
  <c r="AJ1808" i="2"/>
  <c r="AG272" i="2"/>
  <c r="AH272" i="2" s="1"/>
  <c r="W87" i="2"/>
  <c r="AJ1110" i="2"/>
  <c r="Y86" i="2"/>
  <c r="Z86" i="2" s="1"/>
  <c r="AE391" i="2"/>
  <c r="AJ1926" i="2"/>
  <c r="AG390" i="2"/>
  <c r="AH390" i="2" s="1"/>
  <c r="W197" i="2"/>
  <c r="AJ1220" i="2"/>
  <c r="Y196" i="2"/>
  <c r="Z196" i="2" s="1"/>
  <c r="W163" i="2"/>
  <c r="AJ1186" i="2"/>
  <c r="Y162" i="2"/>
  <c r="Z162" i="2" s="1"/>
  <c r="AE45" i="2"/>
  <c r="AJ1580" i="2"/>
  <c r="AG44" i="2"/>
  <c r="AE121" i="2"/>
  <c r="AJ1656" i="2"/>
  <c r="AG120" i="2"/>
  <c r="AH120" i="2" s="1"/>
  <c r="AE163" i="2"/>
  <c r="AJ1698" i="2"/>
  <c r="AG162" i="2"/>
  <c r="AH162" i="2" s="1"/>
  <c r="J15" i="2"/>
  <c r="J16" i="2"/>
  <c r="R16" i="2"/>
  <c r="R15" i="2"/>
  <c r="AF529" i="2"/>
  <c r="AF528" i="2"/>
  <c r="AF527" i="2"/>
  <c r="AF526" i="2"/>
  <c r="AF525" i="2"/>
  <c r="AF524" i="2"/>
  <c r="AF523" i="2"/>
  <c r="AF522" i="2"/>
  <c r="AF521" i="2"/>
  <c r="AF520" i="2"/>
  <c r="AF519" i="2"/>
  <c r="AF518" i="2"/>
  <c r="AF517" i="2"/>
  <c r="AF516" i="2"/>
  <c r="AF515" i="2"/>
  <c r="AF514" i="2"/>
  <c r="AF513" i="2"/>
  <c r="AF512" i="2"/>
  <c r="AF511" i="2"/>
  <c r="AF510" i="2"/>
  <c r="AF509" i="2"/>
  <c r="AF508" i="2"/>
  <c r="AF507" i="2"/>
  <c r="AF506" i="2"/>
  <c r="AF505" i="2"/>
  <c r="AF504" i="2"/>
  <c r="AF503" i="2"/>
  <c r="AF502" i="2"/>
  <c r="AF501" i="2"/>
  <c r="AF500" i="2"/>
  <c r="AF499" i="2"/>
  <c r="AF498" i="2"/>
  <c r="AF497" i="2"/>
  <c r="AF496" i="2"/>
  <c r="AF495" i="2"/>
  <c r="AF494" i="2"/>
  <c r="AF493" i="2"/>
  <c r="AF492" i="2"/>
  <c r="AF491" i="2"/>
  <c r="AF490" i="2"/>
  <c r="AF489" i="2"/>
  <c r="AF488" i="2"/>
  <c r="AF487" i="2"/>
  <c r="AF486" i="2"/>
  <c r="AF485" i="2"/>
  <c r="AF484" i="2"/>
  <c r="AF483" i="2"/>
  <c r="AF482" i="2"/>
  <c r="AF481" i="2"/>
  <c r="AF480" i="2"/>
  <c r="AF479" i="2"/>
  <c r="AF478" i="2"/>
  <c r="AF477" i="2"/>
  <c r="AF476" i="2"/>
  <c r="AF475" i="2"/>
  <c r="AF474" i="2"/>
  <c r="AF473" i="2"/>
  <c r="AF472" i="2"/>
  <c r="AF471" i="2"/>
  <c r="AF470" i="2"/>
  <c r="AF469" i="2"/>
  <c r="AF468" i="2"/>
  <c r="AF467" i="2"/>
  <c r="AF466" i="2"/>
  <c r="AF465" i="2"/>
  <c r="AF464" i="2"/>
  <c r="AF463" i="2"/>
  <c r="AF462" i="2"/>
  <c r="AF461" i="2"/>
  <c r="AF460" i="2"/>
  <c r="AF459" i="2"/>
  <c r="AF458" i="2"/>
  <c r="AF457" i="2"/>
  <c r="AF456" i="2"/>
  <c r="AF455" i="2"/>
  <c r="AF454" i="2"/>
  <c r="AF453" i="2"/>
  <c r="AF452" i="2"/>
  <c r="AF451" i="2"/>
  <c r="AF450" i="2"/>
  <c r="AF449" i="2"/>
  <c r="AF448" i="2"/>
  <c r="AF447" i="2"/>
  <c r="AF446" i="2"/>
  <c r="AF445" i="2"/>
  <c r="AF444" i="2"/>
  <c r="AF443" i="2"/>
  <c r="AF442" i="2"/>
  <c r="AF441" i="2"/>
  <c r="AF440" i="2"/>
  <c r="AF439" i="2"/>
  <c r="AF438" i="2"/>
  <c r="AF437" i="2"/>
  <c r="AF436" i="2"/>
  <c r="AF435" i="2"/>
  <c r="AF434" i="2"/>
  <c r="AF433" i="2"/>
  <c r="AF432" i="2"/>
  <c r="AF431" i="2"/>
  <c r="AF430" i="2"/>
  <c r="AF429" i="2"/>
  <c r="AF428" i="2"/>
  <c r="AF427" i="2"/>
  <c r="AF426" i="2"/>
  <c r="AF425" i="2"/>
  <c r="AF424" i="2"/>
  <c r="AF423" i="2"/>
  <c r="AF422" i="2"/>
  <c r="AF421" i="2"/>
  <c r="AF420" i="2"/>
  <c r="AF419" i="2"/>
  <c r="AF418" i="2"/>
  <c r="AF417" i="2"/>
  <c r="AF416" i="2"/>
  <c r="AF415" i="2"/>
  <c r="AF414" i="2"/>
  <c r="AF413" i="2"/>
  <c r="AF412" i="2"/>
  <c r="AF411" i="2"/>
  <c r="AF410" i="2"/>
  <c r="AF409" i="2"/>
  <c r="AF408" i="2"/>
  <c r="AF407" i="2"/>
  <c r="AF406" i="2"/>
  <c r="AF405" i="2"/>
  <c r="AF404" i="2"/>
  <c r="AF403" i="2"/>
  <c r="AF402" i="2"/>
  <c r="AF401" i="2"/>
  <c r="AF400" i="2"/>
  <c r="AF399" i="2"/>
  <c r="AF398" i="2"/>
  <c r="AF397" i="2"/>
  <c r="AF396" i="2"/>
  <c r="AF395" i="2"/>
  <c r="AF394" i="2"/>
  <c r="AF393" i="2"/>
  <c r="AF392" i="2"/>
  <c r="AF391" i="2"/>
  <c r="AF390" i="2"/>
  <c r="AF389" i="2"/>
  <c r="AF388" i="2"/>
  <c r="AF387" i="2"/>
  <c r="AF386" i="2"/>
  <c r="AF385" i="2"/>
  <c r="AF384" i="2"/>
  <c r="AF383" i="2"/>
  <c r="AF382" i="2"/>
  <c r="AF381" i="2"/>
  <c r="AF380" i="2"/>
  <c r="AF379" i="2"/>
  <c r="AF378" i="2"/>
  <c r="AF377" i="2"/>
  <c r="AF376" i="2"/>
  <c r="AF375" i="2"/>
  <c r="AF374" i="2"/>
  <c r="AF373" i="2"/>
  <c r="AF372" i="2"/>
  <c r="AF371" i="2"/>
  <c r="AF370" i="2"/>
  <c r="AF369" i="2"/>
  <c r="AF368" i="2"/>
  <c r="AF367" i="2"/>
  <c r="AF366" i="2"/>
  <c r="AF365" i="2"/>
  <c r="AF364" i="2"/>
  <c r="AF363" i="2"/>
  <c r="AF362" i="2"/>
  <c r="AF361" i="2"/>
  <c r="AF360" i="2"/>
  <c r="AF359" i="2"/>
  <c r="AF358" i="2"/>
  <c r="AF357" i="2"/>
  <c r="AF356" i="2"/>
  <c r="AF355" i="2"/>
  <c r="AF354" i="2"/>
  <c r="AF353" i="2"/>
  <c r="AF352" i="2"/>
  <c r="AF351" i="2"/>
  <c r="AF350" i="2"/>
  <c r="AF349" i="2"/>
  <c r="AF348" i="2"/>
  <c r="AF347" i="2"/>
  <c r="AF346" i="2"/>
  <c r="AF345" i="2"/>
  <c r="AF344" i="2"/>
  <c r="AF343" i="2"/>
  <c r="AF342" i="2"/>
  <c r="AF341" i="2"/>
  <c r="AF340" i="2"/>
  <c r="AF339" i="2"/>
  <c r="AF338" i="2"/>
  <c r="AF337" i="2"/>
  <c r="AF336" i="2"/>
  <c r="AF335" i="2"/>
  <c r="AF334" i="2"/>
  <c r="AF333" i="2"/>
  <c r="AF332" i="2"/>
  <c r="AF331" i="2"/>
  <c r="AF330" i="2"/>
  <c r="AF329" i="2"/>
  <c r="AF328" i="2"/>
  <c r="AF327" i="2"/>
  <c r="AF326" i="2"/>
  <c r="AF325" i="2"/>
  <c r="AF324" i="2"/>
  <c r="AF323" i="2"/>
  <c r="AF322" i="2"/>
  <c r="AF321" i="2"/>
  <c r="AF320" i="2"/>
  <c r="AF319" i="2"/>
  <c r="AF318" i="2"/>
  <c r="AF317" i="2"/>
  <c r="AF316" i="2"/>
  <c r="AF315" i="2"/>
  <c r="AF314" i="2"/>
  <c r="AF313" i="2"/>
  <c r="AF312" i="2"/>
  <c r="AF311" i="2"/>
  <c r="AF310" i="2"/>
  <c r="AF309" i="2"/>
  <c r="AF308" i="2"/>
  <c r="AF307" i="2"/>
  <c r="AF306" i="2"/>
  <c r="AF305" i="2"/>
  <c r="AF304" i="2"/>
  <c r="AF303" i="2"/>
  <c r="AF302" i="2"/>
  <c r="AF301" i="2"/>
  <c r="AF300" i="2"/>
  <c r="AF299" i="2"/>
  <c r="AF298" i="2"/>
  <c r="AF297" i="2"/>
  <c r="AF296" i="2"/>
  <c r="AF295" i="2"/>
  <c r="AF294" i="2"/>
  <c r="AF293" i="2"/>
  <c r="AF292" i="2"/>
  <c r="AF291" i="2"/>
  <c r="AF290" i="2"/>
  <c r="AF289" i="2"/>
  <c r="AF288" i="2"/>
  <c r="AF287" i="2"/>
  <c r="AF286" i="2"/>
  <c r="AF285" i="2"/>
  <c r="AF284" i="2"/>
  <c r="AF283" i="2"/>
  <c r="AF282" i="2"/>
  <c r="AF281" i="2"/>
  <c r="AF280" i="2"/>
  <c r="AF279" i="2"/>
  <c r="AF278" i="2"/>
  <c r="AF277" i="2"/>
  <c r="AF276" i="2"/>
  <c r="AF275" i="2"/>
  <c r="AF274" i="2"/>
  <c r="AF273" i="2"/>
  <c r="AF272" i="2"/>
  <c r="AF271" i="2"/>
  <c r="AF270" i="2"/>
  <c r="AF269" i="2"/>
  <c r="AF268" i="2"/>
  <c r="AF267" i="2"/>
  <c r="AF266" i="2"/>
  <c r="AF265" i="2"/>
  <c r="AF264" i="2"/>
  <c r="AF263" i="2"/>
  <c r="AF262" i="2"/>
  <c r="AF261" i="2"/>
  <c r="AF260" i="2"/>
  <c r="AF259" i="2"/>
  <c r="AF258" i="2"/>
  <c r="AF257" i="2"/>
  <c r="AF256" i="2"/>
  <c r="AF255" i="2"/>
  <c r="AF254" i="2"/>
  <c r="AF253" i="2"/>
  <c r="AF252" i="2"/>
  <c r="AF251" i="2"/>
  <c r="AF250" i="2"/>
  <c r="AF249" i="2"/>
  <c r="AF248" i="2"/>
  <c r="AF247" i="2"/>
  <c r="AF246" i="2"/>
  <c r="AF245" i="2"/>
  <c r="AF244" i="2"/>
  <c r="AF243" i="2"/>
  <c r="AF242" i="2"/>
  <c r="AF241" i="2"/>
  <c r="AF240" i="2"/>
  <c r="AF239" i="2"/>
  <c r="AF238" i="2"/>
  <c r="AF237" i="2"/>
  <c r="AF236" i="2"/>
  <c r="AF235" i="2"/>
  <c r="AF234" i="2"/>
  <c r="AF233" i="2"/>
  <c r="AF232" i="2"/>
  <c r="AF231" i="2"/>
  <c r="AF230" i="2"/>
  <c r="AF229" i="2"/>
  <c r="AF228" i="2"/>
  <c r="AF227" i="2"/>
  <c r="AF226" i="2"/>
  <c r="AF225" i="2"/>
  <c r="AF224" i="2"/>
  <c r="AF223" i="2"/>
  <c r="AF222" i="2"/>
  <c r="AF221" i="2"/>
  <c r="AF220" i="2"/>
  <c r="AF219" i="2"/>
  <c r="AF218" i="2"/>
  <c r="AF217" i="2"/>
  <c r="AF216" i="2"/>
  <c r="AF215" i="2"/>
  <c r="AF214" i="2"/>
  <c r="AF213" i="2"/>
  <c r="AF212" i="2"/>
  <c r="AF211" i="2"/>
  <c r="AF210" i="2"/>
  <c r="AF209" i="2"/>
  <c r="AF208" i="2"/>
  <c r="AF207" i="2"/>
  <c r="AF206" i="2"/>
  <c r="AF205" i="2"/>
  <c r="AF204" i="2"/>
  <c r="AF203" i="2"/>
  <c r="AF202" i="2"/>
  <c r="AF201" i="2"/>
  <c r="AF200" i="2"/>
  <c r="AF199" i="2"/>
  <c r="AF198" i="2"/>
  <c r="AF197" i="2"/>
  <c r="AF196" i="2"/>
  <c r="AF195" i="2"/>
  <c r="AF194" i="2"/>
  <c r="AF193" i="2"/>
  <c r="AF192" i="2"/>
  <c r="AF191" i="2"/>
  <c r="AF190" i="2"/>
  <c r="AF189" i="2"/>
  <c r="AF188" i="2"/>
  <c r="AF187" i="2"/>
  <c r="AF186" i="2"/>
  <c r="AF185" i="2"/>
  <c r="AF184" i="2"/>
  <c r="AF183" i="2"/>
  <c r="AF182" i="2"/>
  <c r="AF181" i="2"/>
  <c r="AF180" i="2"/>
  <c r="AF179" i="2"/>
  <c r="AF178" i="2"/>
  <c r="AF177" i="2"/>
  <c r="AF176" i="2"/>
  <c r="AF175" i="2"/>
  <c r="AF174" i="2"/>
  <c r="AF173" i="2"/>
  <c r="AF172" i="2"/>
  <c r="AF171" i="2"/>
  <c r="AF170" i="2"/>
  <c r="AF169" i="2"/>
  <c r="AF168" i="2"/>
  <c r="AF167" i="2"/>
  <c r="AF166" i="2"/>
  <c r="AF165" i="2"/>
  <c r="AF164" i="2"/>
  <c r="AF163" i="2"/>
  <c r="AF162" i="2"/>
  <c r="AF161" i="2"/>
  <c r="AF160" i="2"/>
  <c r="AF159" i="2"/>
  <c r="AF158" i="2"/>
  <c r="AF157" i="2"/>
  <c r="AF156" i="2"/>
  <c r="AF155" i="2"/>
  <c r="AF154" i="2"/>
  <c r="AF153" i="2"/>
  <c r="AF152" i="2"/>
  <c r="AF151" i="2"/>
  <c r="AF150" i="2"/>
  <c r="AF149" i="2"/>
  <c r="AF148" i="2"/>
  <c r="AF147" i="2"/>
  <c r="AF146" i="2"/>
  <c r="AF145" i="2"/>
  <c r="AF144" i="2"/>
  <c r="AF143" i="2"/>
  <c r="AF142" i="2"/>
  <c r="AF141" i="2"/>
  <c r="AF140" i="2"/>
  <c r="AF139" i="2"/>
  <c r="AF138" i="2"/>
  <c r="AF137" i="2"/>
  <c r="AF136" i="2"/>
  <c r="AF135" i="2"/>
  <c r="AF134" i="2"/>
  <c r="AF133" i="2"/>
  <c r="AF132" i="2"/>
  <c r="AF131" i="2"/>
  <c r="AF130" i="2"/>
  <c r="AF129" i="2"/>
  <c r="AF128" i="2"/>
  <c r="AF127" i="2"/>
  <c r="AF126" i="2"/>
  <c r="AF125" i="2"/>
  <c r="AF124" i="2"/>
  <c r="AF123" i="2"/>
  <c r="AF122" i="2"/>
  <c r="AF121" i="2"/>
  <c r="AF120" i="2"/>
  <c r="AF119" i="2"/>
  <c r="AF118" i="2"/>
  <c r="AF117" i="2"/>
  <c r="AF116" i="2"/>
  <c r="AF115" i="2"/>
  <c r="AF114" i="2"/>
  <c r="AF113" i="2"/>
  <c r="AF112" i="2"/>
  <c r="AF111" i="2"/>
  <c r="AF110" i="2"/>
  <c r="AF109" i="2"/>
  <c r="AF108" i="2"/>
  <c r="AF107" i="2"/>
  <c r="AF106" i="2"/>
  <c r="AF105" i="2"/>
  <c r="AF104" i="2"/>
  <c r="AF103" i="2"/>
  <c r="AF102" i="2"/>
  <c r="AF101" i="2"/>
  <c r="AF100" i="2"/>
  <c r="AF99" i="2"/>
  <c r="AF98" i="2"/>
  <c r="AF97" i="2"/>
  <c r="AF96" i="2"/>
  <c r="AF95" i="2"/>
  <c r="AF94" i="2"/>
  <c r="AF93" i="2"/>
  <c r="AF92" i="2"/>
  <c r="AF91" i="2"/>
  <c r="AF90" i="2"/>
  <c r="AF89" i="2"/>
  <c r="AF88" i="2"/>
  <c r="AF87" i="2"/>
  <c r="AF86" i="2"/>
  <c r="AF85" i="2"/>
  <c r="AF84" i="2"/>
  <c r="AF83" i="2"/>
  <c r="AF82" i="2"/>
  <c r="AF81" i="2"/>
  <c r="AF80" i="2"/>
  <c r="AF79" i="2"/>
  <c r="AF78" i="2"/>
  <c r="AF77" i="2"/>
  <c r="AF76" i="2"/>
  <c r="AF75" i="2"/>
  <c r="AF74" i="2"/>
  <c r="AF73" i="2"/>
  <c r="AF72" i="2"/>
  <c r="AF71" i="2"/>
  <c r="AF70" i="2"/>
  <c r="AF69" i="2"/>
  <c r="AF68" i="2"/>
  <c r="AF67" i="2"/>
  <c r="AF66" i="2"/>
  <c r="AF65" i="2"/>
  <c r="AF64" i="2"/>
  <c r="AF63" i="2"/>
  <c r="AF62" i="2"/>
  <c r="AF61" i="2"/>
  <c r="AF60" i="2"/>
  <c r="AF59" i="2"/>
  <c r="AF58" i="2"/>
  <c r="AF57" i="2"/>
  <c r="AF56" i="2"/>
  <c r="AF55" i="2"/>
  <c r="AF54" i="2"/>
  <c r="AF53" i="2"/>
  <c r="AF52" i="2"/>
  <c r="AF51" i="2"/>
  <c r="AF50" i="2"/>
  <c r="AF49" i="2"/>
  <c r="AF48" i="2"/>
  <c r="AF47" i="2"/>
  <c r="AF46" i="2"/>
  <c r="AF45" i="2"/>
  <c r="AF44" i="2"/>
  <c r="AF43" i="2"/>
  <c r="AF42" i="2"/>
  <c r="AF41" i="2"/>
  <c r="AF40" i="2"/>
  <c r="AF39" i="2"/>
  <c r="AF38" i="2"/>
  <c r="AF37" i="2"/>
  <c r="AF36" i="2"/>
  <c r="AF35" i="2"/>
  <c r="AF34" i="2"/>
  <c r="AF33" i="2"/>
  <c r="AF32" i="2"/>
  <c r="AF31" i="2"/>
  <c r="AF30" i="2"/>
  <c r="AF29" i="2"/>
  <c r="AF28" i="2"/>
  <c r="AF27" i="2"/>
  <c r="AF26" i="2"/>
  <c r="AF25" i="2"/>
  <c r="AF24" i="2"/>
  <c r="AF23" i="2"/>
  <c r="AF22" i="2"/>
  <c r="AF21" i="2"/>
  <c r="AF20" i="2"/>
  <c r="AF19" i="2"/>
  <c r="AF18" i="2"/>
  <c r="X529" i="2"/>
  <c r="X528" i="2"/>
  <c r="X527" i="2"/>
  <c r="X526" i="2"/>
  <c r="X525" i="2"/>
  <c r="X524" i="2"/>
  <c r="X523" i="2"/>
  <c r="X522" i="2"/>
  <c r="X521" i="2"/>
  <c r="X520" i="2"/>
  <c r="X519" i="2"/>
  <c r="X518" i="2"/>
  <c r="X517" i="2"/>
  <c r="X516" i="2"/>
  <c r="X515" i="2"/>
  <c r="X514" i="2"/>
  <c r="X513" i="2"/>
  <c r="X512" i="2"/>
  <c r="X511" i="2"/>
  <c r="X510" i="2"/>
  <c r="X509" i="2"/>
  <c r="X508" i="2"/>
  <c r="X507" i="2"/>
  <c r="X506" i="2"/>
  <c r="X505" i="2"/>
  <c r="X504" i="2"/>
  <c r="X503" i="2"/>
  <c r="X502" i="2"/>
  <c r="X501" i="2"/>
  <c r="X500" i="2"/>
  <c r="X499" i="2"/>
  <c r="X498" i="2"/>
  <c r="X497" i="2"/>
  <c r="X496" i="2"/>
  <c r="X495" i="2"/>
  <c r="X494" i="2"/>
  <c r="X493" i="2"/>
  <c r="X492" i="2"/>
  <c r="X491" i="2"/>
  <c r="X490" i="2"/>
  <c r="X489" i="2"/>
  <c r="X488" i="2"/>
  <c r="X487" i="2"/>
  <c r="X486" i="2"/>
  <c r="X485" i="2"/>
  <c r="X484" i="2"/>
  <c r="X483" i="2"/>
  <c r="X482" i="2"/>
  <c r="X481" i="2"/>
  <c r="X480" i="2"/>
  <c r="X479" i="2"/>
  <c r="X478" i="2"/>
  <c r="X477" i="2"/>
  <c r="X476" i="2"/>
  <c r="X475" i="2"/>
  <c r="X474" i="2"/>
  <c r="X473" i="2"/>
  <c r="X472" i="2"/>
  <c r="X471" i="2"/>
  <c r="X470" i="2"/>
  <c r="X469" i="2"/>
  <c r="X468" i="2"/>
  <c r="X467" i="2"/>
  <c r="X466" i="2"/>
  <c r="X465" i="2"/>
  <c r="X464" i="2"/>
  <c r="X463" i="2"/>
  <c r="X462" i="2"/>
  <c r="X461" i="2"/>
  <c r="X460" i="2"/>
  <c r="X459" i="2"/>
  <c r="X458" i="2"/>
  <c r="X457" i="2"/>
  <c r="X456" i="2"/>
  <c r="X455" i="2"/>
  <c r="X454" i="2"/>
  <c r="X453" i="2"/>
  <c r="X452" i="2"/>
  <c r="X451" i="2"/>
  <c r="X450" i="2"/>
  <c r="X449" i="2"/>
  <c r="X448" i="2"/>
  <c r="X447" i="2"/>
  <c r="X446" i="2"/>
  <c r="X445" i="2"/>
  <c r="X444" i="2"/>
  <c r="X443" i="2"/>
  <c r="X442" i="2"/>
  <c r="X441" i="2"/>
  <c r="X440" i="2"/>
  <c r="X439" i="2"/>
  <c r="X438" i="2"/>
  <c r="X437" i="2"/>
  <c r="X436" i="2"/>
  <c r="X435" i="2"/>
  <c r="X434" i="2"/>
  <c r="X433" i="2"/>
  <c r="X432" i="2"/>
  <c r="X431" i="2"/>
  <c r="X430" i="2"/>
  <c r="X429" i="2"/>
  <c r="X428" i="2"/>
  <c r="X427" i="2"/>
  <c r="X426" i="2"/>
  <c r="X425" i="2"/>
  <c r="X424" i="2"/>
  <c r="X423" i="2"/>
  <c r="X422" i="2"/>
  <c r="X421" i="2"/>
  <c r="X420" i="2"/>
  <c r="X419" i="2"/>
  <c r="X418" i="2"/>
  <c r="X417" i="2"/>
  <c r="X416" i="2"/>
  <c r="X415" i="2"/>
  <c r="X414" i="2"/>
  <c r="X413" i="2"/>
  <c r="X412" i="2"/>
  <c r="X411" i="2"/>
  <c r="X410" i="2"/>
  <c r="X409" i="2"/>
  <c r="X408" i="2"/>
  <c r="X407" i="2"/>
  <c r="X406" i="2"/>
  <c r="X405" i="2"/>
  <c r="X404" i="2"/>
  <c r="X403" i="2"/>
  <c r="X402" i="2"/>
  <c r="X401" i="2"/>
  <c r="X400" i="2"/>
  <c r="X399" i="2"/>
  <c r="X398" i="2"/>
  <c r="X397" i="2"/>
  <c r="X396" i="2"/>
  <c r="X395" i="2"/>
  <c r="X394" i="2"/>
  <c r="X393" i="2"/>
  <c r="X392" i="2"/>
  <c r="X391" i="2"/>
  <c r="X390" i="2"/>
  <c r="X389" i="2"/>
  <c r="X388" i="2"/>
  <c r="X387" i="2"/>
  <c r="X386" i="2"/>
  <c r="X385" i="2"/>
  <c r="X384" i="2"/>
  <c r="X383" i="2"/>
  <c r="X382" i="2"/>
  <c r="X381" i="2"/>
  <c r="X380" i="2"/>
  <c r="X379" i="2"/>
  <c r="X378" i="2"/>
  <c r="X377" i="2"/>
  <c r="X376" i="2"/>
  <c r="X375" i="2"/>
  <c r="X374" i="2"/>
  <c r="X373" i="2"/>
  <c r="X372" i="2"/>
  <c r="X371" i="2"/>
  <c r="X370" i="2"/>
  <c r="X369" i="2"/>
  <c r="X368" i="2"/>
  <c r="X367" i="2"/>
  <c r="X366" i="2"/>
  <c r="X365" i="2"/>
  <c r="X364" i="2"/>
  <c r="X363" i="2"/>
  <c r="X362" i="2"/>
  <c r="X361" i="2"/>
  <c r="X360" i="2"/>
  <c r="X359" i="2"/>
  <c r="X358" i="2"/>
  <c r="X357" i="2"/>
  <c r="X356" i="2"/>
  <c r="X355" i="2"/>
  <c r="X354" i="2"/>
  <c r="X353" i="2"/>
  <c r="X352" i="2"/>
  <c r="X351" i="2"/>
  <c r="X350" i="2"/>
  <c r="X349" i="2"/>
  <c r="X348" i="2"/>
  <c r="X347" i="2"/>
  <c r="X346" i="2"/>
  <c r="X345" i="2"/>
  <c r="X344" i="2"/>
  <c r="X343" i="2"/>
  <c r="X342" i="2"/>
  <c r="X341" i="2"/>
  <c r="X340" i="2"/>
  <c r="X339" i="2"/>
  <c r="X338" i="2"/>
  <c r="X337" i="2"/>
  <c r="X336" i="2"/>
  <c r="X335" i="2"/>
  <c r="X334" i="2"/>
  <c r="X333" i="2"/>
  <c r="X332" i="2"/>
  <c r="X331" i="2"/>
  <c r="X330" i="2"/>
  <c r="X329" i="2"/>
  <c r="X328" i="2"/>
  <c r="X327" i="2"/>
  <c r="X326" i="2"/>
  <c r="X325" i="2"/>
  <c r="X324" i="2"/>
  <c r="X323" i="2"/>
  <c r="X322" i="2"/>
  <c r="X321" i="2"/>
  <c r="X320" i="2"/>
  <c r="X319" i="2"/>
  <c r="X318" i="2"/>
  <c r="X317" i="2"/>
  <c r="X316" i="2"/>
  <c r="X315" i="2"/>
  <c r="X314" i="2"/>
  <c r="X313" i="2"/>
  <c r="X312" i="2"/>
  <c r="X311" i="2"/>
  <c r="X310" i="2"/>
  <c r="X309" i="2"/>
  <c r="X308" i="2"/>
  <c r="X307" i="2"/>
  <c r="X306" i="2"/>
  <c r="X305" i="2"/>
  <c r="X304" i="2"/>
  <c r="X303" i="2"/>
  <c r="X302" i="2"/>
  <c r="X301" i="2"/>
  <c r="X300" i="2"/>
  <c r="X299" i="2"/>
  <c r="X298" i="2"/>
  <c r="X297" i="2"/>
  <c r="X296" i="2"/>
  <c r="X295" i="2"/>
  <c r="X294" i="2"/>
  <c r="X293" i="2"/>
  <c r="X292" i="2"/>
  <c r="X291" i="2"/>
  <c r="X290" i="2"/>
  <c r="X289" i="2"/>
  <c r="X288" i="2"/>
  <c r="X287" i="2"/>
  <c r="X286" i="2"/>
  <c r="X285" i="2"/>
  <c r="X284" i="2"/>
  <c r="X283" i="2"/>
  <c r="X282" i="2"/>
  <c r="X281" i="2"/>
  <c r="X280" i="2"/>
  <c r="X279" i="2"/>
  <c r="X278" i="2"/>
  <c r="X277" i="2"/>
  <c r="X276" i="2"/>
  <c r="X275" i="2"/>
  <c r="X274" i="2"/>
  <c r="X273" i="2"/>
  <c r="X272" i="2"/>
  <c r="X271" i="2"/>
  <c r="X270" i="2"/>
  <c r="X269" i="2"/>
  <c r="X268" i="2"/>
  <c r="X267" i="2"/>
  <c r="X266" i="2"/>
  <c r="X265" i="2"/>
  <c r="X264" i="2"/>
  <c r="X263" i="2"/>
  <c r="X262" i="2"/>
  <c r="X261" i="2"/>
  <c r="X260" i="2"/>
  <c r="X259" i="2"/>
  <c r="X258" i="2"/>
  <c r="X257" i="2"/>
  <c r="X256" i="2"/>
  <c r="X255" i="2"/>
  <c r="X254" i="2"/>
  <c r="X253" i="2"/>
  <c r="X252" i="2"/>
  <c r="X251" i="2"/>
  <c r="X250" i="2"/>
  <c r="X249" i="2"/>
  <c r="X248" i="2"/>
  <c r="X247" i="2"/>
  <c r="X246" i="2"/>
  <c r="X245" i="2"/>
  <c r="X244" i="2"/>
  <c r="X243" i="2"/>
  <c r="X242" i="2"/>
  <c r="X241" i="2"/>
  <c r="X240" i="2"/>
  <c r="X239" i="2"/>
  <c r="X238" i="2"/>
  <c r="X237" i="2"/>
  <c r="X236" i="2"/>
  <c r="X235" i="2"/>
  <c r="X234" i="2"/>
  <c r="X233" i="2"/>
  <c r="X232" i="2"/>
  <c r="X231" i="2"/>
  <c r="X230" i="2"/>
  <c r="X229" i="2"/>
  <c r="X228" i="2"/>
  <c r="X227" i="2"/>
  <c r="X226" i="2"/>
  <c r="X225" i="2"/>
  <c r="X224" i="2"/>
  <c r="X223" i="2"/>
  <c r="X222" i="2"/>
  <c r="X221" i="2"/>
  <c r="X220" i="2"/>
  <c r="X219" i="2"/>
  <c r="X218" i="2"/>
  <c r="X217" i="2"/>
  <c r="X216" i="2"/>
  <c r="X215" i="2"/>
  <c r="X214" i="2"/>
  <c r="X213" i="2"/>
  <c r="X212" i="2"/>
  <c r="X211" i="2"/>
  <c r="X210" i="2"/>
  <c r="X209" i="2"/>
  <c r="X208" i="2"/>
  <c r="X207" i="2"/>
  <c r="X206" i="2"/>
  <c r="X205" i="2"/>
  <c r="X204" i="2"/>
  <c r="X203" i="2"/>
  <c r="X202" i="2"/>
  <c r="X201" i="2"/>
  <c r="X200" i="2"/>
  <c r="X199" i="2"/>
  <c r="X198" i="2"/>
  <c r="X197" i="2"/>
  <c r="X196" i="2"/>
  <c r="X195" i="2"/>
  <c r="X194" i="2"/>
  <c r="X193" i="2"/>
  <c r="X192" i="2"/>
  <c r="X191" i="2"/>
  <c r="X190" i="2"/>
  <c r="X189" i="2"/>
  <c r="X188" i="2"/>
  <c r="X187" i="2"/>
  <c r="X186" i="2"/>
  <c r="X185" i="2"/>
  <c r="X184" i="2"/>
  <c r="X183" i="2"/>
  <c r="X182" i="2"/>
  <c r="X181" i="2"/>
  <c r="X180" i="2"/>
  <c r="X179" i="2"/>
  <c r="X178" i="2"/>
  <c r="X177" i="2"/>
  <c r="X176" i="2"/>
  <c r="X175" i="2"/>
  <c r="X174" i="2"/>
  <c r="X173" i="2"/>
  <c r="X172" i="2"/>
  <c r="X171" i="2"/>
  <c r="X170" i="2"/>
  <c r="X169" i="2"/>
  <c r="X168" i="2"/>
  <c r="X167" i="2"/>
  <c r="X166" i="2"/>
  <c r="X165" i="2"/>
  <c r="X164" i="2"/>
  <c r="X163" i="2"/>
  <c r="X162" i="2"/>
  <c r="X161" i="2"/>
  <c r="X160" i="2"/>
  <c r="X159" i="2"/>
  <c r="X158" i="2"/>
  <c r="X157" i="2"/>
  <c r="X156" i="2"/>
  <c r="X155" i="2"/>
  <c r="X154" i="2"/>
  <c r="X153" i="2"/>
  <c r="X152" i="2"/>
  <c r="X151" i="2"/>
  <c r="X150" i="2"/>
  <c r="X149" i="2"/>
  <c r="X148" i="2"/>
  <c r="X147" i="2"/>
  <c r="X146" i="2"/>
  <c r="X145" i="2"/>
  <c r="X144" i="2"/>
  <c r="X143" i="2"/>
  <c r="X142" i="2"/>
  <c r="X141" i="2"/>
  <c r="X140" i="2"/>
  <c r="X139" i="2"/>
  <c r="X138" i="2"/>
  <c r="X137" i="2"/>
  <c r="X136" i="2"/>
  <c r="X135" i="2"/>
  <c r="X134" i="2"/>
  <c r="X133" i="2"/>
  <c r="X132" i="2"/>
  <c r="X131" i="2"/>
  <c r="X130" i="2"/>
  <c r="X129" i="2"/>
  <c r="X128" i="2"/>
  <c r="X127" i="2"/>
  <c r="X126" i="2"/>
  <c r="X125" i="2"/>
  <c r="X124" i="2"/>
  <c r="X123" i="2"/>
  <c r="X122" i="2"/>
  <c r="X121" i="2"/>
  <c r="X120" i="2"/>
  <c r="X119" i="2"/>
  <c r="X118" i="2"/>
  <c r="X117" i="2"/>
  <c r="X116" i="2"/>
  <c r="X115" i="2"/>
  <c r="X114" i="2"/>
  <c r="X113" i="2"/>
  <c r="X112" i="2"/>
  <c r="X111" i="2"/>
  <c r="X110" i="2"/>
  <c r="X109" i="2"/>
  <c r="X108" i="2"/>
  <c r="X107" i="2"/>
  <c r="X106" i="2"/>
  <c r="X105" i="2"/>
  <c r="X104" i="2"/>
  <c r="X103" i="2"/>
  <c r="X102" i="2"/>
  <c r="X101" i="2"/>
  <c r="X100" i="2"/>
  <c r="X99" i="2"/>
  <c r="X98" i="2"/>
  <c r="X97" i="2"/>
  <c r="X96" i="2"/>
  <c r="X95" i="2"/>
  <c r="X94" i="2"/>
  <c r="X93" i="2"/>
  <c r="X92" i="2"/>
  <c r="X91" i="2"/>
  <c r="X90" i="2"/>
  <c r="X89" i="2"/>
  <c r="X88" i="2"/>
  <c r="X87" i="2"/>
  <c r="X86" i="2"/>
  <c r="X85" i="2"/>
  <c r="X84" i="2"/>
  <c r="X83" i="2"/>
  <c r="X82" i="2"/>
  <c r="X81" i="2"/>
  <c r="X80" i="2"/>
  <c r="X79" i="2"/>
  <c r="X78" i="2"/>
  <c r="X77" i="2"/>
  <c r="X76" i="2"/>
  <c r="X75" i="2"/>
  <c r="X74" i="2"/>
  <c r="X73" i="2"/>
  <c r="X72" i="2"/>
  <c r="X71" i="2"/>
  <c r="X70" i="2"/>
  <c r="X69" i="2"/>
  <c r="X68" i="2"/>
  <c r="X67" i="2"/>
  <c r="X66" i="2"/>
  <c r="X65" i="2"/>
  <c r="X64" i="2"/>
  <c r="X63" i="2"/>
  <c r="X62" i="2"/>
  <c r="X61" i="2"/>
  <c r="X60" i="2"/>
  <c r="X59" i="2"/>
  <c r="X58" i="2"/>
  <c r="X57" i="2"/>
  <c r="X56" i="2"/>
  <c r="X55" i="2"/>
  <c r="X54" i="2"/>
  <c r="X53" i="2"/>
  <c r="X52" i="2"/>
  <c r="X51" i="2"/>
  <c r="X50" i="2"/>
  <c r="X49" i="2"/>
  <c r="X48" i="2"/>
  <c r="X47" i="2"/>
  <c r="X46" i="2"/>
  <c r="X45" i="2"/>
  <c r="X44" i="2"/>
  <c r="X43" i="2"/>
  <c r="X42" i="2"/>
  <c r="X41" i="2"/>
  <c r="X40" i="2"/>
  <c r="X39" i="2"/>
  <c r="X38" i="2"/>
  <c r="X37" i="2"/>
  <c r="X36" i="2"/>
  <c r="X35" i="2"/>
  <c r="X34" i="2"/>
  <c r="X33" i="2"/>
  <c r="X32" i="2"/>
  <c r="X31" i="2"/>
  <c r="X30" i="2"/>
  <c r="X29" i="2"/>
  <c r="X28" i="2"/>
  <c r="X27" i="2"/>
  <c r="X26" i="2"/>
  <c r="X25" i="2"/>
  <c r="X24" i="2"/>
  <c r="X23" i="2"/>
  <c r="X22" i="2"/>
  <c r="X21" i="2"/>
  <c r="X20" i="2"/>
  <c r="X19" i="2"/>
  <c r="X18" i="2"/>
  <c r="P529" i="2"/>
  <c r="P528" i="2"/>
  <c r="P527" i="2"/>
  <c r="P526" i="2"/>
  <c r="P525" i="2"/>
  <c r="P524" i="2"/>
  <c r="P523" i="2"/>
  <c r="P522" i="2"/>
  <c r="P521" i="2"/>
  <c r="P520" i="2"/>
  <c r="P519" i="2"/>
  <c r="P518" i="2"/>
  <c r="P517" i="2"/>
  <c r="P516" i="2"/>
  <c r="P515" i="2"/>
  <c r="P514" i="2"/>
  <c r="P513" i="2"/>
  <c r="P512" i="2"/>
  <c r="P511" i="2"/>
  <c r="P510" i="2"/>
  <c r="P509" i="2"/>
  <c r="P508" i="2"/>
  <c r="P507" i="2"/>
  <c r="P506" i="2"/>
  <c r="P505" i="2"/>
  <c r="P504" i="2"/>
  <c r="P503" i="2"/>
  <c r="P502" i="2"/>
  <c r="P501" i="2"/>
  <c r="P500" i="2"/>
  <c r="P499" i="2"/>
  <c r="P498" i="2"/>
  <c r="P497" i="2"/>
  <c r="P496" i="2"/>
  <c r="P495" i="2"/>
  <c r="P494" i="2"/>
  <c r="P493" i="2"/>
  <c r="P492" i="2"/>
  <c r="P491" i="2"/>
  <c r="P490" i="2"/>
  <c r="P489" i="2"/>
  <c r="P488" i="2"/>
  <c r="P487" i="2"/>
  <c r="P486" i="2"/>
  <c r="P485" i="2"/>
  <c r="P484" i="2"/>
  <c r="P483" i="2"/>
  <c r="P482" i="2"/>
  <c r="P481" i="2"/>
  <c r="P480" i="2"/>
  <c r="P479" i="2"/>
  <c r="P478" i="2"/>
  <c r="P477" i="2"/>
  <c r="P476" i="2"/>
  <c r="P475" i="2"/>
  <c r="P474" i="2"/>
  <c r="P473" i="2"/>
  <c r="P472" i="2"/>
  <c r="P471" i="2"/>
  <c r="P470" i="2"/>
  <c r="P469" i="2"/>
  <c r="P468" i="2"/>
  <c r="P467" i="2"/>
  <c r="P466" i="2"/>
  <c r="P465" i="2"/>
  <c r="P464" i="2"/>
  <c r="P463" i="2"/>
  <c r="P462" i="2"/>
  <c r="P461" i="2"/>
  <c r="P460" i="2"/>
  <c r="P459" i="2"/>
  <c r="P458" i="2"/>
  <c r="P457" i="2"/>
  <c r="P456" i="2"/>
  <c r="P455" i="2"/>
  <c r="P454" i="2"/>
  <c r="P453" i="2"/>
  <c r="P452" i="2"/>
  <c r="P451" i="2"/>
  <c r="P450" i="2"/>
  <c r="P449" i="2"/>
  <c r="P448" i="2"/>
  <c r="P447" i="2"/>
  <c r="P446" i="2"/>
  <c r="P445" i="2"/>
  <c r="P444" i="2"/>
  <c r="P443" i="2"/>
  <c r="P442" i="2"/>
  <c r="P441" i="2"/>
  <c r="P440" i="2"/>
  <c r="P439" i="2"/>
  <c r="P438" i="2"/>
  <c r="P437" i="2"/>
  <c r="P436" i="2"/>
  <c r="P435" i="2"/>
  <c r="P434" i="2"/>
  <c r="P433" i="2"/>
  <c r="P432" i="2"/>
  <c r="P431" i="2"/>
  <c r="P430" i="2"/>
  <c r="P429" i="2"/>
  <c r="P428" i="2"/>
  <c r="P427" i="2"/>
  <c r="P426" i="2"/>
  <c r="P425" i="2"/>
  <c r="P424" i="2"/>
  <c r="P423" i="2"/>
  <c r="P422" i="2"/>
  <c r="P421" i="2"/>
  <c r="P420" i="2"/>
  <c r="P419" i="2"/>
  <c r="P418" i="2"/>
  <c r="P417" i="2"/>
  <c r="P416" i="2"/>
  <c r="P415" i="2"/>
  <c r="P414" i="2"/>
  <c r="P413" i="2"/>
  <c r="P412" i="2"/>
  <c r="P411" i="2"/>
  <c r="P410" i="2"/>
  <c r="P409" i="2"/>
  <c r="P408" i="2"/>
  <c r="P407" i="2"/>
  <c r="P406" i="2"/>
  <c r="P405" i="2"/>
  <c r="P404" i="2"/>
  <c r="P403" i="2"/>
  <c r="P402" i="2"/>
  <c r="P401" i="2"/>
  <c r="P400" i="2"/>
  <c r="P399" i="2"/>
  <c r="P398" i="2"/>
  <c r="P397" i="2"/>
  <c r="P396" i="2"/>
  <c r="P395" i="2"/>
  <c r="P394" i="2"/>
  <c r="P393" i="2"/>
  <c r="P392" i="2"/>
  <c r="P391" i="2"/>
  <c r="P390" i="2"/>
  <c r="P389" i="2"/>
  <c r="P388" i="2"/>
  <c r="P387" i="2"/>
  <c r="P386" i="2"/>
  <c r="P385" i="2"/>
  <c r="P384" i="2"/>
  <c r="P383" i="2"/>
  <c r="P382" i="2"/>
  <c r="P381" i="2"/>
  <c r="P380" i="2"/>
  <c r="P379" i="2"/>
  <c r="P378" i="2"/>
  <c r="P377" i="2"/>
  <c r="P376" i="2"/>
  <c r="P375" i="2"/>
  <c r="P374" i="2"/>
  <c r="P373" i="2"/>
  <c r="P372" i="2"/>
  <c r="P371" i="2"/>
  <c r="P370" i="2"/>
  <c r="P369" i="2"/>
  <c r="P368" i="2"/>
  <c r="P367" i="2"/>
  <c r="P366" i="2"/>
  <c r="P365" i="2"/>
  <c r="P364" i="2"/>
  <c r="P363" i="2"/>
  <c r="P362" i="2"/>
  <c r="P361" i="2"/>
  <c r="P360" i="2"/>
  <c r="P359" i="2"/>
  <c r="P358" i="2"/>
  <c r="P357" i="2"/>
  <c r="P356" i="2"/>
  <c r="P355" i="2"/>
  <c r="P354" i="2"/>
  <c r="P353" i="2"/>
  <c r="P352" i="2"/>
  <c r="P351" i="2"/>
  <c r="P350" i="2"/>
  <c r="P349" i="2"/>
  <c r="P348" i="2"/>
  <c r="P347" i="2"/>
  <c r="P346" i="2"/>
  <c r="P345" i="2"/>
  <c r="P344" i="2"/>
  <c r="P343" i="2"/>
  <c r="P342" i="2"/>
  <c r="P341" i="2"/>
  <c r="P340" i="2"/>
  <c r="P339" i="2"/>
  <c r="P338" i="2"/>
  <c r="P337" i="2"/>
  <c r="P336" i="2"/>
  <c r="P335" i="2"/>
  <c r="P334" i="2"/>
  <c r="P333" i="2"/>
  <c r="P332" i="2"/>
  <c r="P331" i="2"/>
  <c r="P330" i="2"/>
  <c r="P329" i="2"/>
  <c r="P328" i="2"/>
  <c r="P327" i="2"/>
  <c r="P326" i="2"/>
  <c r="P325" i="2"/>
  <c r="P324" i="2"/>
  <c r="P323" i="2"/>
  <c r="P322" i="2"/>
  <c r="P321" i="2"/>
  <c r="P320" i="2"/>
  <c r="P319" i="2"/>
  <c r="P318" i="2"/>
  <c r="P317" i="2"/>
  <c r="P316" i="2"/>
  <c r="P315" i="2"/>
  <c r="P314" i="2"/>
  <c r="P313" i="2"/>
  <c r="P312" i="2"/>
  <c r="P311" i="2"/>
  <c r="P310" i="2"/>
  <c r="P309" i="2"/>
  <c r="P308" i="2"/>
  <c r="P307" i="2"/>
  <c r="P306" i="2"/>
  <c r="P305" i="2"/>
  <c r="P304" i="2"/>
  <c r="P303" i="2"/>
  <c r="P302" i="2"/>
  <c r="P301" i="2"/>
  <c r="P300" i="2"/>
  <c r="P299" i="2"/>
  <c r="P298" i="2"/>
  <c r="P297" i="2"/>
  <c r="P296" i="2"/>
  <c r="P295" i="2"/>
  <c r="P294" i="2"/>
  <c r="P293" i="2"/>
  <c r="P292" i="2"/>
  <c r="P291" i="2"/>
  <c r="P290" i="2"/>
  <c r="P289" i="2"/>
  <c r="P288" i="2"/>
  <c r="P287" i="2"/>
  <c r="P286" i="2"/>
  <c r="P285" i="2"/>
  <c r="P284" i="2"/>
  <c r="P283" i="2"/>
  <c r="P282" i="2"/>
  <c r="P281" i="2"/>
  <c r="P280" i="2"/>
  <c r="P279" i="2"/>
  <c r="P278" i="2"/>
  <c r="P277" i="2"/>
  <c r="P276" i="2"/>
  <c r="P275" i="2"/>
  <c r="P274" i="2"/>
  <c r="P273" i="2"/>
  <c r="P272" i="2"/>
  <c r="P271" i="2"/>
  <c r="P270" i="2"/>
  <c r="P269" i="2"/>
  <c r="P268" i="2"/>
  <c r="P267" i="2"/>
  <c r="P266" i="2"/>
  <c r="P265" i="2"/>
  <c r="P264" i="2"/>
  <c r="P263" i="2"/>
  <c r="P262" i="2"/>
  <c r="P261" i="2"/>
  <c r="P260" i="2"/>
  <c r="P259" i="2"/>
  <c r="P258" i="2"/>
  <c r="P257" i="2"/>
  <c r="P256" i="2"/>
  <c r="P255" i="2"/>
  <c r="P254" i="2"/>
  <c r="P253" i="2"/>
  <c r="P252" i="2"/>
  <c r="P251" i="2"/>
  <c r="P250" i="2"/>
  <c r="P249" i="2"/>
  <c r="P248" i="2"/>
  <c r="P247" i="2"/>
  <c r="P246" i="2"/>
  <c r="P245" i="2"/>
  <c r="P244" i="2"/>
  <c r="P243" i="2"/>
  <c r="P242" i="2"/>
  <c r="P241" i="2"/>
  <c r="P240" i="2"/>
  <c r="P239" i="2"/>
  <c r="P238" i="2"/>
  <c r="P237" i="2"/>
  <c r="P236" i="2"/>
  <c r="P235" i="2"/>
  <c r="P234" i="2"/>
  <c r="P233" i="2"/>
  <c r="P232" i="2"/>
  <c r="P231" i="2"/>
  <c r="P230" i="2"/>
  <c r="P229" i="2"/>
  <c r="P228" i="2"/>
  <c r="P227" i="2"/>
  <c r="P226" i="2"/>
  <c r="P225" i="2"/>
  <c r="P224" i="2"/>
  <c r="P223" i="2"/>
  <c r="P222" i="2"/>
  <c r="P221" i="2"/>
  <c r="P220" i="2"/>
  <c r="P219" i="2"/>
  <c r="P218" i="2"/>
  <c r="P217" i="2"/>
  <c r="P216" i="2"/>
  <c r="P215" i="2"/>
  <c r="P214" i="2"/>
  <c r="P213" i="2"/>
  <c r="P212" i="2"/>
  <c r="P211" i="2"/>
  <c r="P210" i="2"/>
  <c r="P209" i="2"/>
  <c r="P208" i="2"/>
  <c r="P207" i="2"/>
  <c r="P206" i="2"/>
  <c r="P205" i="2"/>
  <c r="P204" i="2"/>
  <c r="P203" i="2"/>
  <c r="P202" i="2"/>
  <c r="P201" i="2"/>
  <c r="P200" i="2"/>
  <c r="P199" i="2"/>
  <c r="P198" i="2"/>
  <c r="P197" i="2"/>
  <c r="P196" i="2"/>
  <c r="P195" i="2"/>
  <c r="P194" i="2"/>
  <c r="P193" i="2"/>
  <c r="P192" i="2"/>
  <c r="P191" i="2"/>
  <c r="P190" i="2"/>
  <c r="P189" i="2"/>
  <c r="P188" i="2"/>
  <c r="P187" i="2"/>
  <c r="P186" i="2"/>
  <c r="P185" i="2"/>
  <c r="P184" i="2"/>
  <c r="P183" i="2"/>
  <c r="P182" i="2"/>
  <c r="P181" i="2"/>
  <c r="P180" i="2"/>
  <c r="P179" i="2"/>
  <c r="P178" i="2"/>
  <c r="P177" i="2"/>
  <c r="P176" i="2"/>
  <c r="P175" i="2"/>
  <c r="P174" i="2"/>
  <c r="P173" i="2"/>
  <c r="P172" i="2"/>
  <c r="P171" i="2"/>
  <c r="P170" i="2"/>
  <c r="P169" i="2"/>
  <c r="P168" i="2"/>
  <c r="P167" i="2"/>
  <c r="P166" i="2"/>
  <c r="P165" i="2"/>
  <c r="P164" i="2"/>
  <c r="P163" i="2"/>
  <c r="P162" i="2"/>
  <c r="P161" i="2"/>
  <c r="P160" i="2"/>
  <c r="P159" i="2"/>
  <c r="P158" i="2"/>
  <c r="P157" i="2"/>
  <c r="P156" i="2"/>
  <c r="P155" i="2"/>
  <c r="P154" i="2"/>
  <c r="P153" i="2"/>
  <c r="P152" i="2"/>
  <c r="P151" i="2"/>
  <c r="P150" i="2"/>
  <c r="P149" i="2"/>
  <c r="P148" i="2"/>
  <c r="P147" i="2"/>
  <c r="P146" i="2"/>
  <c r="P145" i="2"/>
  <c r="P144" i="2"/>
  <c r="P143" i="2"/>
  <c r="P142" i="2"/>
  <c r="P141" i="2"/>
  <c r="P140" i="2"/>
  <c r="P139" i="2"/>
  <c r="P138" i="2"/>
  <c r="P137" i="2"/>
  <c r="P136" i="2"/>
  <c r="P135" i="2"/>
  <c r="P134" i="2"/>
  <c r="P133" i="2"/>
  <c r="P132" i="2"/>
  <c r="P131" i="2"/>
  <c r="P130" i="2"/>
  <c r="P129" i="2"/>
  <c r="P128" i="2"/>
  <c r="P127" i="2"/>
  <c r="P126" i="2"/>
  <c r="P125" i="2"/>
  <c r="P124" i="2"/>
  <c r="P123" i="2"/>
  <c r="P122" i="2"/>
  <c r="P121" i="2"/>
  <c r="P120" i="2"/>
  <c r="P119" i="2"/>
  <c r="P118" i="2"/>
  <c r="P117" i="2"/>
  <c r="P116" i="2"/>
  <c r="P115" i="2"/>
  <c r="P114" i="2"/>
  <c r="P113" i="2"/>
  <c r="P112" i="2"/>
  <c r="P111" i="2"/>
  <c r="P110" i="2"/>
  <c r="P109" i="2"/>
  <c r="P108" i="2"/>
  <c r="P107" i="2"/>
  <c r="P106" i="2"/>
  <c r="P105" i="2"/>
  <c r="P104" i="2"/>
  <c r="P103" i="2"/>
  <c r="P102" i="2"/>
  <c r="P101" i="2"/>
  <c r="P100" i="2"/>
  <c r="P99" i="2"/>
  <c r="P98" i="2"/>
  <c r="P97" i="2"/>
  <c r="P96" i="2"/>
  <c r="P95" i="2"/>
  <c r="P94" i="2"/>
  <c r="P93" i="2"/>
  <c r="P92" i="2"/>
  <c r="P91" i="2"/>
  <c r="P90" i="2"/>
  <c r="P89" i="2"/>
  <c r="P88" i="2"/>
  <c r="P87" i="2"/>
  <c r="P86" i="2"/>
  <c r="P85" i="2"/>
  <c r="P84" i="2"/>
  <c r="P83" i="2"/>
  <c r="P82" i="2"/>
  <c r="P81" i="2"/>
  <c r="P80" i="2"/>
  <c r="P79" i="2"/>
  <c r="P78" i="2"/>
  <c r="P77" i="2"/>
  <c r="P76" i="2"/>
  <c r="P75" i="2"/>
  <c r="P74" i="2"/>
  <c r="P73" i="2"/>
  <c r="P72" i="2"/>
  <c r="P71" i="2"/>
  <c r="P70" i="2"/>
  <c r="P69" i="2"/>
  <c r="P68" i="2"/>
  <c r="P67" i="2"/>
  <c r="P66" i="2"/>
  <c r="P65" i="2"/>
  <c r="P64" i="2"/>
  <c r="P63" i="2"/>
  <c r="P62" i="2"/>
  <c r="P61" i="2"/>
  <c r="P60" i="2"/>
  <c r="P59" i="2"/>
  <c r="P58" i="2"/>
  <c r="P57" i="2"/>
  <c r="P56" i="2"/>
  <c r="P55" i="2"/>
  <c r="P54" i="2"/>
  <c r="P53" i="2"/>
  <c r="P52" i="2"/>
  <c r="P51" i="2"/>
  <c r="P50" i="2"/>
  <c r="P49" i="2"/>
  <c r="P48" i="2"/>
  <c r="P47" i="2"/>
  <c r="P46" i="2"/>
  <c r="P45" i="2"/>
  <c r="P44" i="2"/>
  <c r="P43" i="2"/>
  <c r="P42" i="2"/>
  <c r="P41" i="2"/>
  <c r="P40" i="2"/>
  <c r="P39" i="2"/>
  <c r="P38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H301" i="2"/>
  <c r="H302" i="2"/>
  <c r="H303" i="2"/>
  <c r="H304" i="2"/>
  <c r="H305" i="2"/>
  <c r="H306" i="2"/>
  <c r="H307" i="2"/>
  <c r="H308" i="2"/>
  <c r="H309" i="2"/>
  <c r="H310" i="2"/>
  <c r="H311" i="2"/>
  <c r="H312" i="2"/>
  <c r="H313" i="2"/>
  <c r="H314" i="2"/>
  <c r="H315" i="2"/>
  <c r="H316" i="2"/>
  <c r="H317" i="2"/>
  <c r="H318" i="2"/>
  <c r="H319" i="2"/>
  <c r="H320" i="2"/>
  <c r="H321" i="2"/>
  <c r="H322" i="2"/>
  <c r="H323" i="2"/>
  <c r="H324" i="2"/>
  <c r="H325" i="2"/>
  <c r="H326" i="2"/>
  <c r="H327" i="2"/>
  <c r="H328" i="2"/>
  <c r="H329" i="2"/>
  <c r="H330" i="2"/>
  <c r="H331" i="2"/>
  <c r="H332" i="2"/>
  <c r="H333" i="2"/>
  <c r="H334" i="2"/>
  <c r="H335" i="2"/>
  <c r="H336" i="2"/>
  <c r="H337" i="2"/>
  <c r="H338" i="2"/>
  <c r="H339" i="2"/>
  <c r="H340" i="2"/>
  <c r="H341" i="2"/>
  <c r="H342" i="2"/>
  <c r="H343" i="2"/>
  <c r="H344" i="2"/>
  <c r="H345" i="2"/>
  <c r="H346" i="2"/>
  <c r="H347" i="2"/>
  <c r="H348" i="2"/>
  <c r="H349" i="2"/>
  <c r="H350" i="2"/>
  <c r="H351" i="2"/>
  <c r="H352" i="2"/>
  <c r="H353" i="2"/>
  <c r="H354" i="2"/>
  <c r="H355" i="2"/>
  <c r="H356" i="2"/>
  <c r="H357" i="2"/>
  <c r="H358" i="2"/>
  <c r="H359" i="2"/>
  <c r="H360" i="2"/>
  <c r="H361" i="2"/>
  <c r="H362" i="2"/>
  <c r="H363" i="2"/>
  <c r="H364" i="2"/>
  <c r="H365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78" i="2"/>
  <c r="H379" i="2"/>
  <c r="H380" i="2"/>
  <c r="H381" i="2"/>
  <c r="H382" i="2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97" i="2"/>
  <c r="H398" i="2"/>
  <c r="H399" i="2"/>
  <c r="H400" i="2"/>
  <c r="H401" i="2"/>
  <c r="H402" i="2"/>
  <c r="H403" i="2"/>
  <c r="H404" i="2"/>
  <c r="H405" i="2"/>
  <c r="H406" i="2"/>
  <c r="H407" i="2"/>
  <c r="H408" i="2"/>
  <c r="H409" i="2"/>
  <c r="H410" i="2"/>
  <c r="H411" i="2"/>
  <c r="H412" i="2"/>
  <c r="H413" i="2"/>
  <c r="H414" i="2"/>
  <c r="H415" i="2"/>
  <c r="H416" i="2"/>
  <c r="H417" i="2"/>
  <c r="H418" i="2"/>
  <c r="H419" i="2"/>
  <c r="H420" i="2"/>
  <c r="H421" i="2"/>
  <c r="H422" i="2"/>
  <c r="H423" i="2"/>
  <c r="H424" i="2"/>
  <c r="H425" i="2"/>
  <c r="H426" i="2"/>
  <c r="H427" i="2"/>
  <c r="H428" i="2"/>
  <c r="H429" i="2"/>
  <c r="H430" i="2"/>
  <c r="H431" i="2"/>
  <c r="H432" i="2"/>
  <c r="H433" i="2"/>
  <c r="H434" i="2"/>
  <c r="H435" i="2"/>
  <c r="H436" i="2"/>
  <c r="H437" i="2"/>
  <c r="H438" i="2"/>
  <c r="H439" i="2"/>
  <c r="H440" i="2"/>
  <c r="H441" i="2"/>
  <c r="H442" i="2"/>
  <c r="H443" i="2"/>
  <c r="H444" i="2"/>
  <c r="H445" i="2"/>
  <c r="H446" i="2"/>
  <c r="H447" i="2"/>
  <c r="H448" i="2"/>
  <c r="H449" i="2"/>
  <c r="H450" i="2"/>
  <c r="H451" i="2"/>
  <c r="H452" i="2"/>
  <c r="H453" i="2"/>
  <c r="H454" i="2"/>
  <c r="H455" i="2"/>
  <c r="H456" i="2"/>
  <c r="H457" i="2"/>
  <c r="H458" i="2"/>
  <c r="H459" i="2"/>
  <c r="H460" i="2"/>
  <c r="H461" i="2"/>
  <c r="H462" i="2"/>
  <c r="H463" i="2"/>
  <c r="H464" i="2"/>
  <c r="H465" i="2"/>
  <c r="H466" i="2"/>
  <c r="H467" i="2"/>
  <c r="H468" i="2"/>
  <c r="H469" i="2"/>
  <c r="H470" i="2"/>
  <c r="H471" i="2"/>
  <c r="H472" i="2"/>
  <c r="H473" i="2"/>
  <c r="H474" i="2"/>
  <c r="H475" i="2"/>
  <c r="H476" i="2"/>
  <c r="H477" i="2"/>
  <c r="H478" i="2"/>
  <c r="H479" i="2"/>
  <c r="H480" i="2"/>
  <c r="H481" i="2"/>
  <c r="H482" i="2"/>
  <c r="H483" i="2"/>
  <c r="H484" i="2"/>
  <c r="H485" i="2"/>
  <c r="H486" i="2"/>
  <c r="H487" i="2"/>
  <c r="H488" i="2"/>
  <c r="H489" i="2"/>
  <c r="H490" i="2"/>
  <c r="H491" i="2"/>
  <c r="H492" i="2"/>
  <c r="H493" i="2"/>
  <c r="H494" i="2"/>
  <c r="H495" i="2"/>
  <c r="H496" i="2"/>
  <c r="H497" i="2"/>
  <c r="H498" i="2"/>
  <c r="H499" i="2"/>
  <c r="H500" i="2"/>
  <c r="H501" i="2"/>
  <c r="H502" i="2"/>
  <c r="H503" i="2"/>
  <c r="H504" i="2"/>
  <c r="H505" i="2"/>
  <c r="H506" i="2"/>
  <c r="H507" i="2"/>
  <c r="H508" i="2"/>
  <c r="H509" i="2"/>
  <c r="H510" i="2"/>
  <c r="H511" i="2"/>
  <c r="H512" i="2"/>
  <c r="H513" i="2"/>
  <c r="H514" i="2"/>
  <c r="H515" i="2"/>
  <c r="H516" i="2"/>
  <c r="H517" i="2"/>
  <c r="H518" i="2"/>
  <c r="H519" i="2"/>
  <c r="H520" i="2"/>
  <c r="H521" i="2"/>
  <c r="H522" i="2"/>
  <c r="H523" i="2"/>
  <c r="H524" i="2"/>
  <c r="H525" i="2"/>
  <c r="H526" i="2"/>
  <c r="H527" i="2"/>
  <c r="H528" i="2"/>
  <c r="H529" i="2"/>
  <c r="H18" i="2"/>
  <c r="K7" i="2" s="1"/>
  <c r="S7" i="2" s="1"/>
  <c r="AA7" i="2" s="1"/>
  <c r="AI7" i="2" s="1"/>
  <c r="AE392" i="2" l="1"/>
  <c r="AJ1927" i="2"/>
  <c r="AG391" i="2"/>
  <c r="AH391" i="2" s="1"/>
  <c r="AE350" i="2"/>
  <c r="AJ1885" i="2"/>
  <c r="AG349" i="2"/>
  <c r="AH349" i="2" s="1"/>
  <c r="AE164" i="2"/>
  <c r="AJ1699" i="2"/>
  <c r="AG163" i="2"/>
  <c r="AH163" i="2" s="1"/>
  <c r="W88" i="2"/>
  <c r="AJ1111" i="2"/>
  <c r="Y87" i="2"/>
  <c r="Z87" i="2" s="1"/>
  <c r="AE240" i="2"/>
  <c r="AJ1775" i="2"/>
  <c r="AG239" i="2"/>
  <c r="AH239" i="2" s="1"/>
  <c r="AE122" i="2"/>
  <c r="AJ1657" i="2"/>
  <c r="AG121" i="2"/>
  <c r="AH121" i="2" s="1"/>
  <c r="AE89" i="2"/>
  <c r="AJ1624" i="2"/>
  <c r="AG88" i="2"/>
  <c r="AH88" i="2" s="1"/>
  <c r="W122" i="2"/>
  <c r="AJ1145" i="2"/>
  <c r="Y121" i="2"/>
  <c r="Z121" i="2" s="1"/>
  <c r="AH44" i="2"/>
  <c r="W198" i="2"/>
  <c r="AJ1221" i="2"/>
  <c r="Y197" i="2"/>
  <c r="Z197" i="2" s="1"/>
  <c r="W240" i="2"/>
  <c r="AJ1263" i="2"/>
  <c r="Y239" i="2"/>
  <c r="Z239" i="2" s="1"/>
  <c r="W164" i="2"/>
  <c r="AJ1187" i="2"/>
  <c r="Y163" i="2"/>
  <c r="Z163" i="2" s="1"/>
  <c r="AE316" i="2"/>
  <c r="AJ1851" i="2"/>
  <c r="AG315" i="2"/>
  <c r="AH315" i="2" s="1"/>
  <c r="W46" i="2"/>
  <c r="AJ1069" i="2"/>
  <c r="Y45" i="2"/>
  <c r="Z45" i="2" s="1"/>
  <c r="AE46" i="2"/>
  <c r="AJ1581" i="2"/>
  <c r="AG45" i="2"/>
  <c r="AH45" i="2" s="1"/>
  <c r="AE274" i="2"/>
  <c r="AJ1809" i="2"/>
  <c r="AG273" i="2"/>
  <c r="AH273" i="2" s="1"/>
  <c r="AE198" i="2"/>
  <c r="AJ1733" i="2"/>
  <c r="AG197" i="2"/>
  <c r="AH197" i="2" s="1"/>
  <c r="AM1556" i="2"/>
  <c r="AM1557" i="2"/>
  <c r="AM1558" i="2"/>
  <c r="AM1560" i="2"/>
  <c r="AM1561" i="2"/>
  <c r="AM1562" i="2"/>
  <c r="AM1564" i="2"/>
  <c r="AM1565" i="2"/>
  <c r="AM1566" i="2"/>
  <c r="AM1568" i="2"/>
  <c r="AM1569" i="2"/>
  <c r="AM1570" i="2"/>
  <c r="AM1572" i="2"/>
  <c r="AM1573" i="2"/>
  <c r="AM1574" i="2"/>
  <c r="AM1576" i="2"/>
  <c r="AM1577" i="2"/>
  <c r="AM1578" i="2"/>
  <c r="AM1580" i="2"/>
  <c r="AM1581" i="2"/>
  <c r="AM1582" i="2"/>
  <c r="AM1584" i="2"/>
  <c r="AM1585" i="2"/>
  <c r="AM1586" i="2"/>
  <c r="AM1588" i="2"/>
  <c r="AM1589" i="2"/>
  <c r="AM1590" i="2"/>
  <c r="AM1592" i="2"/>
  <c r="AM1593" i="2"/>
  <c r="AM1594" i="2"/>
  <c r="AM1596" i="2"/>
  <c r="AM1597" i="2"/>
  <c r="AM1598" i="2"/>
  <c r="AM1600" i="2"/>
  <c r="AM1601" i="2"/>
  <c r="AM1602" i="2"/>
  <c r="AM1604" i="2"/>
  <c r="AM1605" i="2"/>
  <c r="AM1606" i="2"/>
  <c r="AM1608" i="2"/>
  <c r="AM1609" i="2"/>
  <c r="AM1610" i="2"/>
  <c r="AM1612" i="2"/>
  <c r="AM1613" i="2"/>
  <c r="AM1614" i="2"/>
  <c r="AM1616" i="2"/>
  <c r="AM1617" i="2"/>
  <c r="AM1618" i="2"/>
  <c r="AM1620" i="2"/>
  <c r="AM1621" i="2"/>
  <c r="AM1622" i="2"/>
  <c r="AM1624" i="2"/>
  <c r="AM1625" i="2"/>
  <c r="AM1626" i="2"/>
  <c r="AM1628" i="2"/>
  <c r="AM1629" i="2"/>
  <c r="AM1630" i="2"/>
  <c r="AM1632" i="2"/>
  <c r="AM1633" i="2"/>
  <c r="AM1634" i="2"/>
  <c r="AM1636" i="2"/>
  <c r="AM1637" i="2"/>
  <c r="AM1638" i="2"/>
  <c r="AM1640" i="2"/>
  <c r="AM1641" i="2"/>
  <c r="AM1642" i="2"/>
  <c r="AM1644" i="2"/>
  <c r="AM1645" i="2"/>
  <c r="AM1646" i="2"/>
  <c r="AM1648" i="2"/>
  <c r="AM1649" i="2"/>
  <c r="AM1650" i="2"/>
  <c r="AM1652" i="2"/>
  <c r="AM1653" i="2"/>
  <c r="AM1654" i="2"/>
  <c r="AM1656" i="2"/>
  <c r="AM1657" i="2"/>
  <c r="AM1658" i="2"/>
  <c r="AM1660" i="2"/>
  <c r="AM1661" i="2"/>
  <c r="AM1662" i="2"/>
  <c r="AM1664" i="2"/>
  <c r="AM1665" i="2"/>
  <c r="AM1666" i="2"/>
  <c r="AM1668" i="2"/>
  <c r="AM1669" i="2"/>
  <c r="AM1670" i="2"/>
  <c r="AM1672" i="2"/>
  <c r="AM1673" i="2"/>
  <c r="AM1674" i="2"/>
  <c r="AM1676" i="2"/>
  <c r="AM1677" i="2"/>
  <c r="AM1678" i="2"/>
  <c r="AM1680" i="2"/>
  <c r="AM1681" i="2"/>
  <c r="AM1682" i="2"/>
  <c r="AM1684" i="2"/>
  <c r="AM1685" i="2"/>
  <c r="AM1686" i="2"/>
  <c r="AM1688" i="2"/>
  <c r="AM1689" i="2"/>
  <c r="AM1690" i="2"/>
  <c r="AM1692" i="2"/>
  <c r="AM1693" i="2"/>
  <c r="AM1694" i="2"/>
  <c r="AM1696" i="2"/>
  <c r="AM1698" i="2"/>
  <c r="AM1701" i="2"/>
  <c r="AM1704" i="2"/>
  <c r="AM1706" i="2"/>
  <c r="AM1709" i="2"/>
  <c r="AM1712" i="2"/>
  <c r="AM1714" i="2"/>
  <c r="AM1717" i="2"/>
  <c r="AM1720" i="2"/>
  <c r="AM1722" i="2"/>
  <c r="AM1725" i="2"/>
  <c r="AM1728" i="2"/>
  <c r="AM1730" i="2"/>
  <c r="AM1733" i="2"/>
  <c r="AM1736" i="2"/>
  <c r="AM1738" i="2"/>
  <c r="AM1741" i="2"/>
  <c r="AM1744" i="2"/>
  <c r="AM1746" i="2"/>
  <c r="AM1749" i="2"/>
  <c r="AM1752" i="2"/>
  <c r="AM1754" i="2"/>
  <c r="AM1755" i="2"/>
  <c r="AM1756" i="2"/>
  <c r="AM1757" i="2"/>
  <c r="AM1758" i="2"/>
  <c r="AM1759" i="2"/>
  <c r="AM1760" i="2"/>
  <c r="AM1761" i="2"/>
  <c r="AM1762" i="2"/>
  <c r="AM1763" i="2"/>
  <c r="AM1764" i="2"/>
  <c r="AM1765" i="2"/>
  <c r="AM1766" i="2"/>
  <c r="AM1767" i="2"/>
  <c r="AM1768" i="2"/>
  <c r="AM1769" i="2"/>
  <c r="AM1770" i="2"/>
  <c r="AM1771" i="2"/>
  <c r="AM1772" i="2"/>
  <c r="AM1773" i="2"/>
  <c r="AM1774" i="2"/>
  <c r="AM1775" i="2"/>
  <c r="AM1776" i="2"/>
  <c r="AM1777" i="2"/>
  <c r="AM1778" i="2"/>
  <c r="AM1779" i="2"/>
  <c r="AM1780" i="2"/>
  <c r="AM1781" i="2"/>
  <c r="AM1782" i="2"/>
  <c r="AM1783" i="2"/>
  <c r="AM1784" i="2"/>
  <c r="AM1785" i="2"/>
  <c r="AM1786" i="2"/>
  <c r="AM1787" i="2"/>
  <c r="AM1788" i="2"/>
  <c r="AM1789" i="2"/>
  <c r="AM1790" i="2"/>
  <c r="AM1791" i="2"/>
  <c r="AM1792" i="2"/>
  <c r="AM1793" i="2"/>
  <c r="AM1794" i="2"/>
  <c r="AM1795" i="2"/>
  <c r="AM1796" i="2"/>
  <c r="AM1797" i="2"/>
  <c r="AM1798" i="2"/>
  <c r="AM1799" i="2"/>
  <c r="AM1800" i="2"/>
  <c r="AM1801" i="2"/>
  <c r="AM1802" i="2"/>
  <c r="AM1803" i="2"/>
  <c r="AM1804" i="2"/>
  <c r="AM1805" i="2"/>
  <c r="AM1806" i="2"/>
  <c r="AM1807" i="2"/>
  <c r="AM1808" i="2"/>
  <c r="AM1809" i="2"/>
  <c r="AM1810" i="2"/>
  <c r="AM1811" i="2"/>
  <c r="AM1812" i="2"/>
  <c r="AM1813" i="2"/>
  <c r="AM1814" i="2"/>
  <c r="AM1815" i="2"/>
  <c r="AM1816" i="2"/>
  <c r="AM1817" i="2"/>
  <c r="AM1818" i="2"/>
  <c r="AM1819" i="2"/>
  <c r="AM1820" i="2"/>
  <c r="AM1821" i="2"/>
  <c r="AM1822" i="2"/>
  <c r="AM1823" i="2"/>
  <c r="AM1824" i="2"/>
  <c r="AM1825" i="2"/>
  <c r="AM1826" i="2"/>
  <c r="AM1827" i="2"/>
  <c r="AM1828" i="2"/>
  <c r="AM1829" i="2"/>
  <c r="AM1830" i="2"/>
  <c r="AM1831" i="2"/>
  <c r="AM1832" i="2"/>
  <c r="AM1833" i="2"/>
  <c r="AM1834" i="2"/>
  <c r="AM1835" i="2"/>
  <c r="AM1836" i="2"/>
  <c r="AM1837" i="2"/>
  <c r="AM1838" i="2"/>
  <c r="AM1839" i="2"/>
  <c r="AM1840" i="2"/>
  <c r="AM1841" i="2"/>
  <c r="AM1842" i="2"/>
  <c r="AM1843" i="2"/>
  <c r="AM1844" i="2"/>
  <c r="AM1845" i="2"/>
  <c r="AM1846" i="2"/>
  <c r="AM1847" i="2"/>
  <c r="AM1848" i="2"/>
  <c r="AM1849" i="2"/>
  <c r="AM1850" i="2"/>
  <c r="AM1851" i="2"/>
  <c r="AM1852" i="2"/>
  <c r="AM1853" i="2"/>
  <c r="AM1854" i="2"/>
  <c r="AM1855" i="2"/>
  <c r="AM1856" i="2"/>
  <c r="AM1857" i="2"/>
  <c r="AM1858" i="2"/>
  <c r="AM1859" i="2"/>
  <c r="AM1860" i="2"/>
  <c r="AM1861" i="2"/>
  <c r="AM1862" i="2"/>
  <c r="AM1863" i="2"/>
  <c r="AM1864" i="2"/>
  <c r="AM1865" i="2"/>
  <c r="AM1866" i="2"/>
  <c r="AM1867" i="2"/>
  <c r="AM1868" i="2"/>
  <c r="AM1869" i="2"/>
  <c r="AM1870" i="2"/>
  <c r="AM1871" i="2"/>
  <c r="AM1872" i="2"/>
  <c r="AM1873" i="2"/>
  <c r="AM1874" i="2"/>
  <c r="AM1875" i="2"/>
  <c r="AM1876" i="2"/>
  <c r="AM1877" i="2"/>
  <c r="AM1878" i="2"/>
  <c r="AM1879" i="2"/>
  <c r="AM1880" i="2"/>
  <c r="AM1881" i="2"/>
  <c r="AM1882" i="2"/>
  <c r="AM1883" i="2"/>
  <c r="AM1884" i="2"/>
  <c r="AM1885" i="2"/>
  <c r="AM1886" i="2"/>
  <c r="AM1887" i="2"/>
  <c r="AM1888" i="2"/>
  <c r="AM1889" i="2"/>
  <c r="AM1890" i="2"/>
  <c r="AM1891" i="2"/>
  <c r="AM1892" i="2"/>
  <c r="AM1893" i="2"/>
  <c r="AM1894" i="2"/>
  <c r="AM1895" i="2"/>
  <c r="AM1896" i="2"/>
  <c r="AM1897" i="2"/>
  <c r="AM1898" i="2"/>
  <c r="AM1899" i="2"/>
  <c r="AM1900" i="2"/>
  <c r="AM1901" i="2"/>
  <c r="AM1902" i="2"/>
  <c r="AM1903" i="2"/>
  <c r="AM1904" i="2"/>
  <c r="AM1905" i="2"/>
  <c r="AM1906" i="2"/>
  <c r="AM1907" i="2"/>
  <c r="AM1908" i="2"/>
  <c r="AM1909" i="2"/>
  <c r="AM1910" i="2"/>
  <c r="AM1911" i="2"/>
  <c r="AM1912" i="2"/>
  <c r="AM1913" i="2"/>
  <c r="AM1914" i="2"/>
  <c r="AM1915" i="2"/>
  <c r="AM1916" i="2"/>
  <c r="AM1917" i="2"/>
  <c r="AM1918" i="2"/>
  <c r="AM1919" i="2"/>
  <c r="AM1920" i="2"/>
  <c r="AM1921" i="2"/>
  <c r="AM1922" i="2"/>
  <c r="AM1923" i="2"/>
  <c r="AM1924" i="2"/>
  <c r="AM1925" i="2"/>
  <c r="AM1926" i="2"/>
  <c r="AM1927" i="2"/>
  <c r="AM1928" i="2"/>
  <c r="AM1929" i="2"/>
  <c r="AM1930" i="2"/>
  <c r="AM1931" i="2"/>
  <c r="AM1932" i="2"/>
  <c r="AM1933" i="2"/>
  <c r="AM1934" i="2"/>
  <c r="AM1935" i="2"/>
  <c r="AM1936" i="2"/>
  <c r="AM1937" i="2"/>
  <c r="AM1938" i="2"/>
  <c r="AM1939" i="2"/>
  <c r="AM1940" i="2"/>
  <c r="AM1941" i="2"/>
  <c r="AM1942" i="2"/>
  <c r="AM1943" i="2"/>
  <c r="AM1944" i="2"/>
  <c r="AM1945" i="2"/>
  <c r="AM1946" i="2"/>
  <c r="AM1947" i="2"/>
  <c r="AM1948" i="2"/>
  <c r="AM1949" i="2"/>
  <c r="AM1950" i="2"/>
  <c r="AM1951" i="2"/>
  <c r="AM1952" i="2"/>
  <c r="AM1953" i="2"/>
  <c r="AM1954" i="2"/>
  <c r="AM1955" i="2"/>
  <c r="AM1956" i="2"/>
  <c r="AM1957" i="2"/>
  <c r="AM1958" i="2"/>
  <c r="AM1959" i="2"/>
  <c r="AM1960" i="2"/>
  <c r="AM1961" i="2"/>
  <c r="AM1962" i="2"/>
  <c r="AM1963" i="2"/>
  <c r="AM1964" i="2"/>
  <c r="AM1965" i="2"/>
  <c r="AM1966" i="2"/>
  <c r="AM1967" i="2"/>
  <c r="AM1968" i="2"/>
  <c r="AM1969" i="2"/>
  <c r="AM1970" i="2"/>
  <c r="AM1971" i="2"/>
  <c r="AM1972" i="2"/>
  <c r="AM1973" i="2"/>
  <c r="AM1974" i="2"/>
  <c r="AM1975" i="2"/>
  <c r="AM1976" i="2"/>
  <c r="AM1977" i="2"/>
  <c r="AM1978" i="2"/>
  <c r="AM1979" i="2"/>
  <c r="AM1980" i="2"/>
  <c r="AM1981" i="2"/>
  <c r="AM1982" i="2"/>
  <c r="AM1983" i="2"/>
  <c r="AM1984" i="2"/>
  <c r="AM1985" i="2"/>
  <c r="AM1986" i="2"/>
  <c r="AM1987" i="2"/>
  <c r="AM1988" i="2"/>
  <c r="AM1989" i="2"/>
  <c r="AM1990" i="2"/>
  <c r="AM1991" i="2"/>
  <c r="AM1992" i="2"/>
  <c r="AM1993" i="2"/>
  <c r="AM1994" i="2"/>
  <c r="AM1995" i="2"/>
  <c r="AM1996" i="2"/>
  <c r="AM1997" i="2"/>
  <c r="AM1998" i="2"/>
  <c r="AM1999" i="2"/>
  <c r="AM2000" i="2"/>
  <c r="AM2001" i="2"/>
  <c r="AM2002" i="2"/>
  <c r="AM2003" i="2"/>
  <c r="AM2004" i="2"/>
  <c r="AM2005" i="2"/>
  <c r="AM2006" i="2"/>
  <c r="AM2007" i="2"/>
  <c r="AM2008" i="2"/>
  <c r="AM2009" i="2"/>
  <c r="AM2010" i="2"/>
  <c r="AM2011" i="2"/>
  <c r="AM2012" i="2"/>
  <c r="AM2013" i="2"/>
  <c r="AM2014" i="2"/>
  <c r="AM2015" i="2"/>
  <c r="AM2016" i="2"/>
  <c r="AM2017" i="2"/>
  <c r="AM2018" i="2"/>
  <c r="AM2019" i="2"/>
  <c r="AM2020" i="2"/>
  <c r="AM2021" i="2"/>
  <c r="AM2022" i="2"/>
  <c r="AM2023" i="2"/>
  <c r="AM2024" i="2"/>
  <c r="AM2025" i="2"/>
  <c r="AM2026" i="2"/>
  <c r="AM2027" i="2"/>
  <c r="AM2028" i="2"/>
  <c r="AM2029" i="2"/>
  <c r="AM2030" i="2"/>
  <c r="AM2031" i="2"/>
  <c r="AM2032" i="2"/>
  <c r="AM2033" i="2"/>
  <c r="AM2034" i="2"/>
  <c r="AM2035" i="2"/>
  <c r="AM2036" i="2"/>
  <c r="AM2037" i="2"/>
  <c r="AM2038" i="2"/>
  <c r="AM2039" i="2"/>
  <c r="AM2040" i="2"/>
  <c r="AM2041" i="2"/>
  <c r="AM2042" i="2"/>
  <c r="AM2043" i="2"/>
  <c r="AM2044" i="2"/>
  <c r="AM2045" i="2"/>
  <c r="AM2046" i="2"/>
  <c r="AM2047" i="2"/>
  <c r="AM2048" i="2"/>
  <c r="AM2049" i="2"/>
  <c r="AM2050" i="2"/>
  <c r="AM2051" i="2"/>
  <c r="AM2052" i="2"/>
  <c r="AM2053" i="2"/>
  <c r="AM2054" i="2"/>
  <c r="AM2055" i="2"/>
  <c r="AM2056" i="2"/>
  <c r="AM2057" i="2"/>
  <c r="AM2058" i="2"/>
  <c r="AM2059" i="2"/>
  <c r="AM2061" i="2"/>
  <c r="AM2062" i="2"/>
  <c r="AM2063" i="2"/>
  <c r="AM2064" i="2"/>
  <c r="AM2065" i="2"/>
  <c r="AM1554" i="2"/>
  <c r="AM1043" i="2"/>
  <c r="AM1046" i="2"/>
  <c r="AM1047" i="2"/>
  <c r="AM1050" i="2"/>
  <c r="AM1051" i="2"/>
  <c r="AM1054" i="2"/>
  <c r="AM1055" i="2"/>
  <c r="AM1058" i="2"/>
  <c r="AM1059" i="2"/>
  <c r="AM1062" i="2"/>
  <c r="AM1063" i="2"/>
  <c r="AM1066" i="2"/>
  <c r="AM1067" i="2"/>
  <c r="AM1070" i="2"/>
  <c r="AM1071" i="2"/>
  <c r="AM1074" i="2"/>
  <c r="AM1075" i="2"/>
  <c r="AM1078" i="2"/>
  <c r="AM1079" i="2"/>
  <c r="AM1082" i="2"/>
  <c r="AM1083" i="2"/>
  <c r="AM1086" i="2"/>
  <c r="AM1087" i="2"/>
  <c r="AM1090" i="2"/>
  <c r="AM1091" i="2"/>
  <c r="AM1094" i="2"/>
  <c r="AM1095" i="2"/>
  <c r="AM1098" i="2"/>
  <c r="AM1099" i="2"/>
  <c r="AM1102" i="2"/>
  <c r="AM1103" i="2"/>
  <c r="AM1106" i="2"/>
  <c r="AM1107" i="2"/>
  <c r="AM1110" i="2"/>
  <c r="AM1111" i="2"/>
  <c r="AM1114" i="2"/>
  <c r="AM1115" i="2"/>
  <c r="AM1118" i="2"/>
  <c r="AM1119" i="2"/>
  <c r="AM1122" i="2"/>
  <c r="AM1123" i="2"/>
  <c r="AM1126" i="2"/>
  <c r="AM1127" i="2"/>
  <c r="AM1130" i="2"/>
  <c r="AM1131" i="2"/>
  <c r="AM1134" i="2"/>
  <c r="AM1135" i="2"/>
  <c r="AM1138" i="2"/>
  <c r="AM1139" i="2"/>
  <c r="AM1142" i="2"/>
  <c r="AM1143" i="2"/>
  <c r="AM1146" i="2"/>
  <c r="AM1147" i="2"/>
  <c r="AM1150" i="2"/>
  <c r="AM1151" i="2"/>
  <c r="AM1154" i="2"/>
  <c r="AM1155" i="2"/>
  <c r="AM1158" i="2"/>
  <c r="AM1159" i="2"/>
  <c r="AM1162" i="2"/>
  <c r="AM1163" i="2"/>
  <c r="AM1166" i="2"/>
  <c r="AM1167" i="2"/>
  <c r="AM1170" i="2"/>
  <c r="AM1171" i="2"/>
  <c r="AM1174" i="2"/>
  <c r="AM1175" i="2"/>
  <c r="AM1178" i="2"/>
  <c r="AM1179" i="2"/>
  <c r="AM1182" i="2"/>
  <c r="AM1183" i="2"/>
  <c r="AM1186" i="2"/>
  <c r="AM1187" i="2"/>
  <c r="AM1190" i="2"/>
  <c r="AM1191" i="2"/>
  <c r="AM1194" i="2"/>
  <c r="AM1195" i="2"/>
  <c r="AM1198" i="2"/>
  <c r="AM1199" i="2"/>
  <c r="AM1202" i="2"/>
  <c r="AM1203" i="2"/>
  <c r="AM1206" i="2"/>
  <c r="AM1207" i="2"/>
  <c r="AM1210" i="2"/>
  <c r="AM1211" i="2"/>
  <c r="AM1214" i="2"/>
  <c r="AM1215" i="2"/>
  <c r="AM1218" i="2"/>
  <c r="AM1219" i="2"/>
  <c r="AM1222" i="2"/>
  <c r="AM1223" i="2"/>
  <c r="AM1226" i="2"/>
  <c r="AM1227" i="2"/>
  <c r="AM1230" i="2"/>
  <c r="AM1231" i="2"/>
  <c r="AM1234" i="2"/>
  <c r="AM1235" i="2"/>
  <c r="AM1238" i="2"/>
  <c r="AM1239" i="2"/>
  <c r="AM1242" i="2"/>
  <c r="AM1243" i="2"/>
  <c r="AM1244" i="2"/>
  <c r="AM1245" i="2"/>
  <c r="AM1246" i="2"/>
  <c r="AM1247" i="2"/>
  <c r="AM1248" i="2"/>
  <c r="AM1249" i="2"/>
  <c r="AM1250" i="2"/>
  <c r="AM1251" i="2"/>
  <c r="AM1252" i="2"/>
  <c r="AM1253" i="2"/>
  <c r="AM1254" i="2"/>
  <c r="AM1255" i="2"/>
  <c r="AM1256" i="2"/>
  <c r="AM1257" i="2"/>
  <c r="AM1258" i="2"/>
  <c r="AM1259" i="2"/>
  <c r="AM1260" i="2"/>
  <c r="AM1261" i="2"/>
  <c r="AM1262" i="2"/>
  <c r="AM1263" i="2"/>
  <c r="AM1264" i="2"/>
  <c r="AM1265" i="2"/>
  <c r="AM1266" i="2"/>
  <c r="AM1267" i="2"/>
  <c r="AM1268" i="2"/>
  <c r="AM1269" i="2"/>
  <c r="AM1270" i="2"/>
  <c r="AM1271" i="2"/>
  <c r="AM1272" i="2"/>
  <c r="AM1273" i="2"/>
  <c r="AM1274" i="2"/>
  <c r="AM1275" i="2"/>
  <c r="AM1276" i="2"/>
  <c r="AM1277" i="2"/>
  <c r="AM1278" i="2"/>
  <c r="AM1279" i="2"/>
  <c r="AM1280" i="2"/>
  <c r="AM1281" i="2"/>
  <c r="AM1282" i="2"/>
  <c r="AM1283" i="2"/>
  <c r="AM1284" i="2"/>
  <c r="AM1285" i="2"/>
  <c r="AM1286" i="2"/>
  <c r="AM1287" i="2"/>
  <c r="AM1288" i="2"/>
  <c r="AM1289" i="2"/>
  <c r="AM1290" i="2"/>
  <c r="AM1291" i="2"/>
  <c r="AM1292" i="2"/>
  <c r="AM1293" i="2"/>
  <c r="AM1294" i="2"/>
  <c r="AM1295" i="2"/>
  <c r="AM1296" i="2"/>
  <c r="AM1297" i="2"/>
  <c r="AM1298" i="2"/>
  <c r="AM1299" i="2"/>
  <c r="AM1300" i="2"/>
  <c r="AM1301" i="2"/>
  <c r="AM1302" i="2"/>
  <c r="AM1303" i="2"/>
  <c r="AM1304" i="2"/>
  <c r="AM1305" i="2"/>
  <c r="AM1306" i="2"/>
  <c r="AM1307" i="2"/>
  <c r="AM1308" i="2"/>
  <c r="AM1309" i="2"/>
  <c r="AM1310" i="2"/>
  <c r="AM1311" i="2"/>
  <c r="AM1312" i="2"/>
  <c r="AM1313" i="2"/>
  <c r="AM1314" i="2"/>
  <c r="AM1315" i="2"/>
  <c r="AM1316" i="2"/>
  <c r="AM1317" i="2"/>
  <c r="AM1318" i="2"/>
  <c r="AM1319" i="2"/>
  <c r="AM1320" i="2"/>
  <c r="AM1321" i="2"/>
  <c r="AM1322" i="2"/>
  <c r="AM1323" i="2"/>
  <c r="AM1324" i="2"/>
  <c r="AM1325" i="2"/>
  <c r="AM1326" i="2"/>
  <c r="AM1327" i="2"/>
  <c r="AM1328" i="2"/>
  <c r="AM1329" i="2"/>
  <c r="AM1330" i="2"/>
  <c r="AM1331" i="2"/>
  <c r="AM1332" i="2"/>
  <c r="AM1333" i="2"/>
  <c r="AM1334" i="2"/>
  <c r="AM1335" i="2"/>
  <c r="AM1336" i="2"/>
  <c r="AM1337" i="2"/>
  <c r="AM1338" i="2"/>
  <c r="AM1339" i="2"/>
  <c r="AM1340" i="2"/>
  <c r="AM1341" i="2"/>
  <c r="AM1342" i="2"/>
  <c r="AM1343" i="2"/>
  <c r="AM1344" i="2"/>
  <c r="AM1345" i="2"/>
  <c r="AM1346" i="2"/>
  <c r="AM1347" i="2"/>
  <c r="AM1348" i="2"/>
  <c r="AM1349" i="2"/>
  <c r="AM1350" i="2"/>
  <c r="AM1351" i="2"/>
  <c r="AM1352" i="2"/>
  <c r="AM1353" i="2"/>
  <c r="AM1354" i="2"/>
  <c r="AM1355" i="2"/>
  <c r="AM1356" i="2"/>
  <c r="AM1357" i="2"/>
  <c r="AM1358" i="2"/>
  <c r="AM1359" i="2"/>
  <c r="AM1360" i="2"/>
  <c r="AM1361" i="2"/>
  <c r="AM1362" i="2"/>
  <c r="AM1363" i="2"/>
  <c r="AM1364" i="2"/>
  <c r="AM1365" i="2"/>
  <c r="AM1366" i="2"/>
  <c r="AM1367" i="2"/>
  <c r="AM1368" i="2"/>
  <c r="AM1369" i="2"/>
  <c r="AM1370" i="2"/>
  <c r="AM1371" i="2"/>
  <c r="AM1372" i="2"/>
  <c r="AM1373" i="2"/>
  <c r="AM1374" i="2"/>
  <c r="AM1375" i="2"/>
  <c r="AM1376" i="2"/>
  <c r="AM1377" i="2"/>
  <c r="AM1378" i="2"/>
  <c r="AM1379" i="2"/>
  <c r="AM1380" i="2"/>
  <c r="AM1381" i="2"/>
  <c r="AM1382" i="2"/>
  <c r="AM1383" i="2"/>
  <c r="AM1384" i="2"/>
  <c r="AM1385" i="2"/>
  <c r="AM1386" i="2"/>
  <c r="AM1387" i="2"/>
  <c r="AM1388" i="2"/>
  <c r="AM1389" i="2"/>
  <c r="AM1390" i="2"/>
  <c r="AM1391" i="2"/>
  <c r="AM1392" i="2"/>
  <c r="AM1393" i="2"/>
  <c r="AM1394" i="2"/>
  <c r="AM1395" i="2"/>
  <c r="AM1396" i="2"/>
  <c r="AM1397" i="2"/>
  <c r="AM1398" i="2"/>
  <c r="AM1399" i="2"/>
  <c r="AM1400" i="2"/>
  <c r="AM1401" i="2"/>
  <c r="AM1402" i="2"/>
  <c r="AM1403" i="2"/>
  <c r="AM1404" i="2"/>
  <c r="AM1405" i="2"/>
  <c r="AM1406" i="2"/>
  <c r="AM1407" i="2"/>
  <c r="AM1408" i="2"/>
  <c r="AM1409" i="2"/>
  <c r="AM1410" i="2"/>
  <c r="AM1411" i="2"/>
  <c r="AM1412" i="2"/>
  <c r="AM1413" i="2"/>
  <c r="AM1414" i="2"/>
  <c r="AM1415" i="2"/>
  <c r="AM1416" i="2"/>
  <c r="AM1417" i="2"/>
  <c r="AM1418" i="2"/>
  <c r="AM1419" i="2"/>
  <c r="AM1420" i="2"/>
  <c r="AM1421" i="2"/>
  <c r="AM1422" i="2"/>
  <c r="AM1423" i="2"/>
  <c r="AM1424" i="2"/>
  <c r="AM1425" i="2"/>
  <c r="AM1426" i="2"/>
  <c r="AM1427" i="2"/>
  <c r="AM1428" i="2"/>
  <c r="AM1429" i="2"/>
  <c r="AM1430" i="2"/>
  <c r="AM1431" i="2"/>
  <c r="AM1432" i="2"/>
  <c r="AM1433" i="2"/>
  <c r="AM1434" i="2"/>
  <c r="AM1435" i="2"/>
  <c r="AM1436" i="2"/>
  <c r="AM1437" i="2"/>
  <c r="AM1438" i="2"/>
  <c r="AM1439" i="2"/>
  <c r="AM1440" i="2"/>
  <c r="AM1441" i="2"/>
  <c r="AM1442" i="2"/>
  <c r="AM1443" i="2"/>
  <c r="AM1444" i="2"/>
  <c r="AM1445" i="2"/>
  <c r="AM1446" i="2"/>
  <c r="AM1447" i="2"/>
  <c r="AM1448" i="2"/>
  <c r="AM1449" i="2"/>
  <c r="AM1450" i="2"/>
  <c r="AM1451" i="2"/>
  <c r="AM1452" i="2"/>
  <c r="AM1453" i="2"/>
  <c r="AM1454" i="2"/>
  <c r="AM1455" i="2"/>
  <c r="AM1456" i="2"/>
  <c r="AM1457" i="2"/>
  <c r="AM1458" i="2"/>
  <c r="AM1459" i="2"/>
  <c r="AM1460" i="2"/>
  <c r="AM1461" i="2"/>
  <c r="AM1462" i="2"/>
  <c r="AM1463" i="2"/>
  <c r="AM1464" i="2"/>
  <c r="AM1465" i="2"/>
  <c r="AM1466" i="2"/>
  <c r="AM1467" i="2"/>
  <c r="AM1468" i="2"/>
  <c r="AM1469" i="2"/>
  <c r="AM1470" i="2"/>
  <c r="AM1471" i="2"/>
  <c r="AM1472" i="2"/>
  <c r="AM1473" i="2"/>
  <c r="AM1474" i="2"/>
  <c r="AM1475" i="2"/>
  <c r="AM1476" i="2"/>
  <c r="AM1477" i="2"/>
  <c r="AM1478" i="2"/>
  <c r="AM1479" i="2"/>
  <c r="AM1480" i="2"/>
  <c r="AM1481" i="2"/>
  <c r="AM1482" i="2"/>
  <c r="AM1483" i="2"/>
  <c r="AM1484" i="2"/>
  <c r="AM1485" i="2"/>
  <c r="AM1486" i="2"/>
  <c r="AM1487" i="2"/>
  <c r="AM1488" i="2"/>
  <c r="AM1489" i="2"/>
  <c r="AM1490" i="2"/>
  <c r="AM1491" i="2"/>
  <c r="AM1492" i="2"/>
  <c r="AM1493" i="2"/>
  <c r="AM1494" i="2"/>
  <c r="AM1495" i="2"/>
  <c r="AM1496" i="2"/>
  <c r="AM1497" i="2"/>
  <c r="AM1498" i="2"/>
  <c r="AM1499" i="2"/>
  <c r="AM1500" i="2"/>
  <c r="AM1501" i="2"/>
  <c r="AM1502" i="2"/>
  <c r="AM1503" i="2"/>
  <c r="AM1504" i="2"/>
  <c r="AM1505" i="2"/>
  <c r="AM1506" i="2"/>
  <c r="AM1507" i="2"/>
  <c r="AM1508" i="2"/>
  <c r="AM1509" i="2"/>
  <c r="AM1510" i="2"/>
  <c r="AM1511" i="2"/>
  <c r="AM1512" i="2"/>
  <c r="AM1513" i="2"/>
  <c r="AM1514" i="2"/>
  <c r="AM1515" i="2"/>
  <c r="AM1516" i="2"/>
  <c r="AM1517" i="2"/>
  <c r="AM1518" i="2"/>
  <c r="AM1519" i="2"/>
  <c r="AM1520" i="2"/>
  <c r="AM1521" i="2"/>
  <c r="AM1522" i="2"/>
  <c r="AM1523" i="2"/>
  <c r="AM1524" i="2"/>
  <c r="AM1525" i="2"/>
  <c r="AM1526" i="2"/>
  <c r="AM1527" i="2"/>
  <c r="AM1528" i="2"/>
  <c r="AM1529" i="2"/>
  <c r="AM1530" i="2"/>
  <c r="AM1531" i="2"/>
  <c r="AM1532" i="2"/>
  <c r="AM1533" i="2"/>
  <c r="AM1534" i="2"/>
  <c r="AM1535" i="2"/>
  <c r="AM1536" i="2"/>
  <c r="AM1537" i="2"/>
  <c r="AM1538" i="2"/>
  <c r="AM1539" i="2"/>
  <c r="AM1540" i="2"/>
  <c r="AM1541" i="2"/>
  <c r="AM1542" i="2"/>
  <c r="AM1543" i="2"/>
  <c r="AM1544" i="2"/>
  <c r="AM1545" i="2"/>
  <c r="AM1546" i="2"/>
  <c r="AM1547" i="2"/>
  <c r="AM1548" i="2"/>
  <c r="AM1549" i="2"/>
  <c r="AM1550" i="2"/>
  <c r="AM1551" i="2"/>
  <c r="AM1552" i="2"/>
  <c r="AM1553" i="2"/>
  <c r="AM1042" i="2"/>
  <c r="AM531" i="2"/>
  <c r="AM532" i="2"/>
  <c r="AM533" i="2"/>
  <c r="AM534" i="2"/>
  <c r="AM535" i="2"/>
  <c r="AM536" i="2"/>
  <c r="AM537" i="2"/>
  <c r="AM538" i="2"/>
  <c r="AM539" i="2"/>
  <c r="AM540" i="2"/>
  <c r="AM541" i="2"/>
  <c r="AM542" i="2"/>
  <c r="AM543" i="2"/>
  <c r="AM544" i="2"/>
  <c r="AM545" i="2"/>
  <c r="AM546" i="2"/>
  <c r="AM547" i="2"/>
  <c r="AM548" i="2"/>
  <c r="AM549" i="2"/>
  <c r="AM550" i="2"/>
  <c r="AM551" i="2"/>
  <c r="AM552" i="2"/>
  <c r="AM553" i="2"/>
  <c r="AM554" i="2"/>
  <c r="AM555" i="2"/>
  <c r="AM556" i="2"/>
  <c r="AM557" i="2"/>
  <c r="AM558" i="2"/>
  <c r="AM559" i="2"/>
  <c r="AM560" i="2"/>
  <c r="AM561" i="2"/>
  <c r="AM562" i="2"/>
  <c r="AM563" i="2"/>
  <c r="AM564" i="2"/>
  <c r="AM565" i="2"/>
  <c r="AM566" i="2"/>
  <c r="AM567" i="2"/>
  <c r="AM568" i="2"/>
  <c r="AM569" i="2"/>
  <c r="AM570" i="2"/>
  <c r="AM571" i="2"/>
  <c r="AM572" i="2"/>
  <c r="AM573" i="2"/>
  <c r="AM574" i="2"/>
  <c r="AM575" i="2"/>
  <c r="AM576" i="2"/>
  <c r="AM577" i="2"/>
  <c r="AM578" i="2"/>
  <c r="AM579" i="2"/>
  <c r="AM580" i="2"/>
  <c r="AM581" i="2"/>
  <c r="AM582" i="2"/>
  <c r="AM583" i="2"/>
  <c r="AM584" i="2"/>
  <c r="AM585" i="2"/>
  <c r="AM586" i="2"/>
  <c r="AM587" i="2"/>
  <c r="AM588" i="2"/>
  <c r="AM589" i="2"/>
  <c r="AM590" i="2"/>
  <c r="AM591" i="2"/>
  <c r="AM592" i="2"/>
  <c r="AM593" i="2"/>
  <c r="AM594" i="2"/>
  <c r="AM595" i="2"/>
  <c r="AM596" i="2"/>
  <c r="AM597" i="2"/>
  <c r="AM598" i="2"/>
  <c r="AM599" i="2"/>
  <c r="AM600" i="2"/>
  <c r="AM601" i="2"/>
  <c r="AM602" i="2"/>
  <c r="AM603" i="2"/>
  <c r="AM604" i="2"/>
  <c r="AM605" i="2"/>
  <c r="AM606" i="2"/>
  <c r="AM607" i="2"/>
  <c r="AM608" i="2"/>
  <c r="AM609" i="2"/>
  <c r="AM610" i="2"/>
  <c r="AM611" i="2"/>
  <c r="AM612" i="2"/>
  <c r="AM613" i="2"/>
  <c r="AM614" i="2"/>
  <c r="AM615" i="2"/>
  <c r="AM616" i="2"/>
  <c r="AM617" i="2"/>
  <c r="AM618" i="2"/>
  <c r="AM619" i="2"/>
  <c r="AM620" i="2"/>
  <c r="AM621" i="2"/>
  <c r="AM622" i="2"/>
  <c r="AM623" i="2"/>
  <c r="AM624" i="2"/>
  <c r="AM625" i="2"/>
  <c r="AM626" i="2"/>
  <c r="AM627" i="2"/>
  <c r="AM628" i="2"/>
  <c r="AM629" i="2"/>
  <c r="AM630" i="2"/>
  <c r="AM631" i="2"/>
  <c r="AM632" i="2"/>
  <c r="AM633" i="2"/>
  <c r="AM634" i="2"/>
  <c r="AM635" i="2"/>
  <c r="AM636" i="2"/>
  <c r="AM637" i="2"/>
  <c r="AM638" i="2"/>
  <c r="AM639" i="2"/>
  <c r="AM640" i="2"/>
  <c r="AM641" i="2"/>
  <c r="AM642" i="2"/>
  <c r="AM643" i="2"/>
  <c r="AM644" i="2"/>
  <c r="AM645" i="2"/>
  <c r="AM646" i="2"/>
  <c r="AM647" i="2"/>
  <c r="AM648" i="2"/>
  <c r="AM649" i="2"/>
  <c r="AM650" i="2"/>
  <c r="AM651" i="2"/>
  <c r="AM652" i="2"/>
  <c r="AM653" i="2"/>
  <c r="AM654" i="2"/>
  <c r="AM655" i="2"/>
  <c r="AM656" i="2"/>
  <c r="AM657" i="2"/>
  <c r="AM658" i="2"/>
  <c r="AM659" i="2"/>
  <c r="AM660" i="2"/>
  <c r="AM661" i="2"/>
  <c r="AM662" i="2"/>
  <c r="AM663" i="2"/>
  <c r="AM664" i="2"/>
  <c r="AM665" i="2"/>
  <c r="AM666" i="2"/>
  <c r="AM667" i="2"/>
  <c r="AM668" i="2"/>
  <c r="AM669" i="2"/>
  <c r="AM670" i="2"/>
  <c r="AM671" i="2"/>
  <c r="AM672" i="2"/>
  <c r="AM673" i="2"/>
  <c r="AM674" i="2"/>
  <c r="AM675" i="2"/>
  <c r="AM676" i="2"/>
  <c r="AM677" i="2"/>
  <c r="AM678" i="2"/>
  <c r="AM679" i="2"/>
  <c r="AM680" i="2"/>
  <c r="AM681" i="2"/>
  <c r="AM682" i="2"/>
  <c r="AM683" i="2"/>
  <c r="AM684" i="2"/>
  <c r="AM685" i="2"/>
  <c r="AM686" i="2"/>
  <c r="AM687" i="2"/>
  <c r="AM688" i="2"/>
  <c r="AM689" i="2"/>
  <c r="AM690" i="2"/>
  <c r="AM691" i="2"/>
  <c r="AM692" i="2"/>
  <c r="AM693" i="2"/>
  <c r="AM694" i="2"/>
  <c r="AM695" i="2"/>
  <c r="AM696" i="2"/>
  <c r="AM697" i="2"/>
  <c r="AM698" i="2"/>
  <c r="AM699" i="2"/>
  <c r="AM700" i="2"/>
  <c r="AM701" i="2"/>
  <c r="AM702" i="2"/>
  <c r="AM703" i="2"/>
  <c r="AM704" i="2"/>
  <c r="AM705" i="2"/>
  <c r="AM706" i="2"/>
  <c r="AM707" i="2"/>
  <c r="AM708" i="2"/>
  <c r="AM709" i="2"/>
  <c r="AM710" i="2"/>
  <c r="AM711" i="2"/>
  <c r="AM712" i="2"/>
  <c r="AM713" i="2"/>
  <c r="AM714" i="2"/>
  <c r="AM715" i="2"/>
  <c r="AM716" i="2"/>
  <c r="AM717" i="2"/>
  <c r="AM718" i="2"/>
  <c r="AM719" i="2"/>
  <c r="AM720" i="2"/>
  <c r="AM721" i="2"/>
  <c r="AM722" i="2"/>
  <c r="AM723" i="2"/>
  <c r="AM724" i="2"/>
  <c r="AM725" i="2"/>
  <c r="AM726" i="2"/>
  <c r="AM727" i="2"/>
  <c r="AM728" i="2"/>
  <c r="AM729" i="2"/>
  <c r="AM730" i="2"/>
  <c r="AM731" i="2"/>
  <c r="AM732" i="2"/>
  <c r="AM733" i="2"/>
  <c r="AM734" i="2"/>
  <c r="AM735" i="2"/>
  <c r="AM736" i="2"/>
  <c r="AM737" i="2"/>
  <c r="AM738" i="2"/>
  <c r="AM739" i="2"/>
  <c r="AM740" i="2"/>
  <c r="AM741" i="2"/>
  <c r="AM742" i="2"/>
  <c r="AM743" i="2"/>
  <c r="AM744" i="2"/>
  <c r="AM745" i="2"/>
  <c r="AM746" i="2"/>
  <c r="AM747" i="2"/>
  <c r="AM748" i="2"/>
  <c r="AM749" i="2"/>
  <c r="AM750" i="2"/>
  <c r="AM751" i="2"/>
  <c r="AM752" i="2"/>
  <c r="AM753" i="2"/>
  <c r="AM754" i="2"/>
  <c r="AM755" i="2"/>
  <c r="AM756" i="2"/>
  <c r="AM757" i="2"/>
  <c r="AM758" i="2"/>
  <c r="AM759" i="2"/>
  <c r="AM760" i="2"/>
  <c r="AM761" i="2"/>
  <c r="AM762" i="2"/>
  <c r="AM763" i="2"/>
  <c r="AM764" i="2"/>
  <c r="AM765" i="2"/>
  <c r="AM766" i="2"/>
  <c r="AM767" i="2"/>
  <c r="AM768" i="2"/>
  <c r="AM769" i="2"/>
  <c r="AM770" i="2"/>
  <c r="AM771" i="2"/>
  <c r="AM772" i="2"/>
  <c r="AM773" i="2"/>
  <c r="AM774" i="2"/>
  <c r="AM775" i="2"/>
  <c r="AM776" i="2"/>
  <c r="AM777" i="2"/>
  <c r="AM778" i="2"/>
  <c r="AM779" i="2"/>
  <c r="AM780" i="2"/>
  <c r="AM781" i="2"/>
  <c r="AM782" i="2"/>
  <c r="AM783" i="2"/>
  <c r="AM784" i="2"/>
  <c r="AM785" i="2"/>
  <c r="AM786" i="2"/>
  <c r="AM787" i="2"/>
  <c r="AM788" i="2"/>
  <c r="AM789" i="2"/>
  <c r="AM790" i="2"/>
  <c r="AM791" i="2"/>
  <c r="AM792" i="2"/>
  <c r="AM793" i="2"/>
  <c r="AM794" i="2"/>
  <c r="AM795" i="2"/>
  <c r="AM796" i="2"/>
  <c r="AM797" i="2"/>
  <c r="AM798" i="2"/>
  <c r="AM799" i="2"/>
  <c r="AM800" i="2"/>
  <c r="AM801" i="2"/>
  <c r="AM802" i="2"/>
  <c r="AM803" i="2"/>
  <c r="AM804" i="2"/>
  <c r="AM805" i="2"/>
  <c r="AM806" i="2"/>
  <c r="AM807" i="2"/>
  <c r="AM808" i="2"/>
  <c r="AM809" i="2"/>
  <c r="AM810" i="2"/>
  <c r="AM811" i="2"/>
  <c r="AM812" i="2"/>
  <c r="AM813" i="2"/>
  <c r="AM814" i="2"/>
  <c r="AM815" i="2"/>
  <c r="AM816" i="2"/>
  <c r="AM817" i="2"/>
  <c r="AM818" i="2"/>
  <c r="AM819" i="2"/>
  <c r="AM820" i="2"/>
  <c r="AM821" i="2"/>
  <c r="AM822" i="2"/>
  <c r="AM823" i="2"/>
  <c r="AM824" i="2"/>
  <c r="AM825" i="2"/>
  <c r="AM826" i="2"/>
  <c r="AM827" i="2"/>
  <c r="AM828" i="2"/>
  <c r="AM829" i="2"/>
  <c r="AM830" i="2"/>
  <c r="AM831" i="2"/>
  <c r="AM832" i="2"/>
  <c r="AM833" i="2"/>
  <c r="AM834" i="2"/>
  <c r="AM835" i="2"/>
  <c r="AM836" i="2"/>
  <c r="AM837" i="2"/>
  <c r="AM838" i="2"/>
  <c r="AM839" i="2"/>
  <c r="AM840" i="2"/>
  <c r="AM841" i="2"/>
  <c r="AM842" i="2"/>
  <c r="AM843" i="2"/>
  <c r="AM844" i="2"/>
  <c r="AM845" i="2"/>
  <c r="AM846" i="2"/>
  <c r="AM847" i="2"/>
  <c r="AM848" i="2"/>
  <c r="AM849" i="2"/>
  <c r="AM850" i="2"/>
  <c r="AM851" i="2"/>
  <c r="AM852" i="2"/>
  <c r="AM853" i="2"/>
  <c r="AM854" i="2"/>
  <c r="AM855" i="2"/>
  <c r="AM856" i="2"/>
  <c r="AM857" i="2"/>
  <c r="AM858" i="2"/>
  <c r="AM859" i="2"/>
  <c r="AM860" i="2"/>
  <c r="AM861" i="2"/>
  <c r="AM862" i="2"/>
  <c r="AM863" i="2"/>
  <c r="AM864" i="2"/>
  <c r="AM865" i="2"/>
  <c r="AM866" i="2"/>
  <c r="AM867" i="2"/>
  <c r="AM868" i="2"/>
  <c r="AM869" i="2"/>
  <c r="AM870" i="2"/>
  <c r="AM871" i="2"/>
  <c r="AM872" i="2"/>
  <c r="AM873" i="2"/>
  <c r="AM874" i="2"/>
  <c r="AM875" i="2"/>
  <c r="AM876" i="2"/>
  <c r="AM877" i="2"/>
  <c r="AM878" i="2"/>
  <c r="AM879" i="2"/>
  <c r="AM880" i="2"/>
  <c r="AM881" i="2"/>
  <c r="AM882" i="2"/>
  <c r="AM883" i="2"/>
  <c r="AM884" i="2"/>
  <c r="AM885" i="2"/>
  <c r="AM886" i="2"/>
  <c r="AM887" i="2"/>
  <c r="AM888" i="2"/>
  <c r="AM889" i="2"/>
  <c r="AM890" i="2"/>
  <c r="AM891" i="2"/>
  <c r="AM892" i="2"/>
  <c r="AM893" i="2"/>
  <c r="AM894" i="2"/>
  <c r="AM895" i="2"/>
  <c r="AM896" i="2"/>
  <c r="AM897" i="2"/>
  <c r="AM898" i="2"/>
  <c r="AM899" i="2"/>
  <c r="AM900" i="2"/>
  <c r="AM901" i="2"/>
  <c r="AM902" i="2"/>
  <c r="AM903" i="2"/>
  <c r="AM904" i="2"/>
  <c r="AM905" i="2"/>
  <c r="AM906" i="2"/>
  <c r="AM907" i="2"/>
  <c r="AM908" i="2"/>
  <c r="AM909" i="2"/>
  <c r="AM910" i="2"/>
  <c r="AM911" i="2"/>
  <c r="AM912" i="2"/>
  <c r="AM913" i="2"/>
  <c r="AM914" i="2"/>
  <c r="AM915" i="2"/>
  <c r="AM916" i="2"/>
  <c r="AM917" i="2"/>
  <c r="AM918" i="2"/>
  <c r="AM919" i="2"/>
  <c r="AM920" i="2"/>
  <c r="AM921" i="2"/>
  <c r="AM922" i="2"/>
  <c r="AM923" i="2"/>
  <c r="AM924" i="2"/>
  <c r="AM925" i="2"/>
  <c r="AM926" i="2"/>
  <c r="AM927" i="2"/>
  <c r="AM928" i="2"/>
  <c r="AM929" i="2"/>
  <c r="AM930" i="2"/>
  <c r="AM931" i="2"/>
  <c r="AM932" i="2"/>
  <c r="AM933" i="2"/>
  <c r="AM934" i="2"/>
  <c r="AM935" i="2"/>
  <c r="AM936" i="2"/>
  <c r="AM937" i="2"/>
  <c r="AM938" i="2"/>
  <c r="AM939" i="2"/>
  <c r="AM940" i="2"/>
  <c r="AM941" i="2"/>
  <c r="AM942" i="2"/>
  <c r="AM943" i="2"/>
  <c r="AM944" i="2"/>
  <c r="AM945" i="2"/>
  <c r="AM946" i="2"/>
  <c r="AM947" i="2"/>
  <c r="AM948" i="2"/>
  <c r="AM949" i="2"/>
  <c r="AM950" i="2"/>
  <c r="AM951" i="2"/>
  <c r="AM952" i="2"/>
  <c r="AM953" i="2"/>
  <c r="AM954" i="2"/>
  <c r="AM955" i="2"/>
  <c r="AM956" i="2"/>
  <c r="AM957" i="2"/>
  <c r="AM958" i="2"/>
  <c r="AM959" i="2"/>
  <c r="AM960" i="2"/>
  <c r="AM961" i="2"/>
  <c r="AM962" i="2"/>
  <c r="AM963" i="2"/>
  <c r="AM964" i="2"/>
  <c r="AM965" i="2"/>
  <c r="AM966" i="2"/>
  <c r="AM967" i="2"/>
  <c r="AM968" i="2"/>
  <c r="AM969" i="2"/>
  <c r="AM970" i="2"/>
  <c r="AM971" i="2"/>
  <c r="AM972" i="2"/>
  <c r="AM973" i="2"/>
  <c r="AM974" i="2"/>
  <c r="AM975" i="2"/>
  <c r="AM976" i="2"/>
  <c r="AM977" i="2"/>
  <c r="AM978" i="2"/>
  <c r="AM979" i="2"/>
  <c r="AM980" i="2"/>
  <c r="AM981" i="2"/>
  <c r="AM982" i="2"/>
  <c r="AM983" i="2"/>
  <c r="AM984" i="2"/>
  <c r="AM985" i="2"/>
  <c r="AM986" i="2"/>
  <c r="AM987" i="2"/>
  <c r="AM988" i="2"/>
  <c r="AM989" i="2"/>
  <c r="AM990" i="2"/>
  <c r="AM991" i="2"/>
  <c r="AM992" i="2"/>
  <c r="AM993" i="2"/>
  <c r="AM994" i="2"/>
  <c r="AM995" i="2"/>
  <c r="AM996" i="2"/>
  <c r="AM997" i="2"/>
  <c r="AM998" i="2"/>
  <c r="AM999" i="2"/>
  <c r="AM1000" i="2"/>
  <c r="AM1001" i="2"/>
  <c r="AM1002" i="2"/>
  <c r="AM1003" i="2"/>
  <c r="AM1004" i="2"/>
  <c r="AM1005" i="2"/>
  <c r="AM1006" i="2"/>
  <c r="AM1007" i="2"/>
  <c r="AM1008" i="2"/>
  <c r="AM1009" i="2"/>
  <c r="AM1010" i="2"/>
  <c r="AM1011" i="2"/>
  <c r="AM1012" i="2"/>
  <c r="AM1013" i="2"/>
  <c r="AM1014" i="2"/>
  <c r="AM1015" i="2"/>
  <c r="AM1016" i="2"/>
  <c r="AM1017" i="2"/>
  <c r="AM1018" i="2"/>
  <c r="AM1019" i="2"/>
  <c r="AM1020" i="2"/>
  <c r="AM1021" i="2"/>
  <c r="AM1022" i="2"/>
  <c r="AM1023" i="2"/>
  <c r="AM1024" i="2"/>
  <c r="AM1025" i="2"/>
  <c r="AM1026" i="2"/>
  <c r="AM1027" i="2"/>
  <c r="AM1028" i="2"/>
  <c r="AM1029" i="2"/>
  <c r="AM1030" i="2"/>
  <c r="AM1031" i="2"/>
  <c r="AM1032" i="2"/>
  <c r="AM1033" i="2"/>
  <c r="AM1034" i="2"/>
  <c r="AM1035" i="2"/>
  <c r="AM1036" i="2"/>
  <c r="AM1037" i="2"/>
  <c r="AM1038" i="2"/>
  <c r="AM1039" i="2"/>
  <c r="AM1040" i="2"/>
  <c r="AM1041" i="2"/>
  <c r="AM530" i="2"/>
  <c r="AM219" i="2"/>
  <c r="AM220" i="2"/>
  <c r="AM221" i="2"/>
  <c r="AM222" i="2"/>
  <c r="AM223" i="2"/>
  <c r="AM224" i="2"/>
  <c r="AM225" i="2"/>
  <c r="AM226" i="2"/>
  <c r="AM227" i="2"/>
  <c r="AM228" i="2"/>
  <c r="AM229" i="2"/>
  <c r="AM230" i="2"/>
  <c r="AM231" i="2"/>
  <c r="AM232" i="2"/>
  <c r="AM233" i="2"/>
  <c r="AM234" i="2"/>
  <c r="AM235" i="2"/>
  <c r="AM236" i="2"/>
  <c r="AM237" i="2"/>
  <c r="AM238" i="2"/>
  <c r="AM239" i="2"/>
  <c r="AM240" i="2"/>
  <c r="AM241" i="2"/>
  <c r="AM242" i="2"/>
  <c r="AM243" i="2"/>
  <c r="AM244" i="2"/>
  <c r="AM245" i="2"/>
  <c r="AM246" i="2"/>
  <c r="AM247" i="2"/>
  <c r="AM248" i="2"/>
  <c r="AM249" i="2"/>
  <c r="AM250" i="2"/>
  <c r="AM251" i="2"/>
  <c r="AM252" i="2"/>
  <c r="AM253" i="2"/>
  <c r="AM254" i="2"/>
  <c r="AM255" i="2"/>
  <c r="AM256" i="2"/>
  <c r="AM257" i="2"/>
  <c r="AM258" i="2"/>
  <c r="AM259" i="2"/>
  <c r="AM260" i="2"/>
  <c r="AM261" i="2"/>
  <c r="AM262" i="2"/>
  <c r="AM263" i="2"/>
  <c r="AM264" i="2"/>
  <c r="AM265" i="2"/>
  <c r="AM266" i="2"/>
  <c r="AM267" i="2"/>
  <c r="AM268" i="2"/>
  <c r="AM269" i="2"/>
  <c r="AM270" i="2"/>
  <c r="AM271" i="2"/>
  <c r="AM272" i="2"/>
  <c r="AM273" i="2"/>
  <c r="AM274" i="2"/>
  <c r="AM275" i="2"/>
  <c r="AM276" i="2"/>
  <c r="AM277" i="2"/>
  <c r="AM278" i="2"/>
  <c r="AM279" i="2"/>
  <c r="AM280" i="2"/>
  <c r="AM281" i="2"/>
  <c r="AM282" i="2"/>
  <c r="AM283" i="2"/>
  <c r="AM284" i="2"/>
  <c r="AM285" i="2"/>
  <c r="AM286" i="2"/>
  <c r="AM287" i="2"/>
  <c r="AM288" i="2"/>
  <c r="AM289" i="2"/>
  <c r="AM290" i="2"/>
  <c r="AM291" i="2"/>
  <c r="AM292" i="2"/>
  <c r="AM293" i="2"/>
  <c r="AM294" i="2"/>
  <c r="AM295" i="2"/>
  <c r="AM296" i="2"/>
  <c r="AM297" i="2"/>
  <c r="AM298" i="2"/>
  <c r="AM299" i="2"/>
  <c r="AM300" i="2"/>
  <c r="AM301" i="2"/>
  <c r="AM302" i="2"/>
  <c r="AM303" i="2"/>
  <c r="AM304" i="2"/>
  <c r="AM305" i="2"/>
  <c r="AM306" i="2"/>
  <c r="AM307" i="2"/>
  <c r="AM308" i="2"/>
  <c r="AM309" i="2"/>
  <c r="AM310" i="2"/>
  <c r="AM311" i="2"/>
  <c r="AM312" i="2"/>
  <c r="AM313" i="2"/>
  <c r="AM314" i="2"/>
  <c r="AM315" i="2"/>
  <c r="AM316" i="2"/>
  <c r="AM317" i="2"/>
  <c r="AM318" i="2"/>
  <c r="AM319" i="2"/>
  <c r="AM320" i="2"/>
  <c r="AM321" i="2"/>
  <c r="AM322" i="2"/>
  <c r="AM323" i="2"/>
  <c r="AM324" i="2"/>
  <c r="AM325" i="2"/>
  <c r="AM326" i="2"/>
  <c r="AM327" i="2"/>
  <c r="AM328" i="2"/>
  <c r="AM329" i="2"/>
  <c r="AM330" i="2"/>
  <c r="AM331" i="2"/>
  <c r="AM332" i="2"/>
  <c r="AM333" i="2"/>
  <c r="AM334" i="2"/>
  <c r="AM335" i="2"/>
  <c r="AM336" i="2"/>
  <c r="AM337" i="2"/>
  <c r="AM338" i="2"/>
  <c r="AM339" i="2"/>
  <c r="AM340" i="2"/>
  <c r="AM341" i="2"/>
  <c r="AM342" i="2"/>
  <c r="AM343" i="2"/>
  <c r="AM344" i="2"/>
  <c r="AM345" i="2"/>
  <c r="AM346" i="2"/>
  <c r="AM347" i="2"/>
  <c r="AM348" i="2"/>
  <c r="AM349" i="2"/>
  <c r="AM350" i="2"/>
  <c r="AM351" i="2"/>
  <c r="AM352" i="2"/>
  <c r="AM353" i="2"/>
  <c r="AM354" i="2"/>
  <c r="AM355" i="2"/>
  <c r="AM356" i="2"/>
  <c r="AM357" i="2"/>
  <c r="AM358" i="2"/>
  <c r="AM359" i="2"/>
  <c r="AM360" i="2"/>
  <c r="AM361" i="2"/>
  <c r="AM362" i="2"/>
  <c r="AM363" i="2"/>
  <c r="AM364" i="2"/>
  <c r="AM365" i="2"/>
  <c r="AM366" i="2"/>
  <c r="AM367" i="2"/>
  <c r="AM368" i="2"/>
  <c r="AM369" i="2"/>
  <c r="AM370" i="2"/>
  <c r="AM371" i="2"/>
  <c r="AM372" i="2"/>
  <c r="AM373" i="2"/>
  <c r="AM374" i="2"/>
  <c r="AM375" i="2"/>
  <c r="AM376" i="2"/>
  <c r="AM377" i="2"/>
  <c r="AM378" i="2"/>
  <c r="AM379" i="2"/>
  <c r="AM380" i="2"/>
  <c r="AM381" i="2"/>
  <c r="AM382" i="2"/>
  <c r="AM383" i="2"/>
  <c r="AM384" i="2"/>
  <c r="AM385" i="2"/>
  <c r="AM386" i="2"/>
  <c r="AM387" i="2"/>
  <c r="AM388" i="2"/>
  <c r="AM389" i="2"/>
  <c r="AM390" i="2"/>
  <c r="AM391" i="2"/>
  <c r="AM392" i="2"/>
  <c r="AM393" i="2"/>
  <c r="AM394" i="2"/>
  <c r="AM395" i="2"/>
  <c r="AM396" i="2"/>
  <c r="AM397" i="2"/>
  <c r="AM398" i="2"/>
  <c r="AM399" i="2"/>
  <c r="AM400" i="2"/>
  <c r="AM401" i="2"/>
  <c r="AM402" i="2"/>
  <c r="AM403" i="2"/>
  <c r="AM404" i="2"/>
  <c r="AM405" i="2"/>
  <c r="AM406" i="2"/>
  <c r="AM407" i="2"/>
  <c r="AM408" i="2"/>
  <c r="AM409" i="2"/>
  <c r="AM410" i="2"/>
  <c r="AM411" i="2"/>
  <c r="AM412" i="2"/>
  <c r="AM413" i="2"/>
  <c r="AM414" i="2"/>
  <c r="AM415" i="2"/>
  <c r="AM416" i="2"/>
  <c r="AM417" i="2"/>
  <c r="AM418" i="2"/>
  <c r="AM419" i="2"/>
  <c r="AM420" i="2"/>
  <c r="AM421" i="2"/>
  <c r="AM422" i="2"/>
  <c r="AM423" i="2"/>
  <c r="AM424" i="2"/>
  <c r="AM425" i="2"/>
  <c r="AM426" i="2"/>
  <c r="AM427" i="2"/>
  <c r="AM428" i="2"/>
  <c r="AM429" i="2"/>
  <c r="AM430" i="2"/>
  <c r="AM431" i="2"/>
  <c r="AM432" i="2"/>
  <c r="AM433" i="2"/>
  <c r="AM434" i="2"/>
  <c r="AM435" i="2"/>
  <c r="AM436" i="2"/>
  <c r="AM437" i="2"/>
  <c r="AM438" i="2"/>
  <c r="AM439" i="2"/>
  <c r="AM440" i="2"/>
  <c r="AM441" i="2"/>
  <c r="AM442" i="2"/>
  <c r="AM443" i="2"/>
  <c r="AM444" i="2"/>
  <c r="AM445" i="2"/>
  <c r="AM446" i="2"/>
  <c r="AM447" i="2"/>
  <c r="AM448" i="2"/>
  <c r="AM449" i="2"/>
  <c r="AM450" i="2"/>
  <c r="AM451" i="2"/>
  <c r="AM452" i="2"/>
  <c r="AM453" i="2"/>
  <c r="AM454" i="2"/>
  <c r="AM455" i="2"/>
  <c r="AM456" i="2"/>
  <c r="AM457" i="2"/>
  <c r="AM458" i="2"/>
  <c r="AM459" i="2"/>
  <c r="AM460" i="2"/>
  <c r="AM461" i="2"/>
  <c r="AM462" i="2"/>
  <c r="AM463" i="2"/>
  <c r="AM464" i="2"/>
  <c r="AM465" i="2"/>
  <c r="AM466" i="2"/>
  <c r="AM467" i="2"/>
  <c r="AM468" i="2"/>
  <c r="AM469" i="2"/>
  <c r="AM470" i="2"/>
  <c r="AM471" i="2"/>
  <c r="AM472" i="2"/>
  <c r="AM473" i="2"/>
  <c r="AM474" i="2"/>
  <c r="AM475" i="2"/>
  <c r="AM476" i="2"/>
  <c r="AM477" i="2"/>
  <c r="AM478" i="2"/>
  <c r="AM479" i="2"/>
  <c r="AM480" i="2"/>
  <c r="AM481" i="2"/>
  <c r="AM482" i="2"/>
  <c r="AM483" i="2"/>
  <c r="AM484" i="2"/>
  <c r="AM485" i="2"/>
  <c r="AM486" i="2"/>
  <c r="AM487" i="2"/>
  <c r="AM488" i="2"/>
  <c r="AM489" i="2"/>
  <c r="AM490" i="2"/>
  <c r="AM491" i="2"/>
  <c r="AM492" i="2"/>
  <c r="AM493" i="2"/>
  <c r="AM494" i="2"/>
  <c r="AM495" i="2"/>
  <c r="AM496" i="2"/>
  <c r="AM497" i="2"/>
  <c r="AM498" i="2"/>
  <c r="AM499" i="2"/>
  <c r="AM500" i="2"/>
  <c r="AM501" i="2"/>
  <c r="AM502" i="2"/>
  <c r="AM503" i="2"/>
  <c r="AM504" i="2"/>
  <c r="AM505" i="2"/>
  <c r="AM506" i="2"/>
  <c r="AM507" i="2"/>
  <c r="AM508" i="2"/>
  <c r="AM509" i="2"/>
  <c r="AM510" i="2"/>
  <c r="AM511" i="2"/>
  <c r="AM512" i="2"/>
  <c r="AM513" i="2"/>
  <c r="AM514" i="2"/>
  <c r="AM515" i="2"/>
  <c r="AM516" i="2"/>
  <c r="AM517" i="2"/>
  <c r="AM518" i="2"/>
  <c r="AM519" i="2"/>
  <c r="AM520" i="2"/>
  <c r="AM521" i="2"/>
  <c r="AM522" i="2"/>
  <c r="AM523" i="2"/>
  <c r="AM524" i="2"/>
  <c r="AM525" i="2"/>
  <c r="AM526" i="2"/>
  <c r="AM527" i="2"/>
  <c r="AM528" i="2"/>
  <c r="AM529" i="2"/>
  <c r="AM18" i="2"/>
  <c r="W123" i="2" l="1"/>
  <c r="AJ1146" i="2"/>
  <c r="Y122" i="2"/>
  <c r="Z122" i="2" s="1"/>
  <c r="W47" i="2"/>
  <c r="AJ1070" i="2"/>
  <c r="Y46" i="2"/>
  <c r="Z46" i="2" s="1"/>
  <c r="AE165" i="2"/>
  <c r="AJ1700" i="2"/>
  <c r="AG164" i="2"/>
  <c r="AH164" i="2" s="1"/>
  <c r="W241" i="2"/>
  <c r="AJ1264" i="2"/>
  <c r="Y240" i="2"/>
  <c r="Z240" i="2" s="1"/>
  <c r="AE317" i="2"/>
  <c r="AJ1852" i="2"/>
  <c r="AG316" i="2"/>
  <c r="AH316" i="2" s="1"/>
  <c r="AE351" i="2"/>
  <c r="AJ1886" i="2"/>
  <c r="AG350" i="2"/>
  <c r="AH350" i="2" s="1"/>
  <c r="AE47" i="2"/>
  <c r="AJ1582" i="2"/>
  <c r="AG46" i="2"/>
  <c r="AH46" i="2" s="1"/>
  <c r="W199" i="2"/>
  <c r="AJ1222" i="2"/>
  <c r="Y198" i="2"/>
  <c r="Z198" i="2" s="1"/>
  <c r="AE90" i="2"/>
  <c r="AJ1625" i="2"/>
  <c r="AG89" i="2"/>
  <c r="AH89" i="2" s="1"/>
  <c r="W89" i="2"/>
  <c r="AJ1112" i="2"/>
  <c r="Y88" i="2"/>
  <c r="Z88" i="2" s="1"/>
  <c r="AE275" i="2"/>
  <c r="AJ1810" i="2"/>
  <c r="AG274" i="2"/>
  <c r="AH274" i="2" s="1"/>
  <c r="AE199" i="2"/>
  <c r="AJ1734" i="2"/>
  <c r="AG198" i="2"/>
  <c r="AH198" i="2" s="1"/>
  <c r="W165" i="2"/>
  <c r="AJ1188" i="2"/>
  <c r="Y164" i="2"/>
  <c r="Z164" i="2" s="1"/>
  <c r="AE393" i="2"/>
  <c r="AJ1928" i="2"/>
  <c r="AG392" i="2"/>
  <c r="AH392" i="2" s="1"/>
  <c r="AE241" i="2"/>
  <c r="AJ1776" i="2"/>
  <c r="AG240" i="2"/>
  <c r="AH240" i="2" s="1"/>
  <c r="AE123" i="2"/>
  <c r="AJ1658" i="2"/>
  <c r="AG122" i="2"/>
  <c r="AH122" i="2" s="1"/>
  <c r="AM1750" i="2"/>
  <c r="AM1745" i="2"/>
  <c r="AM1740" i="2"/>
  <c r="AM1734" i="2"/>
  <c r="AM1729" i="2"/>
  <c r="AM1724" i="2"/>
  <c r="AM1718" i="2"/>
  <c r="AM1713" i="2"/>
  <c r="AM1708" i="2"/>
  <c r="AM1702" i="2"/>
  <c r="AM1697" i="2"/>
  <c r="AM1753" i="2"/>
  <c r="AM1748" i="2"/>
  <c r="AM1742" i="2"/>
  <c r="AM1737" i="2"/>
  <c r="AM1732" i="2"/>
  <c r="AM1726" i="2"/>
  <c r="AM1721" i="2"/>
  <c r="AM1716" i="2"/>
  <c r="AM1710" i="2"/>
  <c r="AM1705" i="2"/>
  <c r="AM1700" i="2"/>
  <c r="AM1751" i="2"/>
  <c r="AM1747" i="2"/>
  <c r="AM1743" i="2"/>
  <c r="AM1739" i="2"/>
  <c r="AM1735" i="2"/>
  <c r="AM1731" i="2"/>
  <c r="AM1727" i="2"/>
  <c r="AM1723" i="2"/>
  <c r="AM1719" i="2"/>
  <c r="AM1715" i="2"/>
  <c r="AM1711" i="2"/>
  <c r="AM1707" i="2"/>
  <c r="AM1703" i="2"/>
  <c r="AM1699" i="2"/>
  <c r="AM1695" i="2"/>
  <c r="AM1691" i="2"/>
  <c r="AM1687" i="2"/>
  <c r="AM1683" i="2"/>
  <c r="AM1679" i="2"/>
  <c r="AM1675" i="2"/>
  <c r="AM1671" i="2"/>
  <c r="AM1667" i="2"/>
  <c r="AM1663" i="2"/>
  <c r="AM1659" i="2"/>
  <c r="AM1655" i="2"/>
  <c r="AM1651" i="2"/>
  <c r="AM1647" i="2"/>
  <c r="AM1643" i="2"/>
  <c r="AM1639" i="2"/>
  <c r="AM1635" i="2"/>
  <c r="AM1631" i="2"/>
  <c r="AM1627" i="2"/>
  <c r="AM1623" i="2"/>
  <c r="AM1619" i="2"/>
  <c r="AM1615" i="2"/>
  <c r="AM1611" i="2"/>
  <c r="AM1607" i="2"/>
  <c r="AM1603" i="2"/>
  <c r="AM1599" i="2"/>
  <c r="AM1595" i="2"/>
  <c r="AM1591" i="2"/>
  <c r="AM1587" i="2"/>
  <c r="AM1583" i="2"/>
  <c r="AM1579" i="2"/>
  <c r="AM1575" i="2"/>
  <c r="AM1571" i="2"/>
  <c r="AM1567" i="2"/>
  <c r="AM1563" i="2"/>
  <c r="AM1559" i="2"/>
  <c r="AM1555" i="2"/>
  <c r="AM1241" i="2"/>
  <c r="AM1237" i="2"/>
  <c r="AM1233" i="2"/>
  <c r="AM1229" i="2"/>
  <c r="AM1225" i="2"/>
  <c r="AM1221" i="2"/>
  <c r="AM1217" i="2"/>
  <c r="AM1213" i="2"/>
  <c r="AM1209" i="2"/>
  <c r="AM1205" i="2"/>
  <c r="AM1201" i="2"/>
  <c r="AM1197" i="2"/>
  <c r="AM1193" i="2"/>
  <c r="AM1189" i="2"/>
  <c r="AM1185" i="2"/>
  <c r="AM1181" i="2"/>
  <c r="AM1177" i="2"/>
  <c r="AM1173" i="2"/>
  <c r="AM1169" i="2"/>
  <c r="AM1165" i="2"/>
  <c r="AM1161" i="2"/>
  <c r="AM1157" i="2"/>
  <c r="AM1153" i="2"/>
  <c r="AM1149" i="2"/>
  <c r="AM1145" i="2"/>
  <c r="AM1141" i="2"/>
  <c r="AM1137" i="2"/>
  <c r="AM1133" i="2"/>
  <c r="AM1129" i="2"/>
  <c r="AM1125" i="2"/>
  <c r="AM1121" i="2"/>
  <c r="AM1117" i="2"/>
  <c r="AM1113" i="2"/>
  <c r="AM1109" i="2"/>
  <c r="AM1105" i="2"/>
  <c r="AM1101" i="2"/>
  <c r="AM1097" i="2"/>
  <c r="AM1093" i="2"/>
  <c r="AM1089" i="2"/>
  <c r="AM1085" i="2"/>
  <c r="AM1081" i="2"/>
  <c r="AM1077" i="2"/>
  <c r="AM1073" i="2"/>
  <c r="AM1069" i="2"/>
  <c r="AM1065" i="2"/>
  <c r="AM1061" i="2"/>
  <c r="AM1057" i="2"/>
  <c r="AM1053" i="2"/>
  <c r="AM1049" i="2"/>
  <c r="AM1045" i="2"/>
  <c r="AM1240" i="2"/>
  <c r="AM1236" i="2"/>
  <c r="AM1232" i="2"/>
  <c r="AM1228" i="2"/>
  <c r="AM1224" i="2"/>
  <c r="AM1220" i="2"/>
  <c r="AM1216" i="2"/>
  <c r="AM1212" i="2"/>
  <c r="AM1208" i="2"/>
  <c r="AM1204" i="2"/>
  <c r="AM1200" i="2"/>
  <c r="AM1196" i="2"/>
  <c r="AM1192" i="2"/>
  <c r="AM1188" i="2"/>
  <c r="AM1184" i="2"/>
  <c r="AM1180" i="2"/>
  <c r="AM1176" i="2"/>
  <c r="AM1172" i="2"/>
  <c r="AM1168" i="2"/>
  <c r="AM1164" i="2"/>
  <c r="AM1160" i="2"/>
  <c r="AM1156" i="2"/>
  <c r="AM1152" i="2"/>
  <c r="AM1148" i="2"/>
  <c r="AM1144" i="2"/>
  <c r="AM1140" i="2"/>
  <c r="AM1136" i="2"/>
  <c r="AM1132" i="2"/>
  <c r="AM1128" i="2"/>
  <c r="AM1124" i="2"/>
  <c r="AM1120" i="2"/>
  <c r="AM1116" i="2"/>
  <c r="AM1112" i="2"/>
  <c r="AM1108" i="2"/>
  <c r="AM1104" i="2"/>
  <c r="AM1100" i="2"/>
  <c r="AM1096" i="2"/>
  <c r="AM1092" i="2"/>
  <c r="AM1088" i="2"/>
  <c r="AM1084" i="2"/>
  <c r="AM1080" i="2"/>
  <c r="AM1076" i="2"/>
  <c r="AM1072" i="2"/>
  <c r="AM1068" i="2"/>
  <c r="AM1064" i="2"/>
  <c r="AM1060" i="2"/>
  <c r="AM1056" i="2"/>
  <c r="AM1052" i="2"/>
  <c r="AM1048" i="2"/>
  <c r="AM1044" i="2"/>
  <c r="AE166" i="2" l="1"/>
  <c r="AJ1701" i="2"/>
  <c r="AG165" i="2"/>
  <c r="AH165" i="2" s="1"/>
  <c r="AE242" i="2"/>
  <c r="AJ1777" i="2"/>
  <c r="AG241" i="2"/>
  <c r="AH241" i="2" s="1"/>
  <c r="W166" i="2"/>
  <c r="AJ1189" i="2"/>
  <c r="Y165" i="2"/>
  <c r="Z165" i="2" s="1"/>
  <c r="W200" i="2"/>
  <c r="AJ1223" i="2"/>
  <c r="Y199" i="2"/>
  <c r="Z199" i="2" s="1"/>
  <c r="AE352" i="2"/>
  <c r="AJ1887" i="2"/>
  <c r="AG351" i="2"/>
  <c r="AH351" i="2" s="1"/>
  <c r="W90" i="2"/>
  <c r="AJ1113" i="2"/>
  <c r="Y89" i="2"/>
  <c r="Z89" i="2" s="1"/>
  <c r="AE318" i="2"/>
  <c r="AJ1853" i="2"/>
  <c r="AG317" i="2"/>
  <c r="AH317" i="2" s="1"/>
  <c r="W48" i="2"/>
  <c r="AJ1071" i="2"/>
  <c r="Y47" i="2"/>
  <c r="Z47" i="2" s="1"/>
  <c r="AE394" i="2"/>
  <c r="AJ1929" i="2"/>
  <c r="AG393" i="2"/>
  <c r="AH393" i="2" s="1"/>
  <c r="AE200" i="2"/>
  <c r="AJ1735" i="2"/>
  <c r="AG199" i="2"/>
  <c r="AH199" i="2" s="1"/>
  <c r="AE48" i="2"/>
  <c r="AJ1583" i="2"/>
  <c r="AG47" i="2"/>
  <c r="AE276" i="2"/>
  <c r="AJ1811" i="2"/>
  <c r="AG275" i="2"/>
  <c r="AH275" i="2" s="1"/>
  <c r="W242" i="2"/>
  <c r="AJ1265" i="2"/>
  <c r="Y241" i="2"/>
  <c r="Z241" i="2" s="1"/>
  <c r="AE124" i="2"/>
  <c r="AJ1659" i="2"/>
  <c r="AG123" i="2"/>
  <c r="AH123" i="2" s="1"/>
  <c r="AE91" i="2"/>
  <c r="AJ1626" i="2"/>
  <c r="AG90" i="2"/>
  <c r="AH90" i="2" s="1"/>
  <c r="W124" i="2"/>
  <c r="AJ1147" i="2"/>
  <c r="Y123" i="2"/>
  <c r="Z123" i="2" s="1"/>
  <c r="AM19" i="2"/>
  <c r="AN2065" i="2"/>
  <c r="W125" i="2" l="1"/>
  <c r="AJ1148" i="2"/>
  <c r="Y124" i="2"/>
  <c r="Z124" i="2" s="1"/>
  <c r="W243" i="2"/>
  <c r="AJ1266" i="2"/>
  <c r="Y242" i="2"/>
  <c r="Z242" i="2" s="1"/>
  <c r="W49" i="2"/>
  <c r="AJ1072" i="2"/>
  <c r="AN1072" i="2" s="1"/>
  <c r="Y48" i="2"/>
  <c r="Z48" i="2" s="1"/>
  <c r="W167" i="2"/>
  <c r="AJ1190" i="2"/>
  <c r="Y166" i="2"/>
  <c r="Z166" i="2" s="1"/>
  <c r="AE201" i="2"/>
  <c r="AJ1736" i="2"/>
  <c r="AG200" i="2"/>
  <c r="AH200" i="2" s="1"/>
  <c r="AE353" i="2"/>
  <c r="AJ1888" i="2"/>
  <c r="AG352" i="2"/>
  <c r="AH352" i="2" s="1"/>
  <c r="AE92" i="2"/>
  <c r="AJ1627" i="2"/>
  <c r="AG91" i="2"/>
  <c r="AH91" i="2" s="1"/>
  <c r="AE243" i="2"/>
  <c r="AJ1778" i="2"/>
  <c r="AG242" i="2"/>
  <c r="AH242" i="2" s="1"/>
  <c r="AE277" i="2"/>
  <c r="AJ1812" i="2"/>
  <c r="AG276" i="2"/>
  <c r="AH276" i="2" s="1"/>
  <c r="AE319" i="2"/>
  <c r="AJ1854" i="2"/>
  <c r="AG318" i="2"/>
  <c r="AH318" i="2" s="1"/>
  <c r="AH47" i="2"/>
  <c r="AE395" i="2"/>
  <c r="AJ1930" i="2"/>
  <c r="AG394" i="2"/>
  <c r="AH394" i="2" s="1"/>
  <c r="W201" i="2"/>
  <c r="AJ1224" i="2"/>
  <c r="Y200" i="2"/>
  <c r="Z200" i="2" s="1"/>
  <c r="AE167" i="2"/>
  <c r="AJ1702" i="2"/>
  <c r="AG166" i="2"/>
  <c r="AH166" i="2" s="1"/>
  <c r="AE125" i="2"/>
  <c r="AJ1660" i="2"/>
  <c r="AG124" i="2"/>
  <c r="AH124" i="2" s="1"/>
  <c r="AE49" i="2"/>
  <c r="AJ1584" i="2"/>
  <c r="AG48" i="2"/>
  <c r="AH48" i="2" s="1"/>
  <c r="W91" i="2"/>
  <c r="AJ1114" i="2"/>
  <c r="Y90" i="2"/>
  <c r="Z90" i="2" s="1"/>
  <c r="AN1114" i="2"/>
  <c r="AM20" i="2"/>
  <c r="AP18" i="2"/>
  <c r="AN725" i="2"/>
  <c r="AN726" i="2"/>
  <c r="AN727" i="2"/>
  <c r="AN728" i="2"/>
  <c r="AN729" i="2"/>
  <c r="AN730" i="2"/>
  <c r="AN731" i="2"/>
  <c r="AN732" i="2"/>
  <c r="AN733" i="2"/>
  <c r="AN734" i="2"/>
  <c r="AN735" i="2"/>
  <c r="AN736" i="2"/>
  <c r="AN737" i="2"/>
  <c r="AN738" i="2"/>
  <c r="AN739" i="2"/>
  <c r="AN740" i="2"/>
  <c r="AN741" i="2"/>
  <c r="AN742" i="2"/>
  <c r="AN743" i="2"/>
  <c r="AN744" i="2"/>
  <c r="AN745" i="2"/>
  <c r="AN746" i="2"/>
  <c r="AN747" i="2"/>
  <c r="AN748" i="2"/>
  <c r="AN749" i="2"/>
  <c r="AN750" i="2"/>
  <c r="AN751" i="2"/>
  <c r="AN752" i="2"/>
  <c r="AN753" i="2"/>
  <c r="AN754" i="2"/>
  <c r="AN755" i="2"/>
  <c r="AN756" i="2"/>
  <c r="AN757" i="2"/>
  <c r="AN758" i="2"/>
  <c r="AN759" i="2"/>
  <c r="AN760" i="2"/>
  <c r="AN761" i="2"/>
  <c r="AN762" i="2"/>
  <c r="AN763" i="2"/>
  <c r="AN764" i="2"/>
  <c r="AN765" i="2"/>
  <c r="AN766" i="2"/>
  <c r="AN767" i="2"/>
  <c r="AN768" i="2"/>
  <c r="AN769" i="2"/>
  <c r="AN770" i="2"/>
  <c r="AN771" i="2"/>
  <c r="AN772" i="2"/>
  <c r="AN773" i="2"/>
  <c r="AN774" i="2"/>
  <c r="AN775" i="2"/>
  <c r="AN776" i="2"/>
  <c r="AN777" i="2"/>
  <c r="AN778" i="2"/>
  <c r="AN779" i="2"/>
  <c r="AN780" i="2"/>
  <c r="AN781" i="2"/>
  <c r="AN782" i="2"/>
  <c r="AN783" i="2"/>
  <c r="AN784" i="2"/>
  <c r="AN785" i="2"/>
  <c r="AN786" i="2"/>
  <c r="AN787" i="2"/>
  <c r="AN788" i="2"/>
  <c r="AN789" i="2"/>
  <c r="AN790" i="2"/>
  <c r="AN791" i="2"/>
  <c r="AN792" i="2"/>
  <c r="AN793" i="2"/>
  <c r="AN794" i="2"/>
  <c r="AN795" i="2"/>
  <c r="AN796" i="2"/>
  <c r="AN797" i="2"/>
  <c r="AN798" i="2"/>
  <c r="AN799" i="2"/>
  <c r="AN800" i="2"/>
  <c r="AN801" i="2"/>
  <c r="AN802" i="2"/>
  <c r="AN803" i="2"/>
  <c r="AN804" i="2"/>
  <c r="AN805" i="2"/>
  <c r="AN806" i="2"/>
  <c r="AN807" i="2"/>
  <c r="AN808" i="2"/>
  <c r="AN809" i="2"/>
  <c r="AN810" i="2"/>
  <c r="AN811" i="2"/>
  <c r="AN812" i="2"/>
  <c r="AN813" i="2"/>
  <c r="AN814" i="2"/>
  <c r="AN815" i="2"/>
  <c r="AN816" i="2"/>
  <c r="AN817" i="2"/>
  <c r="AN818" i="2"/>
  <c r="AN819" i="2"/>
  <c r="AN820" i="2"/>
  <c r="AN821" i="2"/>
  <c r="AN822" i="2"/>
  <c r="AN823" i="2"/>
  <c r="AN824" i="2"/>
  <c r="AN825" i="2"/>
  <c r="AN826" i="2"/>
  <c r="AN827" i="2"/>
  <c r="AN828" i="2"/>
  <c r="AN829" i="2"/>
  <c r="AN830" i="2"/>
  <c r="AN831" i="2"/>
  <c r="AN832" i="2"/>
  <c r="AN833" i="2"/>
  <c r="AN834" i="2"/>
  <c r="AN835" i="2"/>
  <c r="AN836" i="2"/>
  <c r="AN837" i="2"/>
  <c r="AN838" i="2"/>
  <c r="AN839" i="2"/>
  <c r="AN840" i="2"/>
  <c r="AN841" i="2"/>
  <c r="AN842" i="2"/>
  <c r="AN843" i="2"/>
  <c r="AN844" i="2"/>
  <c r="AN845" i="2"/>
  <c r="AN846" i="2"/>
  <c r="AN847" i="2"/>
  <c r="AN848" i="2"/>
  <c r="AN849" i="2"/>
  <c r="AN850" i="2"/>
  <c r="AN851" i="2"/>
  <c r="AN852" i="2"/>
  <c r="AN853" i="2"/>
  <c r="AN854" i="2"/>
  <c r="AN855" i="2"/>
  <c r="AN856" i="2"/>
  <c r="AN857" i="2"/>
  <c r="AN858" i="2"/>
  <c r="AN859" i="2"/>
  <c r="AN860" i="2"/>
  <c r="AN861" i="2"/>
  <c r="AN862" i="2"/>
  <c r="AN863" i="2"/>
  <c r="AN864" i="2"/>
  <c r="AN865" i="2"/>
  <c r="AN866" i="2"/>
  <c r="AN867" i="2"/>
  <c r="AN868" i="2"/>
  <c r="AN869" i="2"/>
  <c r="AN870" i="2"/>
  <c r="AN871" i="2"/>
  <c r="AN872" i="2"/>
  <c r="AN873" i="2"/>
  <c r="AN874" i="2"/>
  <c r="AN875" i="2"/>
  <c r="AN876" i="2"/>
  <c r="AN877" i="2"/>
  <c r="AN878" i="2"/>
  <c r="AN879" i="2"/>
  <c r="AN880" i="2"/>
  <c r="AN881" i="2"/>
  <c r="AN882" i="2"/>
  <c r="AN883" i="2"/>
  <c r="AN884" i="2"/>
  <c r="AN885" i="2"/>
  <c r="AN886" i="2"/>
  <c r="AN887" i="2"/>
  <c r="AN888" i="2"/>
  <c r="AN889" i="2"/>
  <c r="AN890" i="2"/>
  <c r="AN891" i="2"/>
  <c r="AN892" i="2"/>
  <c r="AN893" i="2"/>
  <c r="AN894" i="2"/>
  <c r="AN895" i="2"/>
  <c r="AN896" i="2"/>
  <c r="AN897" i="2"/>
  <c r="AN898" i="2"/>
  <c r="AN899" i="2"/>
  <c r="AN900" i="2"/>
  <c r="AN901" i="2"/>
  <c r="AN902" i="2"/>
  <c r="AN903" i="2"/>
  <c r="AN904" i="2"/>
  <c r="AN905" i="2"/>
  <c r="AN906" i="2"/>
  <c r="AN907" i="2"/>
  <c r="AN908" i="2"/>
  <c r="AN909" i="2"/>
  <c r="AN910" i="2"/>
  <c r="AN911" i="2"/>
  <c r="AN912" i="2"/>
  <c r="AN913" i="2"/>
  <c r="AN914" i="2"/>
  <c r="AN915" i="2"/>
  <c r="AN916" i="2"/>
  <c r="AN917" i="2"/>
  <c r="AN918" i="2"/>
  <c r="AN919" i="2"/>
  <c r="AN920" i="2"/>
  <c r="AN921" i="2"/>
  <c r="AN922" i="2"/>
  <c r="AN923" i="2"/>
  <c r="AN924" i="2"/>
  <c r="AN925" i="2"/>
  <c r="AN926" i="2"/>
  <c r="AN927" i="2"/>
  <c r="AN928" i="2"/>
  <c r="AN929" i="2"/>
  <c r="AN930" i="2"/>
  <c r="AN931" i="2"/>
  <c r="AN932" i="2"/>
  <c r="AN933" i="2"/>
  <c r="AN934" i="2"/>
  <c r="AN935" i="2"/>
  <c r="AN936" i="2"/>
  <c r="AN937" i="2"/>
  <c r="AN938" i="2"/>
  <c r="AN939" i="2"/>
  <c r="AN940" i="2"/>
  <c r="AN941" i="2"/>
  <c r="AN942" i="2"/>
  <c r="AN943" i="2"/>
  <c r="AN944" i="2"/>
  <c r="AN945" i="2"/>
  <c r="AN946" i="2"/>
  <c r="AN947" i="2"/>
  <c r="AN948" i="2"/>
  <c r="AN949" i="2"/>
  <c r="AN950" i="2"/>
  <c r="AN951" i="2"/>
  <c r="AN952" i="2"/>
  <c r="AN953" i="2"/>
  <c r="AN954" i="2"/>
  <c r="AN955" i="2"/>
  <c r="AN956" i="2"/>
  <c r="AN957" i="2"/>
  <c r="AN958" i="2"/>
  <c r="AN959" i="2"/>
  <c r="AN960" i="2"/>
  <c r="AN961" i="2"/>
  <c r="AN962" i="2"/>
  <c r="AN963" i="2"/>
  <c r="AN964" i="2"/>
  <c r="AN965" i="2"/>
  <c r="AN966" i="2"/>
  <c r="AN967" i="2"/>
  <c r="AN968" i="2"/>
  <c r="AN969" i="2"/>
  <c r="AN970" i="2"/>
  <c r="AN971" i="2"/>
  <c r="AN972" i="2"/>
  <c r="AN973" i="2"/>
  <c r="AN974" i="2"/>
  <c r="AN975" i="2"/>
  <c r="AN976" i="2"/>
  <c r="AN977" i="2"/>
  <c r="AN978" i="2"/>
  <c r="AN979" i="2"/>
  <c r="AN980" i="2"/>
  <c r="AN981" i="2"/>
  <c r="AN982" i="2"/>
  <c r="AN983" i="2"/>
  <c r="AN984" i="2"/>
  <c r="AP984" i="2" s="1"/>
  <c r="AN985" i="2"/>
  <c r="AN986" i="2"/>
  <c r="AN987" i="2"/>
  <c r="AN988" i="2"/>
  <c r="AP988" i="2" s="1"/>
  <c r="AN989" i="2"/>
  <c r="AN990" i="2"/>
  <c r="AN991" i="2"/>
  <c r="AN992" i="2"/>
  <c r="AN993" i="2"/>
  <c r="AN994" i="2"/>
  <c r="AN995" i="2"/>
  <c r="AN996" i="2"/>
  <c r="AN997" i="2"/>
  <c r="AN998" i="2"/>
  <c r="AN999" i="2"/>
  <c r="AN1000" i="2"/>
  <c r="AN1001" i="2"/>
  <c r="AN1002" i="2"/>
  <c r="AN1003" i="2"/>
  <c r="AN1004" i="2"/>
  <c r="AN1005" i="2"/>
  <c r="AN1006" i="2"/>
  <c r="AN1007" i="2"/>
  <c r="AN1008" i="2"/>
  <c r="AP1008" i="2" s="1"/>
  <c r="AN1009" i="2"/>
  <c r="AN1010" i="2"/>
  <c r="AN1011" i="2"/>
  <c r="AN1012" i="2"/>
  <c r="AP1012" i="2" s="1"/>
  <c r="AN1013" i="2"/>
  <c r="AN1014" i="2"/>
  <c r="AN1015" i="2"/>
  <c r="AN1016" i="2"/>
  <c r="AP1016" i="2" s="1"/>
  <c r="AN1017" i="2"/>
  <c r="AN1018" i="2"/>
  <c r="AN1019" i="2"/>
  <c r="AN1020" i="2"/>
  <c r="AP1020" i="2" s="1"/>
  <c r="AN1021" i="2"/>
  <c r="AN1022" i="2"/>
  <c r="AN1023" i="2"/>
  <c r="AN1024" i="2"/>
  <c r="AN1025" i="2"/>
  <c r="AN1026" i="2"/>
  <c r="AN1027" i="2"/>
  <c r="AN1028" i="2"/>
  <c r="AN1029" i="2"/>
  <c r="AN1030" i="2"/>
  <c r="AN1031" i="2"/>
  <c r="AN1032" i="2"/>
  <c r="AN1033" i="2"/>
  <c r="AN1034" i="2"/>
  <c r="AN1035" i="2"/>
  <c r="AN1036" i="2"/>
  <c r="AN1037" i="2"/>
  <c r="AN1038" i="2"/>
  <c r="AN1039" i="2"/>
  <c r="AN1040" i="2"/>
  <c r="AP1040" i="2" s="1"/>
  <c r="AN1041" i="2"/>
  <c r="AN1042" i="2"/>
  <c r="AN1043" i="2"/>
  <c r="AN1044" i="2"/>
  <c r="AN1045" i="2"/>
  <c r="AN1046" i="2"/>
  <c r="AN1047" i="2"/>
  <c r="AN1048" i="2"/>
  <c r="AN1049" i="2"/>
  <c r="AN1050" i="2"/>
  <c r="AN1051" i="2"/>
  <c r="AN1052" i="2"/>
  <c r="AN1053" i="2"/>
  <c r="AN1054" i="2"/>
  <c r="AN1055" i="2"/>
  <c r="AN1056" i="2"/>
  <c r="AN1057" i="2"/>
  <c r="AN1058" i="2"/>
  <c r="AN1059" i="2"/>
  <c r="AN1060" i="2"/>
  <c r="AN1061" i="2"/>
  <c r="AN1062" i="2"/>
  <c r="AN1063" i="2"/>
  <c r="AN1064" i="2"/>
  <c r="AN1065" i="2"/>
  <c r="AN1066" i="2"/>
  <c r="AN1067" i="2"/>
  <c r="AN1068" i="2"/>
  <c r="AN1069" i="2"/>
  <c r="AN1070" i="2"/>
  <c r="AN1071" i="2"/>
  <c r="AN1083" i="2"/>
  <c r="AN1084" i="2"/>
  <c r="AN1085" i="2"/>
  <c r="AN1086" i="2"/>
  <c r="AN1087" i="2"/>
  <c r="AN1088" i="2"/>
  <c r="AN1089" i="2"/>
  <c r="AN1090" i="2"/>
  <c r="AN1091" i="2"/>
  <c r="AN1092" i="2"/>
  <c r="AN1093" i="2"/>
  <c r="AN1094" i="2"/>
  <c r="AN1095" i="2"/>
  <c r="AN1096" i="2"/>
  <c r="AN1097" i="2"/>
  <c r="AN1098" i="2"/>
  <c r="AN1099" i="2"/>
  <c r="AN1100" i="2"/>
  <c r="AN1101" i="2"/>
  <c r="AN1102" i="2"/>
  <c r="AN1103" i="2"/>
  <c r="AN1104" i="2"/>
  <c r="AN1105" i="2"/>
  <c r="AN1106" i="2"/>
  <c r="AN1107" i="2"/>
  <c r="AN1108" i="2"/>
  <c r="AN1109" i="2"/>
  <c r="AN1110" i="2"/>
  <c r="AN1111" i="2"/>
  <c r="AN1112" i="2"/>
  <c r="AN1113" i="2"/>
  <c r="AN1125" i="2"/>
  <c r="AN1126" i="2"/>
  <c r="AN1127" i="2"/>
  <c r="AN1128" i="2"/>
  <c r="AN1129" i="2"/>
  <c r="AN1130" i="2"/>
  <c r="AN1131" i="2"/>
  <c r="AN1132" i="2"/>
  <c r="AN1133" i="2"/>
  <c r="AN1134" i="2"/>
  <c r="AN1135" i="2"/>
  <c r="AN1136" i="2"/>
  <c r="AN1137" i="2"/>
  <c r="AN1138" i="2"/>
  <c r="AN1139" i="2"/>
  <c r="AN1140" i="2"/>
  <c r="AN1141" i="2"/>
  <c r="AN1142" i="2"/>
  <c r="AN1143" i="2"/>
  <c r="AN1144" i="2"/>
  <c r="AN1145" i="2"/>
  <c r="AN1146" i="2"/>
  <c r="AN1147" i="2"/>
  <c r="AN1148" i="2"/>
  <c r="AN1164" i="2"/>
  <c r="AN1165" i="2"/>
  <c r="AN1166" i="2"/>
  <c r="AN1167" i="2"/>
  <c r="AN1168" i="2"/>
  <c r="AN1169" i="2"/>
  <c r="AN1170" i="2"/>
  <c r="AN1171" i="2"/>
  <c r="AN1172" i="2"/>
  <c r="AN1173" i="2"/>
  <c r="AN1174" i="2"/>
  <c r="AN1175" i="2"/>
  <c r="AN1176" i="2"/>
  <c r="AN1177" i="2"/>
  <c r="AN1178" i="2"/>
  <c r="AN1179" i="2"/>
  <c r="AN1180" i="2"/>
  <c r="AN1181" i="2"/>
  <c r="AN1182" i="2"/>
  <c r="AN1183" i="2"/>
  <c r="AN1184" i="2"/>
  <c r="AN1185" i="2"/>
  <c r="AN1186" i="2"/>
  <c r="AN1187" i="2"/>
  <c r="AN1188" i="2"/>
  <c r="AN1189" i="2"/>
  <c r="AN1190" i="2"/>
  <c r="AN1209" i="2"/>
  <c r="AN1210" i="2"/>
  <c r="AN1211" i="2"/>
  <c r="AN1212" i="2"/>
  <c r="AN1213" i="2"/>
  <c r="AN1214" i="2"/>
  <c r="AN1215" i="2"/>
  <c r="AN1216" i="2"/>
  <c r="AN1217" i="2"/>
  <c r="AN1218" i="2"/>
  <c r="AN1219" i="2"/>
  <c r="AN1220" i="2"/>
  <c r="AN1221" i="2"/>
  <c r="AN1222" i="2"/>
  <c r="AN1223" i="2"/>
  <c r="AN1224" i="2"/>
  <c r="AN1235" i="2"/>
  <c r="AN1236" i="2"/>
  <c r="AN1237" i="2"/>
  <c r="AN1238" i="2"/>
  <c r="AN1239" i="2"/>
  <c r="AN1240" i="2"/>
  <c r="AN1241" i="2"/>
  <c r="AN1242" i="2"/>
  <c r="AN1243" i="2"/>
  <c r="AN1244" i="2"/>
  <c r="AN1245" i="2"/>
  <c r="AN1246" i="2"/>
  <c r="AN1247" i="2"/>
  <c r="AN1248" i="2"/>
  <c r="AN1249" i="2"/>
  <c r="AN1250" i="2"/>
  <c r="AN1251" i="2"/>
  <c r="AN1252" i="2"/>
  <c r="AN1253" i="2"/>
  <c r="AN1254" i="2"/>
  <c r="AN1255" i="2"/>
  <c r="AN1256" i="2"/>
  <c r="AN1257" i="2"/>
  <c r="AN1258" i="2"/>
  <c r="AN1259" i="2"/>
  <c r="AN1260" i="2"/>
  <c r="AN1261" i="2"/>
  <c r="AN1262" i="2"/>
  <c r="AN1263" i="2"/>
  <c r="AN1264" i="2"/>
  <c r="AN1265" i="2"/>
  <c r="AN1266" i="2"/>
  <c r="AN1277" i="2"/>
  <c r="AN1278" i="2"/>
  <c r="AN1279" i="2"/>
  <c r="AN1280" i="2"/>
  <c r="AN1281" i="2"/>
  <c r="AN1282" i="2"/>
  <c r="AN1283" i="2"/>
  <c r="AN1284" i="2"/>
  <c r="AN1285" i="2"/>
  <c r="AN1286" i="2"/>
  <c r="AN1287" i="2"/>
  <c r="AN1288" i="2"/>
  <c r="AN1289" i="2"/>
  <c r="AN1290" i="2"/>
  <c r="AN1291" i="2"/>
  <c r="AN1292" i="2"/>
  <c r="AN1293" i="2"/>
  <c r="AN1294" i="2"/>
  <c r="AN1295" i="2"/>
  <c r="AN1296" i="2"/>
  <c r="AN1297" i="2"/>
  <c r="AN1298" i="2"/>
  <c r="AN1299" i="2"/>
  <c r="AN1300" i="2"/>
  <c r="AN1301" i="2"/>
  <c r="AN1302" i="2"/>
  <c r="AN1303" i="2"/>
  <c r="AN1304" i="2"/>
  <c r="AN1305" i="2"/>
  <c r="AN1306" i="2"/>
  <c r="AN1307" i="2"/>
  <c r="AN1308" i="2"/>
  <c r="AN1309" i="2"/>
  <c r="AN1310" i="2"/>
  <c r="AN1311" i="2"/>
  <c r="AN1312" i="2"/>
  <c r="AN1313" i="2"/>
  <c r="AN1314" i="2"/>
  <c r="AN1315" i="2"/>
  <c r="AN1316" i="2"/>
  <c r="AN1317" i="2"/>
  <c r="AN1318" i="2"/>
  <c r="AN1319" i="2"/>
  <c r="AN1320" i="2"/>
  <c r="AN1321" i="2"/>
  <c r="AN1322" i="2"/>
  <c r="AN1323" i="2"/>
  <c r="AN1324" i="2"/>
  <c r="AN1325" i="2"/>
  <c r="AN1326" i="2"/>
  <c r="AN1327" i="2"/>
  <c r="AN1328" i="2"/>
  <c r="AN1329" i="2"/>
  <c r="AN1330" i="2"/>
  <c r="AN1331" i="2"/>
  <c r="AN1332" i="2"/>
  <c r="AN1333" i="2"/>
  <c r="AN1334" i="2"/>
  <c r="AN1335" i="2"/>
  <c r="AN1336" i="2"/>
  <c r="AN1337" i="2"/>
  <c r="AN1338" i="2"/>
  <c r="AN1339" i="2"/>
  <c r="AN1340" i="2"/>
  <c r="AN1341" i="2"/>
  <c r="AN1342" i="2"/>
  <c r="AN1343" i="2"/>
  <c r="AN1344" i="2"/>
  <c r="AN1345" i="2"/>
  <c r="AN1346" i="2"/>
  <c r="AN1347" i="2"/>
  <c r="AN1348" i="2"/>
  <c r="AN1349" i="2"/>
  <c r="AN1350" i="2"/>
  <c r="AN1351" i="2"/>
  <c r="AN1352" i="2"/>
  <c r="AN1353" i="2"/>
  <c r="AN1354" i="2"/>
  <c r="AN1355" i="2"/>
  <c r="AN1356" i="2"/>
  <c r="AN1357" i="2"/>
  <c r="AN1358" i="2"/>
  <c r="AN1359" i="2"/>
  <c r="AN1360" i="2"/>
  <c r="AN1361" i="2"/>
  <c r="AN1362" i="2"/>
  <c r="AN1363" i="2"/>
  <c r="AN1364" i="2"/>
  <c r="AN1365" i="2"/>
  <c r="AN1366" i="2"/>
  <c r="AN1367" i="2"/>
  <c r="AN1368" i="2"/>
  <c r="AN1369" i="2"/>
  <c r="AN1370" i="2"/>
  <c r="AN1371" i="2"/>
  <c r="AN1372" i="2"/>
  <c r="AN1373" i="2"/>
  <c r="AN1374" i="2"/>
  <c r="AN1375" i="2"/>
  <c r="AN1376" i="2"/>
  <c r="AN1377" i="2"/>
  <c r="AN1378" i="2"/>
  <c r="AN1379" i="2"/>
  <c r="AN1380" i="2"/>
  <c r="AN1381" i="2"/>
  <c r="AN1382" i="2"/>
  <c r="AN1383" i="2"/>
  <c r="AN1384" i="2"/>
  <c r="AN1385" i="2"/>
  <c r="AN1386" i="2"/>
  <c r="AN1387" i="2"/>
  <c r="AN1388" i="2"/>
  <c r="AN1389" i="2"/>
  <c r="AN1390" i="2"/>
  <c r="AN1391" i="2"/>
  <c r="AN1392" i="2"/>
  <c r="AN1393" i="2"/>
  <c r="AN1394" i="2"/>
  <c r="AN1395" i="2"/>
  <c r="AN1396" i="2"/>
  <c r="AN1397" i="2"/>
  <c r="AN1398" i="2"/>
  <c r="AN1399" i="2"/>
  <c r="AN1400" i="2"/>
  <c r="AN1401" i="2"/>
  <c r="AN1402" i="2"/>
  <c r="AN1403" i="2"/>
  <c r="AN1404" i="2"/>
  <c r="AN1405" i="2"/>
  <c r="AN1406" i="2"/>
  <c r="AN1407" i="2"/>
  <c r="AN1408" i="2"/>
  <c r="AN1409" i="2"/>
  <c r="AN1410" i="2"/>
  <c r="AN1411" i="2"/>
  <c r="AN1412" i="2"/>
  <c r="AN1413" i="2"/>
  <c r="AN1414" i="2"/>
  <c r="AN1415" i="2"/>
  <c r="AN1416" i="2"/>
  <c r="AN1417" i="2"/>
  <c r="AN1418" i="2"/>
  <c r="AN1419" i="2"/>
  <c r="AN1420" i="2"/>
  <c r="AN1421" i="2"/>
  <c r="AN1422" i="2"/>
  <c r="AN1423" i="2"/>
  <c r="AN1424" i="2"/>
  <c r="AN1425" i="2"/>
  <c r="AN1426" i="2"/>
  <c r="AN1427" i="2"/>
  <c r="AN1428" i="2"/>
  <c r="AN1429" i="2"/>
  <c r="AN1430" i="2"/>
  <c r="AN1431" i="2"/>
  <c r="AN1432" i="2"/>
  <c r="AN1433" i="2"/>
  <c r="AN1434" i="2"/>
  <c r="AN1435" i="2"/>
  <c r="AN1436" i="2"/>
  <c r="AN1437" i="2"/>
  <c r="AN1438" i="2"/>
  <c r="AN1439" i="2"/>
  <c r="AN1440" i="2"/>
  <c r="AN1441" i="2"/>
  <c r="AN1442" i="2"/>
  <c r="AN1443" i="2"/>
  <c r="AN1444" i="2"/>
  <c r="AN1445" i="2"/>
  <c r="AN1446" i="2"/>
  <c r="AN1447" i="2"/>
  <c r="AN1448" i="2"/>
  <c r="AN1449" i="2"/>
  <c r="AN1450" i="2"/>
  <c r="AN1451" i="2"/>
  <c r="AN1452" i="2"/>
  <c r="AN1453" i="2"/>
  <c r="AN1454" i="2"/>
  <c r="AN1455" i="2"/>
  <c r="AN1456" i="2"/>
  <c r="AN1457" i="2"/>
  <c r="AN1458" i="2"/>
  <c r="AN1459" i="2"/>
  <c r="AN1460" i="2"/>
  <c r="AN1461" i="2"/>
  <c r="AN1462" i="2"/>
  <c r="AN1463" i="2"/>
  <c r="AN1464" i="2"/>
  <c r="AN1465" i="2"/>
  <c r="AN1466" i="2"/>
  <c r="AN1467" i="2"/>
  <c r="AN1468" i="2"/>
  <c r="AN1469" i="2"/>
  <c r="AN1470" i="2"/>
  <c r="AN1471" i="2"/>
  <c r="AN1472" i="2"/>
  <c r="AN1473" i="2"/>
  <c r="AN1474" i="2"/>
  <c r="AN1475" i="2"/>
  <c r="AN1476" i="2"/>
  <c r="AN1477" i="2"/>
  <c r="AN1478" i="2"/>
  <c r="AN1479" i="2"/>
  <c r="AN1480" i="2"/>
  <c r="AN1481" i="2"/>
  <c r="AN1482" i="2"/>
  <c r="AN1483" i="2"/>
  <c r="AN1484" i="2"/>
  <c r="AN1485" i="2"/>
  <c r="AN1486" i="2"/>
  <c r="AN1487" i="2"/>
  <c r="AN1488" i="2"/>
  <c r="AN1489" i="2"/>
  <c r="AN1490" i="2"/>
  <c r="AN1491" i="2"/>
  <c r="AN1492" i="2"/>
  <c r="AN1493" i="2"/>
  <c r="AN1494" i="2"/>
  <c r="AN1495" i="2"/>
  <c r="AN1496" i="2"/>
  <c r="AN1497" i="2"/>
  <c r="AN1498" i="2"/>
  <c r="AN1499" i="2"/>
  <c r="AN1500" i="2"/>
  <c r="AN1501" i="2"/>
  <c r="AN1502" i="2"/>
  <c r="AN1503" i="2"/>
  <c r="AN1504" i="2"/>
  <c r="AN1505" i="2"/>
  <c r="AN1506" i="2"/>
  <c r="AN1507" i="2"/>
  <c r="AN1508" i="2"/>
  <c r="AN1509" i="2"/>
  <c r="AN1510" i="2"/>
  <c r="AN1511" i="2"/>
  <c r="AN1512" i="2"/>
  <c r="AN1513" i="2"/>
  <c r="AN1514" i="2"/>
  <c r="AN1515" i="2"/>
  <c r="AN1516" i="2"/>
  <c r="AN1517" i="2"/>
  <c r="AN1518" i="2"/>
  <c r="AN1519" i="2"/>
  <c r="AN1520" i="2"/>
  <c r="AN1521" i="2"/>
  <c r="AN1522" i="2"/>
  <c r="AN1523" i="2"/>
  <c r="AN1524" i="2"/>
  <c r="AN1525" i="2"/>
  <c r="AN1526" i="2"/>
  <c r="AN1527" i="2"/>
  <c r="AN1528" i="2"/>
  <c r="AN1529" i="2"/>
  <c r="AN1530" i="2"/>
  <c r="AN1531" i="2"/>
  <c r="AN1532" i="2"/>
  <c r="AN1533" i="2"/>
  <c r="AN1534" i="2"/>
  <c r="AN1535" i="2"/>
  <c r="AN1536" i="2"/>
  <c r="AN1537" i="2"/>
  <c r="AN1538" i="2"/>
  <c r="AN1539" i="2"/>
  <c r="AN1540" i="2"/>
  <c r="AN1541" i="2"/>
  <c r="AN1542" i="2"/>
  <c r="AN1543" i="2"/>
  <c r="AN1544" i="2"/>
  <c r="AN1545" i="2"/>
  <c r="AN1546" i="2"/>
  <c r="AN1547" i="2"/>
  <c r="AN1548" i="2"/>
  <c r="AN1549" i="2"/>
  <c r="AN1550" i="2"/>
  <c r="AN1551" i="2"/>
  <c r="AN1552" i="2"/>
  <c r="AN1553" i="2"/>
  <c r="AN1554" i="2"/>
  <c r="AN1555" i="2"/>
  <c r="AN1556" i="2"/>
  <c r="AN1557" i="2"/>
  <c r="AN1558" i="2"/>
  <c r="AN1559" i="2"/>
  <c r="AN1560" i="2"/>
  <c r="AN1561" i="2"/>
  <c r="AN1562" i="2"/>
  <c r="AN1563" i="2"/>
  <c r="AN1564" i="2"/>
  <c r="AN1565" i="2"/>
  <c r="AN1566" i="2"/>
  <c r="AN1567" i="2"/>
  <c r="AN1568" i="2"/>
  <c r="AN1569" i="2"/>
  <c r="AN1570" i="2"/>
  <c r="AN1571" i="2"/>
  <c r="AN1572" i="2"/>
  <c r="AN1573" i="2"/>
  <c r="AN1574" i="2"/>
  <c r="AN1575" i="2"/>
  <c r="AN1576" i="2"/>
  <c r="AN1577" i="2"/>
  <c r="AN1578" i="2"/>
  <c r="AN1579" i="2"/>
  <c r="AN1580" i="2"/>
  <c r="AN1581" i="2"/>
  <c r="AN1582" i="2"/>
  <c r="AN1583" i="2"/>
  <c r="AN1584" i="2"/>
  <c r="AN1595" i="2"/>
  <c r="AN1596" i="2"/>
  <c r="AN1597" i="2"/>
  <c r="AN1598" i="2"/>
  <c r="AN1599" i="2"/>
  <c r="AN1600" i="2"/>
  <c r="AN1601" i="2"/>
  <c r="AN1602" i="2"/>
  <c r="AN1603" i="2"/>
  <c r="AN1604" i="2"/>
  <c r="AN1605" i="2"/>
  <c r="AN1606" i="2"/>
  <c r="AN1607" i="2"/>
  <c r="AN1608" i="2"/>
  <c r="AN1609" i="2"/>
  <c r="AN1610" i="2"/>
  <c r="AN1611" i="2"/>
  <c r="AN1612" i="2"/>
  <c r="AN1613" i="2"/>
  <c r="AN1614" i="2"/>
  <c r="AN1615" i="2"/>
  <c r="AN1616" i="2"/>
  <c r="AN1617" i="2"/>
  <c r="AN1618" i="2"/>
  <c r="AN1619" i="2"/>
  <c r="AN1620" i="2"/>
  <c r="AN1621" i="2"/>
  <c r="AN1622" i="2"/>
  <c r="AN1623" i="2"/>
  <c r="AN1624" i="2"/>
  <c r="AN1625" i="2"/>
  <c r="AN1626" i="2"/>
  <c r="AN1627" i="2"/>
  <c r="AN1637" i="2"/>
  <c r="AN1638" i="2"/>
  <c r="AN1639" i="2"/>
  <c r="AN1640" i="2"/>
  <c r="AN1641" i="2"/>
  <c r="AN1642" i="2"/>
  <c r="AN1643" i="2"/>
  <c r="AN1644" i="2"/>
  <c r="AN1645" i="2"/>
  <c r="AN1646" i="2"/>
  <c r="AN1647" i="2"/>
  <c r="AN1648" i="2"/>
  <c r="AN1649" i="2"/>
  <c r="AN1650" i="2"/>
  <c r="AN1651" i="2"/>
  <c r="AN1652" i="2"/>
  <c r="AN1653" i="2"/>
  <c r="AN1654" i="2"/>
  <c r="AN1655" i="2"/>
  <c r="AN1656" i="2"/>
  <c r="AN1657" i="2"/>
  <c r="AN1658" i="2"/>
  <c r="AN1659" i="2"/>
  <c r="AN1660" i="2"/>
  <c r="AN1677" i="2"/>
  <c r="AN1678" i="2"/>
  <c r="AN1679" i="2"/>
  <c r="AN1680" i="2"/>
  <c r="AN1681" i="2"/>
  <c r="AN1682" i="2"/>
  <c r="AN1683" i="2"/>
  <c r="AN1684" i="2"/>
  <c r="AN1685" i="2"/>
  <c r="AN1686" i="2"/>
  <c r="AN1687" i="2"/>
  <c r="AN1688" i="2"/>
  <c r="AN1689" i="2"/>
  <c r="AN1690" i="2"/>
  <c r="AN1691" i="2"/>
  <c r="AN1692" i="2"/>
  <c r="AN1693" i="2"/>
  <c r="AN1694" i="2"/>
  <c r="AN1695" i="2"/>
  <c r="AN1696" i="2"/>
  <c r="AN1697" i="2"/>
  <c r="AN1698" i="2"/>
  <c r="AN1699" i="2"/>
  <c r="AN1700" i="2"/>
  <c r="AN1701" i="2"/>
  <c r="AN1702" i="2"/>
  <c r="AN1721" i="2"/>
  <c r="AN1722" i="2"/>
  <c r="AN1723" i="2"/>
  <c r="AN1724" i="2"/>
  <c r="AN1725" i="2"/>
  <c r="AN1726" i="2"/>
  <c r="AN1727" i="2"/>
  <c r="AN1728" i="2"/>
  <c r="AN1729" i="2"/>
  <c r="AN1730" i="2"/>
  <c r="AN1731" i="2"/>
  <c r="AN1732" i="2"/>
  <c r="AN1733" i="2"/>
  <c r="AN1734" i="2"/>
  <c r="AN1735" i="2"/>
  <c r="AN1736" i="2"/>
  <c r="AN1747" i="2"/>
  <c r="AN1748" i="2"/>
  <c r="AN1749" i="2"/>
  <c r="AN1750" i="2"/>
  <c r="AN1751" i="2"/>
  <c r="AN1752" i="2"/>
  <c r="AN1753" i="2"/>
  <c r="AN1754" i="2"/>
  <c r="AN1755" i="2"/>
  <c r="AN1756" i="2"/>
  <c r="AN1757" i="2"/>
  <c r="AN1758" i="2"/>
  <c r="AN1759" i="2"/>
  <c r="AN1760" i="2"/>
  <c r="AN1761" i="2"/>
  <c r="AN1762" i="2"/>
  <c r="AN1763" i="2"/>
  <c r="AN1764" i="2"/>
  <c r="AN1765" i="2"/>
  <c r="AN1766" i="2"/>
  <c r="AN1767" i="2"/>
  <c r="AN1768" i="2"/>
  <c r="AN1769" i="2"/>
  <c r="AN1770" i="2"/>
  <c r="AN1771" i="2"/>
  <c r="AN1772" i="2"/>
  <c r="AN1773" i="2"/>
  <c r="AN1774" i="2"/>
  <c r="AN1775" i="2"/>
  <c r="AN1776" i="2"/>
  <c r="AN1777" i="2"/>
  <c r="AN1778" i="2"/>
  <c r="AN1789" i="2"/>
  <c r="AN1790" i="2"/>
  <c r="AN1791" i="2"/>
  <c r="AN1792" i="2"/>
  <c r="AN1793" i="2"/>
  <c r="AN1794" i="2"/>
  <c r="AN1795" i="2"/>
  <c r="AN1796" i="2"/>
  <c r="AN1797" i="2"/>
  <c r="AN1798" i="2"/>
  <c r="AN1799" i="2"/>
  <c r="AN1800" i="2"/>
  <c r="AN1801" i="2"/>
  <c r="AN1802" i="2"/>
  <c r="AN1803" i="2"/>
  <c r="AN1804" i="2"/>
  <c r="AN1805" i="2"/>
  <c r="AN1806" i="2"/>
  <c r="AN1807" i="2"/>
  <c r="AN1808" i="2"/>
  <c r="AN1809" i="2"/>
  <c r="AN1810" i="2"/>
  <c r="AN1811" i="2"/>
  <c r="AN1812" i="2"/>
  <c r="AN1823" i="2"/>
  <c r="AN1824" i="2"/>
  <c r="AN1825" i="2"/>
  <c r="AN1826" i="2"/>
  <c r="AN1827" i="2"/>
  <c r="AN1828" i="2"/>
  <c r="AN1829" i="2"/>
  <c r="AN1830" i="2"/>
  <c r="AN1831" i="2"/>
  <c r="AN1832" i="2"/>
  <c r="AN1833" i="2"/>
  <c r="AN1834" i="2"/>
  <c r="AN1835" i="2"/>
  <c r="AN1836" i="2"/>
  <c r="AN1837" i="2"/>
  <c r="AN1838" i="2"/>
  <c r="AN1839" i="2"/>
  <c r="AN1840" i="2"/>
  <c r="AN1841" i="2"/>
  <c r="AN1842" i="2"/>
  <c r="AN1843" i="2"/>
  <c r="AN1844" i="2"/>
  <c r="AN1845" i="2"/>
  <c r="AN1846" i="2"/>
  <c r="AN1847" i="2"/>
  <c r="AN1848" i="2"/>
  <c r="AN1849" i="2"/>
  <c r="AN1850" i="2"/>
  <c r="AN1851" i="2"/>
  <c r="AN1852" i="2"/>
  <c r="AN1853" i="2"/>
  <c r="AN1854" i="2"/>
  <c r="AN1865" i="2"/>
  <c r="AN1866" i="2"/>
  <c r="AN1867" i="2"/>
  <c r="AN1868" i="2"/>
  <c r="AN1869" i="2"/>
  <c r="AN1870" i="2"/>
  <c r="AN1871" i="2"/>
  <c r="AN1872" i="2"/>
  <c r="AN1873" i="2"/>
  <c r="AN1874" i="2"/>
  <c r="AN1875" i="2"/>
  <c r="AN1876" i="2"/>
  <c r="AN1877" i="2"/>
  <c r="AN1878" i="2"/>
  <c r="AN1879" i="2"/>
  <c r="AN1880" i="2"/>
  <c r="AN1881" i="2"/>
  <c r="AN1882" i="2"/>
  <c r="AN1883" i="2"/>
  <c r="AN1884" i="2"/>
  <c r="AN1885" i="2"/>
  <c r="AN1886" i="2"/>
  <c r="AN1887" i="2"/>
  <c r="AN1888" i="2"/>
  <c r="AN1899" i="2"/>
  <c r="AN1900" i="2"/>
  <c r="AN1901" i="2"/>
  <c r="AN1902" i="2"/>
  <c r="AN1903" i="2"/>
  <c r="AN1904" i="2"/>
  <c r="AN1905" i="2"/>
  <c r="AN1906" i="2"/>
  <c r="AN1907" i="2"/>
  <c r="AN1908" i="2"/>
  <c r="AN1909" i="2"/>
  <c r="AN1910" i="2"/>
  <c r="AN1911" i="2"/>
  <c r="AN1912" i="2"/>
  <c r="AN1913" i="2"/>
  <c r="AN1914" i="2"/>
  <c r="AN1915" i="2"/>
  <c r="AN1916" i="2"/>
  <c r="AN1917" i="2"/>
  <c r="AN1918" i="2"/>
  <c r="AN1919" i="2"/>
  <c r="AN1920" i="2"/>
  <c r="AN1921" i="2"/>
  <c r="AN1922" i="2"/>
  <c r="AN1923" i="2"/>
  <c r="AN1924" i="2"/>
  <c r="AN1925" i="2"/>
  <c r="AN1926" i="2"/>
  <c r="AN1927" i="2"/>
  <c r="AN1928" i="2"/>
  <c r="AN1929" i="2"/>
  <c r="AN1930" i="2"/>
  <c r="AN1941" i="2"/>
  <c r="AN1942" i="2"/>
  <c r="AN1943" i="2"/>
  <c r="AN1944" i="2"/>
  <c r="AN1945" i="2"/>
  <c r="AN1946" i="2"/>
  <c r="AN1947" i="2"/>
  <c r="AN1948" i="2"/>
  <c r="AN1949" i="2"/>
  <c r="AN1950" i="2"/>
  <c r="AN1951" i="2"/>
  <c r="AN1952" i="2"/>
  <c r="AN1953" i="2"/>
  <c r="AN1954" i="2"/>
  <c r="AN1955" i="2"/>
  <c r="AN1956" i="2"/>
  <c r="AN1957" i="2"/>
  <c r="AN1958" i="2"/>
  <c r="AN1959" i="2"/>
  <c r="AN1960" i="2"/>
  <c r="AN1961" i="2"/>
  <c r="AN1962" i="2"/>
  <c r="AN1963" i="2"/>
  <c r="AN1964" i="2"/>
  <c r="AN1965" i="2"/>
  <c r="AN1966" i="2"/>
  <c r="AN1967" i="2"/>
  <c r="AN1968" i="2"/>
  <c r="AN1969" i="2"/>
  <c r="AN1970" i="2"/>
  <c r="AN1971" i="2"/>
  <c r="AN1972" i="2"/>
  <c r="AN1973" i="2"/>
  <c r="AN1974" i="2"/>
  <c r="AN1975" i="2"/>
  <c r="AN1976" i="2"/>
  <c r="AN1977" i="2"/>
  <c r="AN1978" i="2"/>
  <c r="AN1979" i="2"/>
  <c r="AN1980" i="2"/>
  <c r="AN1981" i="2"/>
  <c r="AN1982" i="2"/>
  <c r="AN1983" i="2"/>
  <c r="AN1984" i="2"/>
  <c r="AN1985" i="2"/>
  <c r="AN1986" i="2"/>
  <c r="AN1987" i="2"/>
  <c r="AN1988" i="2"/>
  <c r="AN1989" i="2"/>
  <c r="AN1990" i="2"/>
  <c r="AN1991" i="2"/>
  <c r="AN1992" i="2"/>
  <c r="AN1993" i="2"/>
  <c r="AN1994" i="2"/>
  <c r="AN1995" i="2"/>
  <c r="AN1996" i="2"/>
  <c r="AN1997" i="2"/>
  <c r="AN1998" i="2"/>
  <c r="AN1999" i="2"/>
  <c r="AN2000" i="2"/>
  <c r="AN2001" i="2"/>
  <c r="AN2002" i="2"/>
  <c r="AN2003" i="2"/>
  <c r="AN2004" i="2"/>
  <c r="AN2005" i="2"/>
  <c r="AN2006" i="2"/>
  <c r="AN2007" i="2"/>
  <c r="AN2008" i="2"/>
  <c r="AN2009" i="2"/>
  <c r="AN2010" i="2"/>
  <c r="AN2011" i="2"/>
  <c r="AN2012" i="2"/>
  <c r="AN2013" i="2"/>
  <c r="AN2014" i="2"/>
  <c r="AN2015" i="2"/>
  <c r="AN2016" i="2"/>
  <c r="AN2017" i="2"/>
  <c r="AN2018" i="2"/>
  <c r="AN2019" i="2"/>
  <c r="AN2020" i="2"/>
  <c r="AN2021" i="2"/>
  <c r="AN2022" i="2"/>
  <c r="AN2023" i="2"/>
  <c r="AN2024" i="2"/>
  <c r="AN2025" i="2"/>
  <c r="AN2026" i="2"/>
  <c r="AN2027" i="2"/>
  <c r="AN2028" i="2"/>
  <c r="AN2029" i="2"/>
  <c r="AN2030" i="2"/>
  <c r="AN2031" i="2"/>
  <c r="AN2032" i="2"/>
  <c r="AN2033" i="2"/>
  <c r="AN2034" i="2"/>
  <c r="AN2035" i="2"/>
  <c r="AN2036" i="2"/>
  <c r="AN2037" i="2"/>
  <c r="AN2038" i="2"/>
  <c r="AN2039" i="2"/>
  <c r="AN2040" i="2"/>
  <c r="AN2041" i="2"/>
  <c r="AN2042" i="2"/>
  <c r="AN2043" i="2"/>
  <c r="AN2044" i="2"/>
  <c r="AN2045" i="2"/>
  <c r="AN2046" i="2"/>
  <c r="AN2047" i="2"/>
  <c r="AN2048" i="2"/>
  <c r="AN2049" i="2"/>
  <c r="AN2050" i="2"/>
  <c r="AN2051" i="2"/>
  <c r="AN2052" i="2"/>
  <c r="AN2053" i="2"/>
  <c r="AN2054" i="2"/>
  <c r="AN2055" i="2"/>
  <c r="AN2056" i="2"/>
  <c r="AN2057" i="2"/>
  <c r="AN2058" i="2"/>
  <c r="AN2059" i="2"/>
  <c r="AN2061" i="2"/>
  <c r="AN2062" i="2"/>
  <c r="AN2063" i="2"/>
  <c r="AN2064" i="2"/>
  <c r="AN719" i="2"/>
  <c r="AN720" i="2"/>
  <c r="AN721" i="2"/>
  <c r="AN722" i="2"/>
  <c r="AN723" i="2"/>
  <c r="AN724" i="2"/>
  <c r="AE168" i="2" l="1"/>
  <c r="AJ1703" i="2"/>
  <c r="AN1703" i="2" s="1"/>
  <c r="AG167" i="2"/>
  <c r="AH167" i="2" s="1"/>
  <c r="AE354" i="2"/>
  <c r="AJ1889" i="2"/>
  <c r="AN1889" i="2" s="1"/>
  <c r="AG353" i="2"/>
  <c r="AH353" i="2" s="1"/>
  <c r="W50" i="2"/>
  <c r="AJ1073" i="2"/>
  <c r="Y49" i="2"/>
  <c r="Z49" i="2" s="1"/>
  <c r="AE50" i="2"/>
  <c r="AJ1585" i="2"/>
  <c r="AN1585" i="2" s="1"/>
  <c r="AG49" i="2"/>
  <c r="AH49" i="2" s="1"/>
  <c r="AE244" i="2"/>
  <c r="AJ1779" i="2"/>
  <c r="AN1779" i="2" s="1"/>
  <c r="AG243" i="2"/>
  <c r="AH243" i="2" s="1"/>
  <c r="W202" i="2"/>
  <c r="AJ1225" i="2"/>
  <c r="AN1225" i="2" s="1"/>
  <c r="Y201" i="2"/>
  <c r="Z201" i="2" s="1"/>
  <c r="AE202" i="2"/>
  <c r="AJ1737" i="2"/>
  <c r="AN1737" i="2" s="1"/>
  <c r="AG201" i="2"/>
  <c r="AH201" i="2" s="1"/>
  <c r="AE320" i="2"/>
  <c r="AJ1855" i="2"/>
  <c r="AN1855" i="2" s="1"/>
  <c r="AG319" i="2"/>
  <c r="AH319" i="2" s="1"/>
  <c r="W244" i="2"/>
  <c r="AJ1267" i="2"/>
  <c r="AN1267" i="2" s="1"/>
  <c r="Y243" i="2"/>
  <c r="Z243" i="2" s="1"/>
  <c r="AE126" i="2"/>
  <c r="AJ1661" i="2"/>
  <c r="AN1661" i="2" s="1"/>
  <c r="AG125" i="2"/>
  <c r="AH125" i="2" s="1"/>
  <c r="AE93" i="2"/>
  <c r="AJ1628" i="2"/>
  <c r="AN1628" i="2" s="1"/>
  <c r="AG92" i="2"/>
  <c r="AH92" i="2" s="1"/>
  <c r="AE396" i="2"/>
  <c r="AJ1931" i="2"/>
  <c r="AN1931" i="2" s="1"/>
  <c r="AG395" i="2"/>
  <c r="AH395" i="2" s="1"/>
  <c r="W168" i="2"/>
  <c r="AJ1191" i="2"/>
  <c r="AN1191" i="2" s="1"/>
  <c r="Y167" i="2"/>
  <c r="Z167" i="2" s="1"/>
  <c r="W92" i="2"/>
  <c r="AJ1115" i="2"/>
  <c r="Y91" i="2"/>
  <c r="Z91" i="2" s="1"/>
  <c r="AE278" i="2"/>
  <c r="AJ1813" i="2"/>
  <c r="AN1813" i="2" s="1"/>
  <c r="AG277" i="2"/>
  <c r="AH277" i="2" s="1"/>
  <c r="W126" i="2"/>
  <c r="AJ1149" i="2"/>
  <c r="AN1149" i="2" s="1"/>
  <c r="Y125" i="2"/>
  <c r="Z125" i="2" s="1"/>
  <c r="AN1115" i="2"/>
  <c r="AP1115" i="2" s="1"/>
  <c r="AN1073" i="2"/>
  <c r="AM21" i="2"/>
  <c r="AP1703" i="2"/>
  <c r="AP1695" i="2"/>
  <c r="AP1655" i="2"/>
  <c r="AP1647" i="2"/>
  <c r="AP1639" i="2"/>
  <c r="AP1583" i="2"/>
  <c r="AP1575" i="2"/>
  <c r="AP1567" i="2"/>
  <c r="AP1563" i="2"/>
  <c r="AP1015" i="2"/>
  <c r="AP1011" i="2"/>
  <c r="AP991" i="2"/>
  <c r="AP987" i="2"/>
  <c r="AP983" i="2"/>
  <c r="AP1962" i="2"/>
  <c r="AP1530" i="2"/>
  <c r="AP1014" i="2"/>
  <c r="AP1010" i="2"/>
  <c r="AP1006" i="2"/>
  <c r="AP1002" i="2"/>
  <c r="AP998" i="2"/>
  <c r="AP994" i="2"/>
  <c r="AP990" i="2"/>
  <c r="AP986" i="2"/>
  <c r="AP982" i="2"/>
  <c r="AP1697" i="2"/>
  <c r="AP1569" i="2"/>
  <c r="AP1561" i="2"/>
  <c r="AP1537" i="2"/>
  <c r="AP1489" i="2"/>
  <c r="AP1477" i="2"/>
  <c r="AP1037" i="2"/>
  <c r="AP1033" i="2"/>
  <c r="AP1029" i="2"/>
  <c r="AP1025" i="2"/>
  <c r="AP1021" i="2"/>
  <c r="AP1017" i="2"/>
  <c r="AP1013" i="2"/>
  <c r="AP1009" i="2"/>
  <c r="AP1005" i="2"/>
  <c r="AP1001" i="2"/>
  <c r="AP997" i="2"/>
  <c r="AP993" i="2"/>
  <c r="AP989" i="2"/>
  <c r="AP985" i="2"/>
  <c r="AP981" i="2"/>
  <c r="AP1649" i="2"/>
  <c r="AP1641" i="2"/>
  <c r="AP1585" i="2"/>
  <c r="AP1577" i="2"/>
  <c r="AP1553" i="2"/>
  <c r="AP1545" i="2"/>
  <c r="AP1541" i="2"/>
  <c r="AP1533" i="2"/>
  <c r="AP1525" i="2"/>
  <c r="AP1513" i="2"/>
  <c r="AP1505" i="2"/>
  <c r="AP1501" i="2"/>
  <c r="AP1493" i="2"/>
  <c r="AP1473" i="2"/>
  <c r="AP1723" i="2"/>
  <c r="AP1691" i="2"/>
  <c r="AP1659" i="2"/>
  <c r="AP1627" i="2"/>
  <c r="AP1595" i="2"/>
  <c r="AP1539" i="2"/>
  <c r="AP1531" i="2"/>
  <c r="AP1656" i="2"/>
  <c r="AP1024" i="2"/>
  <c r="AP1007" i="2"/>
  <c r="AP1003" i="2"/>
  <c r="AP999" i="2"/>
  <c r="AP995" i="2"/>
  <c r="AP992" i="2"/>
  <c r="AP1559" i="2"/>
  <c r="AP1551" i="2"/>
  <c r="AP1543" i="2"/>
  <c r="AP1036" i="2"/>
  <c r="AP1032" i="2"/>
  <c r="AP1028" i="2"/>
  <c r="AP1004" i="2"/>
  <c r="AP1000" i="2"/>
  <c r="AP996" i="2"/>
  <c r="AP1696" i="2"/>
  <c r="AP1648" i="2"/>
  <c r="AP1640" i="2"/>
  <c r="AP1584" i="2"/>
  <c r="AP1576" i="2"/>
  <c r="AP1568" i="2"/>
  <c r="AP1560" i="2"/>
  <c r="AP1552" i="2"/>
  <c r="AP1544" i="2"/>
  <c r="AP1542" i="2"/>
  <c r="AP1528" i="2"/>
  <c r="AP1526" i="2"/>
  <c r="AP1514" i="2"/>
  <c r="AP1508" i="2"/>
  <c r="AP1506" i="2"/>
  <c r="AP1502" i="2"/>
  <c r="AP1500" i="2"/>
  <c r="AP1494" i="2"/>
  <c r="AP1490" i="2"/>
  <c r="AP1478" i="2"/>
  <c r="AP1474" i="2"/>
  <c r="AP1737" i="2"/>
  <c r="AP1735" i="2"/>
  <c r="AP1729" i="2"/>
  <c r="AP1727" i="2"/>
  <c r="AP1721" i="2"/>
  <c r="AP1688" i="2"/>
  <c r="AP1680" i="2"/>
  <c r="AP1625" i="2"/>
  <c r="AP1623" i="2"/>
  <c r="AP1617" i="2"/>
  <c r="AP1615" i="2"/>
  <c r="AP1609" i="2"/>
  <c r="AP1607" i="2"/>
  <c r="AP1601" i="2"/>
  <c r="AP1599" i="2"/>
  <c r="AP1540" i="2"/>
  <c r="AP1461" i="2"/>
  <c r="AP1457" i="2"/>
  <c r="AP1736" i="2"/>
  <c r="AP1728" i="2"/>
  <c r="AP1689" i="2"/>
  <c r="AP1687" i="2"/>
  <c r="AP1681" i="2"/>
  <c r="AP1679" i="2"/>
  <c r="AP1657" i="2"/>
  <c r="AP1624" i="2"/>
  <c r="AP1616" i="2"/>
  <c r="AP1608" i="2"/>
  <c r="AP1600" i="2"/>
  <c r="AP1462" i="2"/>
  <c r="AP1458" i="2"/>
  <c r="AP722" i="2"/>
  <c r="AP2064" i="2"/>
  <c r="AP2062" i="2"/>
  <c r="AP2058" i="2"/>
  <c r="AP2056" i="2"/>
  <c r="AP2054" i="2"/>
  <c r="AP2052" i="2"/>
  <c r="AP2050" i="2"/>
  <c r="AP2048" i="2"/>
  <c r="AP2046" i="2"/>
  <c r="AP2044" i="2"/>
  <c r="AP2042" i="2"/>
  <c r="AP2040" i="2"/>
  <c r="AP2038" i="2"/>
  <c r="AP2036" i="2"/>
  <c r="AP2034" i="2"/>
  <c r="AP2032" i="2"/>
  <c r="AP2030" i="2"/>
  <c r="AP2028" i="2"/>
  <c r="AP2026" i="2"/>
  <c r="AP2024" i="2"/>
  <c r="AP2022" i="2"/>
  <c r="AP2020" i="2"/>
  <c r="AP2018" i="2"/>
  <c r="AP2016" i="2"/>
  <c r="AP2014" i="2"/>
  <c r="AP2012" i="2"/>
  <c r="AP2010" i="2"/>
  <c r="AP2008" i="2"/>
  <c r="AP2006" i="2"/>
  <c r="AP2004" i="2"/>
  <c r="AP2002" i="2"/>
  <c r="AP2000" i="2"/>
  <c r="AP1998" i="2"/>
  <c r="AP1996" i="2"/>
  <c r="AP1994" i="2"/>
  <c r="AP1992" i="2"/>
  <c r="AP1990" i="2"/>
  <c r="AP1988" i="2"/>
  <c r="AP1986" i="2"/>
  <c r="AP1984" i="2"/>
  <c r="AP1982" i="2"/>
  <c r="AP1980" i="2"/>
  <c r="AP1978" i="2"/>
  <c r="AP1976" i="2"/>
  <c r="AP1974" i="2"/>
  <c r="AP1972" i="2"/>
  <c r="AP1970" i="2"/>
  <c r="AP1968" i="2"/>
  <c r="AP1966" i="2"/>
  <c r="AP1964" i="2"/>
  <c r="AP1960" i="2"/>
  <c r="AP1958" i="2"/>
  <c r="AP1956" i="2"/>
  <c r="AP1954" i="2"/>
  <c r="AP1952" i="2"/>
  <c r="AP1950" i="2"/>
  <c r="AP1948" i="2"/>
  <c r="AP1946" i="2"/>
  <c r="AP1944" i="2"/>
  <c r="AP1942" i="2"/>
  <c r="AP1930" i="2"/>
  <c r="AP1928" i="2"/>
  <c r="AP1926" i="2"/>
  <c r="AP1924" i="2"/>
  <c r="AP1922" i="2"/>
  <c r="AP1920" i="2"/>
  <c r="AP1918" i="2"/>
  <c r="AP1916" i="2"/>
  <c r="AP1914" i="2"/>
  <c r="AP1912" i="2"/>
  <c r="AP1910" i="2"/>
  <c r="AP1908" i="2"/>
  <c r="AP1906" i="2"/>
  <c r="AP1904" i="2"/>
  <c r="AP1902" i="2"/>
  <c r="AP1900" i="2"/>
  <c r="AP1888" i="2"/>
  <c r="AP1886" i="2"/>
  <c r="AP1884" i="2"/>
  <c r="AP1882" i="2"/>
  <c r="AP1880" i="2"/>
  <c r="AP1878" i="2"/>
  <c r="AP1876" i="2"/>
  <c r="AP1874" i="2"/>
  <c r="AP1872" i="2"/>
  <c r="AP1870" i="2"/>
  <c r="AP1868" i="2"/>
  <c r="AP1866" i="2"/>
  <c r="AP1854" i="2"/>
  <c r="AP1852" i="2"/>
  <c r="AP1850" i="2"/>
  <c r="AP1848" i="2"/>
  <c r="AP1846" i="2"/>
  <c r="AP1844" i="2"/>
  <c r="AP1842" i="2"/>
  <c r="AP1840" i="2"/>
  <c r="AP1838" i="2"/>
  <c r="AP1836" i="2"/>
  <c r="AP1834" i="2"/>
  <c r="AP1832" i="2"/>
  <c r="AP1830" i="2"/>
  <c r="AP1828" i="2"/>
  <c r="AP1826" i="2"/>
  <c r="AP1824" i="2"/>
  <c r="AP1812" i="2"/>
  <c r="AP1810" i="2"/>
  <c r="AP1808" i="2"/>
  <c r="AP1806" i="2"/>
  <c r="AP1804" i="2"/>
  <c r="AP1802" i="2"/>
  <c r="AP1800" i="2"/>
  <c r="AP1798" i="2"/>
  <c r="AP1796" i="2"/>
  <c r="AP1794" i="2"/>
  <c r="AP1792" i="2"/>
  <c r="AP1790" i="2"/>
  <c r="AP1778" i="2"/>
  <c r="AP1776" i="2"/>
  <c r="AP1774" i="2"/>
  <c r="AP1772" i="2"/>
  <c r="AP1770" i="2"/>
  <c r="AP1768" i="2"/>
  <c r="AP1766" i="2"/>
  <c r="AP1764" i="2"/>
  <c r="AP1762" i="2"/>
  <c r="AP1760" i="2"/>
  <c r="AP1758" i="2"/>
  <c r="AP1756" i="2"/>
  <c r="AP1754" i="2"/>
  <c r="AP1752" i="2"/>
  <c r="AP1750" i="2"/>
  <c r="AP1748" i="2"/>
  <c r="AP1686" i="2"/>
  <c r="AP1684" i="2"/>
  <c r="AP1682" i="2"/>
  <c r="AP1678" i="2"/>
  <c r="AP1622" i="2"/>
  <c r="AP1620" i="2"/>
  <c r="AP1618" i="2"/>
  <c r="AP1614" i="2"/>
  <c r="AP1612" i="2"/>
  <c r="AP1610" i="2"/>
  <c r="AP1558" i="2"/>
  <c r="AP1556" i="2"/>
  <c r="AP1554" i="2"/>
  <c r="AP1550" i="2"/>
  <c r="AP1548" i="2"/>
  <c r="AP1546" i="2"/>
  <c r="AP1456" i="2"/>
  <c r="AP1452" i="2"/>
  <c r="AP1441" i="2"/>
  <c r="AP1439" i="2"/>
  <c r="AP1425" i="2"/>
  <c r="AP1423" i="2"/>
  <c r="AP1409" i="2"/>
  <c r="AP1407" i="2"/>
  <c r="AP1393" i="2"/>
  <c r="AP1391" i="2"/>
  <c r="AP1377" i="2"/>
  <c r="AP1375" i="2"/>
  <c r="AP1361" i="2"/>
  <c r="AP1359" i="2"/>
  <c r="AP1345" i="2"/>
  <c r="AP1343" i="2"/>
  <c r="AP956" i="2"/>
  <c r="AP924" i="2"/>
  <c r="AP892" i="2"/>
  <c r="AP860" i="2"/>
  <c r="AP828" i="2"/>
  <c r="AP812" i="2"/>
  <c r="AP796" i="2"/>
  <c r="AP780" i="2"/>
  <c r="AP764" i="2"/>
  <c r="AP748" i="2"/>
  <c r="AP732" i="2"/>
  <c r="AP1654" i="2"/>
  <c r="AP1652" i="2"/>
  <c r="AP1650" i="2"/>
  <c r="AP1646" i="2"/>
  <c r="AP1644" i="2"/>
  <c r="AP1642" i="2"/>
  <c r="AP1582" i="2"/>
  <c r="AP1580" i="2"/>
  <c r="AP1578" i="2"/>
  <c r="AP1524" i="2"/>
  <c r="AP1520" i="2"/>
  <c r="AP1516" i="2"/>
  <c r="AP1504" i="2"/>
  <c r="AP1471" i="2"/>
  <c r="AP1469" i="2"/>
  <c r="AP1467" i="2"/>
  <c r="AP1465" i="2"/>
  <c r="AP1463" i="2"/>
  <c r="AP972" i="2"/>
  <c r="AP940" i="2"/>
  <c r="AP908" i="2"/>
  <c r="AP876" i="2"/>
  <c r="AP844" i="2"/>
  <c r="AP820" i="2"/>
  <c r="AP804" i="2"/>
  <c r="AP788" i="2"/>
  <c r="AP772" i="2"/>
  <c r="AP756" i="2"/>
  <c r="AP740" i="2"/>
  <c r="AP1643" i="2"/>
  <c r="AP1547" i="2"/>
  <c r="AP1511" i="2"/>
  <c r="AP1507" i="2"/>
  <c r="AP1497" i="2"/>
  <c r="AP1734" i="2"/>
  <c r="AP1732" i="2"/>
  <c r="AP1730" i="2"/>
  <c r="AP1702" i="2"/>
  <c r="AP1700" i="2"/>
  <c r="AP1698" i="2"/>
  <c r="AP1638" i="2"/>
  <c r="AP1606" i="2"/>
  <c r="AP1604" i="2"/>
  <c r="AP1602" i="2"/>
  <c r="AP1574" i="2"/>
  <c r="AP1572" i="2"/>
  <c r="AP1570" i="2"/>
  <c r="AP1488" i="2"/>
  <c r="AP1484" i="2"/>
  <c r="AP1480" i="2"/>
  <c r="AP1476" i="2"/>
  <c r="AP980" i="2"/>
  <c r="AP964" i="2"/>
  <c r="AP948" i="2"/>
  <c r="AP932" i="2"/>
  <c r="AP916" i="2"/>
  <c r="AP900" i="2"/>
  <c r="AP884" i="2"/>
  <c r="AP868" i="2"/>
  <c r="AP852" i="2"/>
  <c r="AP836" i="2"/>
  <c r="AP824" i="2"/>
  <c r="AP816" i="2"/>
  <c r="AP808" i="2"/>
  <c r="AP800" i="2"/>
  <c r="AP792" i="2"/>
  <c r="AP784" i="2"/>
  <c r="AP776" i="2"/>
  <c r="AP768" i="2"/>
  <c r="AP760" i="2"/>
  <c r="AP752" i="2"/>
  <c r="AP744" i="2"/>
  <c r="AP736" i="2"/>
  <c r="AP728" i="2"/>
  <c r="AP1611" i="2"/>
  <c r="AP1579" i="2"/>
  <c r="AP1509" i="2"/>
  <c r="AP1499" i="2"/>
  <c r="AP1495" i="2"/>
  <c r="AP1731" i="2"/>
  <c r="AP1603" i="2"/>
  <c r="AP1460" i="2"/>
  <c r="AP1313" i="2"/>
  <c r="AP1281" i="2"/>
  <c r="AP1249" i="2"/>
  <c r="AP1217" i="2"/>
  <c r="AP1179" i="2"/>
  <c r="AP1147" i="2"/>
  <c r="AP1131" i="2"/>
  <c r="AP1099" i="2"/>
  <c r="AP1083" i="2"/>
  <c r="AP1726" i="2"/>
  <c r="AP1724" i="2"/>
  <c r="AP1722" i="2"/>
  <c r="AP1694" i="2"/>
  <c r="AP1692" i="2"/>
  <c r="AP1690" i="2"/>
  <c r="AP1660" i="2"/>
  <c r="AP1658" i="2"/>
  <c r="AP1628" i="2"/>
  <c r="AP1626" i="2"/>
  <c r="AP1598" i="2"/>
  <c r="AP1596" i="2"/>
  <c r="AP1566" i="2"/>
  <c r="AP1564" i="2"/>
  <c r="AP1562" i="2"/>
  <c r="AP1536" i="2"/>
  <c r="AP1534" i="2"/>
  <c r="AP1532" i="2"/>
  <c r="AP1699" i="2"/>
  <c r="AP1571" i="2"/>
  <c r="AP1329" i="2"/>
  <c r="AP1297" i="2"/>
  <c r="AP1265" i="2"/>
  <c r="AP1187" i="2"/>
  <c r="AP1171" i="2"/>
  <c r="AP1139" i="2"/>
  <c r="AP1107" i="2"/>
  <c r="AP1091" i="2"/>
  <c r="AP721" i="2"/>
  <c r="AP1683" i="2"/>
  <c r="AP1651" i="2"/>
  <c r="AP1619" i="2"/>
  <c r="AP1555" i="2"/>
  <c r="AP1523" i="2"/>
  <c r="AP1521" i="2"/>
  <c r="AP1519" i="2"/>
  <c r="AP1517" i="2"/>
  <c r="AP1515" i="2"/>
  <c r="AP1492" i="2"/>
  <c r="AP1369" i="2"/>
  <c r="AP1353" i="2"/>
  <c r="AP1337" i="2"/>
  <c r="AP1321" i="2"/>
  <c r="AP1305" i="2"/>
  <c r="AP1289" i="2"/>
  <c r="AP1257" i="2"/>
  <c r="AP1241" i="2"/>
  <c r="AP1225" i="2"/>
  <c r="AP1209" i="2"/>
  <c r="AP1191" i="2"/>
  <c r="AP1183" i="2"/>
  <c r="AP1175" i="2"/>
  <c r="AP1167" i="2"/>
  <c r="AP1143" i="2"/>
  <c r="AP1135" i="2"/>
  <c r="AP1127" i="2"/>
  <c r="AP1111" i="2"/>
  <c r="AP1103" i="2"/>
  <c r="AP1095" i="2"/>
  <c r="AP1087" i="2"/>
  <c r="AP1071" i="2"/>
  <c r="AP1059" i="2"/>
  <c r="AP1055" i="2"/>
  <c r="AP1043" i="2"/>
  <c r="AP823" i="2"/>
  <c r="AP815" i="2"/>
  <c r="AP807" i="2"/>
  <c r="AP799" i="2"/>
  <c r="AP791" i="2"/>
  <c r="AP783" i="2"/>
  <c r="AP779" i="2"/>
  <c r="AP724" i="2"/>
  <c r="AP720" i="2"/>
  <c r="AP723" i="2"/>
  <c r="AP719" i="2"/>
  <c r="AP1373" i="2"/>
  <c r="AP1357" i="2"/>
  <c r="AP1341" i="2"/>
  <c r="AP1333" i="2"/>
  <c r="AP1325" i="2"/>
  <c r="AP1317" i="2"/>
  <c r="AP1309" i="2"/>
  <c r="AP1301" i="2"/>
  <c r="AP1293" i="2"/>
  <c r="AP1285" i="2"/>
  <c r="AP1277" i="2"/>
  <c r="AP1261" i="2"/>
  <c r="AP1253" i="2"/>
  <c r="AP1245" i="2"/>
  <c r="AP1237" i="2"/>
  <c r="AP1221" i="2"/>
  <c r="AP1213" i="2"/>
  <c r="AP1189" i="2"/>
  <c r="AP1185" i="2"/>
  <c r="AP1181" i="2"/>
  <c r="AP1177" i="2"/>
  <c r="AP1173" i="2"/>
  <c r="AP1169" i="2"/>
  <c r="AP1165" i="2"/>
  <c r="AP1149" i="2"/>
  <c r="AP1145" i="2"/>
  <c r="AP1141" i="2"/>
  <c r="AP1137" i="2"/>
  <c r="AP1133" i="2"/>
  <c r="AP1129" i="2"/>
  <c r="AP1125" i="2"/>
  <c r="AP1113" i="2"/>
  <c r="AP1109" i="2"/>
  <c r="AP1105" i="2"/>
  <c r="AP1101" i="2"/>
  <c r="AP1097" i="2"/>
  <c r="AP1093" i="2"/>
  <c r="AP1089" i="2"/>
  <c r="AP1085" i="2"/>
  <c r="AP1073" i="2"/>
  <c r="AP1069" i="2"/>
  <c r="AP1065" i="2"/>
  <c r="AP1061" i="2"/>
  <c r="AP1057" i="2"/>
  <c r="AP1053" i="2"/>
  <c r="AP1049" i="2"/>
  <c r="AP1045" i="2"/>
  <c r="AP1041" i="2"/>
  <c r="AP753" i="2"/>
  <c r="AP749" i="2"/>
  <c r="AP745" i="2"/>
  <c r="AP741" i="2"/>
  <c r="AP737" i="2"/>
  <c r="AP733" i="2"/>
  <c r="AP729" i="2"/>
  <c r="AP725" i="2"/>
  <c r="AP1067" i="2"/>
  <c r="AP1063" i="2"/>
  <c r="AP1051" i="2"/>
  <c r="AP1047" i="2"/>
  <c r="AP827" i="2"/>
  <c r="AP819" i="2"/>
  <c r="AP811" i="2"/>
  <c r="AP803" i="2"/>
  <c r="AP795" i="2"/>
  <c r="AP787" i="2"/>
  <c r="AP775" i="2"/>
  <c r="AP771" i="2"/>
  <c r="AP751" i="2"/>
  <c r="AP747" i="2"/>
  <c r="AP743" i="2"/>
  <c r="AP739" i="2"/>
  <c r="AP735" i="2"/>
  <c r="AP731" i="2"/>
  <c r="AP727" i="2"/>
  <c r="AP1529" i="2"/>
  <c r="AP1527" i="2"/>
  <c r="AP1512" i="2"/>
  <c r="AP1503" i="2"/>
  <c r="AP1496" i="2"/>
  <c r="AP1487" i="2"/>
  <c r="AP1485" i="2"/>
  <c r="AP1483" i="2"/>
  <c r="AP1481" i="2"/>
  <c r="AP1479" i="2"/>
  <c r="AP1472" i="2"/>
  <c r="AP1468" i="2"/>
  <c r="AP1464" i="2"/>
  <c r="AP1455" i="2"/>
  <c r="AP1453" i="2"/>
  <c r="AP1451" i="2"/>
  <c r="AP1448" i="2"/>
  <c r="AP1445" i="2"/>
  <c r="AP1443" i="2"/>
  <c r="AP1432" i="2"/>
  <c r="AP1429" i="2"/>
  <c r="AP1427" i="2"/>
  <c r="AP1416" i="2"/>
  <c r="AP1413" i="2"/>
  <c r="AP1411" i="2"/>
  <c r="AP1400" i="2"/>
  <c r="AP1397" i="2"/>
  <c r="AP1395" i="2"/>
  <c r="AP1384" i="2"/>
  <c r="AP1381" i="2"/>
  <c r="AP1379" i="2"/>
  <c r="AP1365" i="2"/>
  <c r="AP1363" i="2"/>
  <c r="AP1349" i="2"/>
  <c r="AP1347" i="2"/>
  <c r="AP1331" i="2"/>
  <c r="AP1323" i="2"/>
  <c r="AP1315" i="2"/>
  <c r="AP1307" i="2"/>
  <c r="AP1299" i="2"/>
  <c r="AP976" i="2"/>
  <c r="AP968" i="2"/>
  <c r="AP960" i="2"/>
  <c r="AP952" i="2"/>
  <c r="AP944" i="2"/>
  <c r="AP936" i="2"/>
  <c r="AP928" i="2"/>
  <c r="AP920" i="2"/>
  <c r="AP912" i="2"/>
  <c r="AP904" i="2"/>
  <c r="AP896" i="2"/>
  <c r="AP888" i="2"/>
  <c r="AP880" i="2"/>
  <c r="AP872" i="2"/>
  <c r="AP864" i="2"/>
  <c r="AP856" i="2"/>
  <c r="AP848" i="2"/>
  <c r="AP840" i="2"/>
  <c r="AP832" i="2"/>
  <c r="AP754" i="2"/>
  <c r="AP750" i="2"/>
  <c r="AP746" i="2"/>
  <c r="AP742" i="2"/>
  <c r="AP738" i="2"/>
  <c r="AP734" i="2"/>
  <c r="AP730" i="2"/>
  <c r="AP726" i="2"/>
  <c r="AP1039" i="2"/>
  <c r="AP1035" i="2"/>
  <c r="AP1031" i="2"/>
  <c r="AP1027" i="2"/>
  <c r="AP1023" i="2"/>
  <c r="AP1522" i="2"/>
  <c r="AP1510" i="2"/>
  <c r="AP1486" i="2"/>
  <c r="AP1470" i="2"/>
  <c r="AP1454" i="2"/>
  <c r="AP1733" i="2"/>
  <c r="AP1725" i="2"/>
  <c r="AP1701" i="2"/>
  <c r="AP1693" i="2"/>
  <c r="AP1685" i="2"/>
  <c r="AP1677" i="2"/>
  <c r="AP1661" i="2"/>
  <c r="AP1653" i="2"/>
  <c r="AP1645" i="2"/>
  <c r="AP1637" i="2"/>
  <c r="AP1621" i="2"/>
  <c r="AP1613" i="2"/>
  <c r="AP1605" i="2"/>
  <c r="AP1597" i="2"/>
  <c r="AP1581" i="2"/>
  <c r="AP1573" i="2"/>
  <c r="AP1565" i="2"/>
  <c r="AP1557" i="2"/>
  <c r="AP1549" i="2"/>
  <c r="AP1538" i="2"/>
  <c r="AP1518" i="2"/>
  <c r="AP1498" i="2"/>
  <c r="AP1482" i="2"/>
  <c r="AP1466" i="2"/>
  <c r="AP1038" i="2"/>
  <c r="AP1034" i="2"/>
  <c r="AP1030" i="2"/>
  <c r="AP1026" i="2"/>
  <c r="AP1022" i="2"/>
  <c r="AP1019" i="2"/>
  <c r="AP1018" i="2"/>
  <c r="AP2065" i="2"/>
  <c r="AP2063" i="2"/>
  <c r="AP2061" i="2"/>
  <c r="AP2059" i="2"/>
  <c r="AP2057" i="2"/>
  <c r="AP2055" i="2"/>
  <c r="AP2053" i="2"/>
  <c r="AP2051" i="2"/>
  <c r="AP2049" i="2"/>
  <c r="AP2047" i="2"/>
  <c r="AP2045" i="2"/>
  <c r="AP2043" i="2"/>
  <c r="AP2041" i="2"/>
  <c r="AP2039" i="2"/>
  <c r="AP2037" i="2"/>
  <c r="AP2035" i="2"/>
  <c r="AP2033" i="2"/>
  <c r="AP2031" i="2"/>
  <c r="AP2029" i="2"/>
  <c r="AP2027" i="2"/>
  <c r="AP2025" i="2"/>
  <c r="AP2023" i="2"/>
  <c r="AP2021" i="2"/>
  <c r="AP2019" i="2"/>
  <c r="AP2017" i="2"/>
  <c r="AP2015" i="2"/>
  <c r="AP2013" i="2"/>
  <c r="AP2011" i="2"/>
  <c r="AP2009" i="2"/>
  <c r="AP2007" i="2"/>
  <c r="AP2005" i="2"/>
  <c r="AP2003" i="2"/>
  <c r="AP2001" i="2"/>
  <c r="AP1999" i="2"/>
  <c r="AP1997" i="2"/>
  <c r="AP1995" i="2"/>
  <c r="AP1993" i="2"/>
  <c r="AP1991" i="2"/>
  <c r="AP1989" i="2"/>
  <c r="AP1987" i="2"/>
  <c r="AP1985" i="2"/>
  <c r="AP1983" i="2"/>
  <c r="AP1981" i="2"/>
  <c r="AP1979" i="2"/>
  <c r="AP1977" i="2"/>
  <c r="AP1975" i="2"/>
  <c r="AP1973" i="2"/>
  <c r="AP1971" i="2"/>
  <c r="AP1969" i="2"/>
  <c r="AP1967" i="2"/>
  <c r="AP1965" i="2"/>
  <c r="AP1963" i="2"/>
  <c r="AP1961" i="2"/>
  <c r="AP1959" i="2"/>
  <c r="AP1957" i="2"/>
  <c r="AP1955" i="2"/>
  <c r="AP1953" i="2"/>
  <c r="AP1951" i="2"/>
  <c r="AP1949" i="2"/>
  <c r="AP1947" i="2"/>
  <c r="AP1945" i="2"/>
  <c r="AP1943" i="2"/>
  <c r="AP1941" i="2"/>
  <c r="AP1931" i="2"/>
  <c r="AP1929" i="2"/>
  <c r="AP1927" i="2"/>
  <c r="AP1925" i="2"/>
  <c r="AP1923" i="2"/>
  <c r="AP1921" i="2"/>
  <c r="AP1919" i="2"/>
  <c r="AP1917" i="2"/>
  <c r="AP1915" i="2"/>
  <c r="AP1913" i="2"/>
  <c r="AP1911" i="2"/>
  <c r="AP1909" i="2"/>
  <c r="AP1907" i="2"/>
  <c r="AP1905" i="2"/>
  <c r="AP1903" i="2"/>
  <c r="AP1901" i="2"/>
  <c r="AP1899" i="2"/>
  <c r="AP1889" i="2"/>
  <c r="AP1887" i="2"/>
  <c r="AP1885" i="2"/>
  <c r="AP1883" i="2"/>
  <c r="AP1881" i="2"/>
  <c r="AP1879" i="2"/>
  <c r="AP1877" i="2"/>
  <c r="AP1875" i="2"/>
  <c r="AP1873" i="2"/>
  <c r="AP1871" i="2"/>
  <c r="AP1869" i="2"/>
  <c r="AP1867" i="2"/>
  <c r="AP1865" i="2"/>
  <c r="AP1855" i="2"/>
  <c r="AP1853" i="2"/>
  <c r="AP1851" i="2"/>
  <c r="AP1849" i="2"/>
  <c r="AP1847" i="2"/>
  <c r="AP1845" i="2"/>
  <c r="AP1843" i="2"/>
  <c r="AP1841" i="2"/>
  <c r="AP1839" i="2"/>
  <c r="AP1837" i="2"/>
  <c r="AP1835" i="2"/>
  <c r="AP1833" i="2"/>
  <c r="AP1831" i="2"/>
  <c r="AP1829" i="2"/>
  <c r="AP1827" i="2"/>
  <c r="AP1825" i="2"/>
  <c r="AP1823" i="2"/>
  <c r="AP1813" i="2"/>
  <c r="AP1811" i="2"/>
  <c r="AP1809" i="2"/>
  <c r="AP1807" i="2"/>
  <c r="AP1805" i="2"/>
  <c r="AP1803" i="2"/>
  <c r="AP1801" i="2"/>
  <c r="AP1799" i="2"/>
  <c r="AP1797" i="2"/>
  <c r="AP1795" i="2"/>
  <c r="AP1793" i="2"/>
  <c r="AP1791" i="2"/>
  <c r="AP1789" i="2"/>
  <c r="AP1779" i="2"/>
  <c r="AP1777" i="2"/>
  <c r="AP1775" i="2"/>
  <c r="AP1773" i="2"/>
  <c r="AP1771" i="2"/>
  <c r="AP1769" i="2"/>
  <c r="AP1767" i="2"/>
  <c r="AP1765" i="2"/>
  <c r="AP1763" i="2"/>
  <c r="AP1761" i="2"/>
  <c r="AP1759" i="2"/>
  <c r="AP1757" i="2"/>
  <c r="AP1755" i="2"/>
  <c r="AP1753" i="2"/>
  <c r="AP1751" i="2"/>
  <c r="AP1749" i="2"/>
  <c r="AP1747" i="2"/>
  <c r="AP1535" i="2"/>
  <c r="AP1491" i="2"/>
  <c r="AP1475" i="2"/>
  <c r="AP1459" i="2"/>
  <c r="AP1444" i="2"/>
  <c r="AP1435" i="2"/>
  <c r="AP1428" i="2"/>
  <c r="AP1419" i="2"/>
  <c r="AP1412" i="2"/>
  <c r="AP1403" i="2"/>
  <c r="AP1396" i="2"/>
  <c r="AP1387" i="2"/>
  <c r="AP1371" i="2"/>
  <c r="AP1355" i="2"/>
  <c r="AP1339" i="2"/>
  <c r="AP1447" i="2"/>
  <c r="AP1440" i="2"/>
  <c r="AP1437" i="2"/>
  <c r="AP1431" i="2"/>
  <c r="AP1424" i="2"/>
  <c r="AP1421" i="2"/>
  <c r="AP1415" i="2"/>
  <c r="AP1408" i="2"/>
  <c r="AP1405" i="2"/>
  <c r="AP1399" i="2"/>
  <c r="AP1392" i="2"/>
  <c r="AP1389" i="2"/>
  <c r="AP1383" i="2"/>
  <c r="AP1367" i="2"/>
  <c r="AP1351" i="2"/>
  <c r="AP1335" i="2"/>
  <c r="AP1327" i="2"/>
  <c r="AP1319" i="2"/>
  <c r="AP1311" i="2"/>
  <c r="AP1303" i="2"/>
  <c r="AP1449" i="2"/>
  <c r="AP1436" i="2"/>
  <c r="AP1433" i="2"/>
  <c r="AP1420" i="2"/>
  <c r="AP1417" i="2"/>
  <c r="AP1404" i="2"/>
  <c r="AP1401" i="2"/>
  <c r="AP1388" i="2"/>
  <c r="AP1385" i="2"/>
  <c r="AP1450" i="2"/>
  <c r="AP1446" i="2"/>
  <c r="AP1442" i="2"/>
  <c r="AP1438" i="2"/>
  <c r="AP1434" i="2"/>
  <c r="AP1430" i="2"/>
  <c r="AP1426" i="2"/>
  <c r="AP1422" i="2"/>
  <c r="AP1418" i="2"/>
  <c r="AP1414" i="2"/>
  <c r="AP1410" i="2"/>
  <c r="AP1406" i="2"/>
  <c r="AP1402" i="2"/>
  <c r="AP1398" i="2"/>
  <c r="AP1394" i="2"/>
  <c r="AP1390" i="2"/>
  <c r="AP1386" i="2"/>
  <c r="AP1382" i="2"/>
  <c r="AP1378" i="2"/>
  <c r="AP1374" i="2"/>
  <c r="AP1370" i="2"/>
  <c r="AP1366" i="2"/>
  <c r="AP1362" i="2"/>
  <c r="AP1358" i="2"/>
  <c r="AP1354" i="2"/>
  <c r="AP1350" i="2"/>
  <c r="AP1346" i="2"/>
  <c r="AP1342" i="2"/>
  <c r="AP1338" i="2"/>
  <c r="AP1334" i="2"/>
  <c r="AP1330" i="2"/>
  <c r="AP1326" i="2"/>
  <c r="AP1322" i="2"/>
  <c r="AP1318" i="2"/>
  <c r="AP1314" i="2"/>
  <c r="AP1310" i="2"/>
  <c r="AP1306" i="2"/>
  <c r="AP1302" i="2"/>
  <c r="AP1298" i="2"/>
  <c r="AP1294" i="2"/>
  <c r="AP1290" i="2"/>
  <c r="AP1286" i="2"/>
  <c r="AP1282" i="2"/>
  <c r="AP1278" i="2"/>
  <c r="AP1266" i="2"/>
  <c r="AP1262" i="2"/>
  <c r="AP1258" i="2"/>
  <c r="AP1254" i="2"/>
  <c r="AP1250" i="2"/>
  <c r="AP1246" i="2"/>
  <c r="AP1242" i="2"/>
  <c r="AP1238" i="2"/>
  <c r="AP1222" i="2"/>
  <c r="AP1218" i="2"/>
  <c r="AP1214" i="2"/>
  <c r="AP1210" i="2"/>
  <c r="AP1190" i="2"/>
  <c r="AP1186" i="2"/>
  <c r="AP1182" i="2"/>
  <c r="AP1178" i="2"/>
  <c r="AP1174" i="2"/>
  <c r="AP1170" i="2"/>
  <c r="AP1166" i="2"/>
  <c r="AP1146" i="2"/>
  <c r="AP1142" i="2"/>
  <c r="AP1138" i="2"/>
  <c r="AP1134" i="2"/>
  <c r="AP1130" i="2"/>
  <c r="AP1126" i="2"/>
  <c r="AP1114" i="2"/>
  <c r="AP1110" i="2"/>
  <c r="AP1106" i="2"/>
  <c r="AP1102" i="2"/>
  <c r="AP1098" i="2"/>
  <c r="AP1094" i="2"/>
  <c r="AP1090" i="2"/>
  <c r="AP1086" i="2"/>
  <c r="AP1070" i="2"/>
  <c r="AP1066" i="2"/>
  <c r="AP1062" i="2"/>
  <c r="AP1058" i="2"/>
  <c r="AP1054" i="2"/>
  <c r="AP1050" i="2"/>
  <c r="AP1046" i="2"/>
  <c r="AP1042" i="2"/>
  <c r="AP1380" i="2"/>
  <c r="AP1376" i="2"/>
  <c r="AP1372" i="2"/>
  <c r="AP1368" i="2"/>
  <c r="AP1364" i="2"/>
  <c r="AP1360" i="2"/>
  <c r="AP1356" i="2"/>
  <c r="AP1352" i="2"/>
  <c r="AP1348" i="2"/>
  <c r="AP1344" i="2"/>
  <c r="AP1340" i="2"/>
  <c r="AP1336" i="2"/>
  <c r="AP1332" i="2"/>
  <c r="AP1328" i="2"/>
  <c r="AP1324" i="2"/>
  <c r="AP1320" i="2"/>
  <c r="AP1316" i="2"/>
  <c r="AP1312" i="2"/>
  <c r="AP1308" i="2"/>
  <c r="AP1304" i="2"/>
  <c r="AP1300" i="2"/>
  <c r="AP1296" i="2"/>
  <c r="AP1292" i="2"/>
  <c r="AP1288" i="2"/>
  <c r="AP1284" i="2"/>
  <c r="AP1280" i="2"/>
  <c r="AP1264" i="2"/>
  <c r="AP1260" i="2"/>
  <c r="AP1256" i="2"/>
  <c r="AP1252" i="2"/>
  <c r="AP1248" i="2"/>
  <c r="AP1244" i="2"/>
  <c r="AP1240" i="2"/>
  <c r="AP1236" i="2"/>
  <c r="AP1224" i="2"/>
  <c r="AP1220" i="2"/>
  <c r="AP1216" i="2"/>
  <c r="AP1212" i="2"/>
  <c r="AP1188" i="2"/>
  <c r="AP1184" i="2"/>
  <c r="AP1180" i="2"/>
  <c r="AP1176" i="2"/>
  <c r="AP1172" i="2"/>
  <c r="AP1168" i="2"/>
  <c r="AP1164" i="2"/>
  <c r="AP1148" i="2"/>
  <c r="AP1144" i="2"/>
  <c r="AP1140" i="2"/>
  <c r="AP1136" i="2"/>
  <c r="AP1132" i="2"/>
  <c r="AP1128" i="2"/>
  <c r="AP1112" i="2"/>
  <c r="AP1108" i="2"/>
  <c r="AP1104" i="2"/>
  <c r="AP1100" i="2"/>
  <c r="AP1096" i="2"/>
  <c r="AP1092" i="2"/>
  <c r="AP1088" i="2"/>
  <c r="AP1084" i="2"/>
  <c r="AP1072" i="2"/>
  <c r="AP1068" i="2"/>
  <c r="AP1064" i="2"/>
  <c r="AP1060" i="2"/>
  <c r="AP1056" i="2"/>
  <c r="AP1052" i="2"/>
  <c r="AP1048" i="2"/>
  <c r="AP1044" i="2"/>
  <c r="AP1295" i="2"/>
  <c r="AP1291" i="2"/>
  <c r="AP1287" i="2"/>
  <c r="AP1283" i="2"/>
  <c r="AP1279" i="2"/>
  <c r="AP1267" i="2"/>
  <c r="AP1263" i="2"/>
  <c r="AP1259" i="2"/>
  <c r="AP1255" i="2"/>
  <c r="AP1251" i="2"/>
  <c r="AP1247" i="2"/>
  <c r="AP1243" i="2"/>
  <c r="AP1239" i="2"/>
  <c r="AP1235" i="2"/>
  <c r="AP1223" i="2"/>
  <c r="AP1219" i="2"/>
  <c r="AP1215" i="2"/>
  <c r="AP1211" i="2"/>
  <c r="AP978" i="2"/>
  <c r="AP974" i="2"/>
  <c r="AP970" i="2"/>
  <c r="AP966" i="2"/>
  <c r="AP962" i="2"/>
  <c r="AP958" i="2"/>
  <c r="AP954" i="2"/>
  <c r="AP950" i="2"/>
  <c r="AP946" i="2"/>
  <c r="AP942" i="2"/>
  <c r="AP938" i="2"/>
  <c r="AP934" i="2"/>
  <c r="AP930" i="2"/>
  <c r="AP926" i="2"/>
  <c r="AP922" i="2"/>
  <c r="AP918" i="2"/>
  <c r="AP914" i="2"/>
  <c r="AP910" i="2"/>
  <c r="AP906" i="2"/>
  <c r="AP902" i="2"/>
  <c r="AP898" i="2"/>
  <c r="AP894" i="2"/>
  <c r="AP890" i="2"/>
  <c r="AP886" i="2"/>
  <c r="AP882" i="2"/>
  <c r="AP878" i="2"/>
  <c r="AP874" i="2"/>
  <c r="AP870" i="2"/>
  <c r="AP866" i="2"/>
  <c r="AP862" i="2"/>
  <c r="AP858" i="2"/>
  <c r="AP854" i="2"/>
  <c r="AP850" i="2"/>
  <c r="AP846" i="2"/>
  <c r="AP842" i="2"/>
  <c r="AP838" i="2"/>
  <c r="AP834" i="2"/>
  <c r="AP830" i="2"/>
  <c r="AP826" i="2"/>
  <c r="AP822" i="2"/>
  <c r="AP818" i="2"/>
  <c r="AP814" i="2"/>
  <c r="AP810" i="2"/>
  <c r="AP806" i="2"/>
  <c r="AP802" i="2"/>
  <c r="AP798" i="2"/>
  <c r="AP794" i="2"/>
  <c r="AP790" i="2"/>
  <c r="AP786" i="2"/>
  <c r="AP782" i="2"/>
  <c r="AP778" i="2"/>
  <c r="AP774" i="2"/>
  <c r="AP770" i="2"/>
  <c r="AP766" i="2"/>
  <c r="AP762" i="2"/>
  <c r="AP758" i="2"/>
  <c r="AP977" i="2"/>
  <c r="AP973" i="2"/>
  <c r="AP969" i="2"/>
  <c r="AP965" i="2"/>
  <c r="AP961" i="2"/>
  <c r="AP957" i="2"/>
  <c r="AP953" i="2"/>
  <c r="AP949" i="2"/>
  <c r="AP945" i="2"/>
  <c r="AP941" i="2"/>
  <c r="AP937" i="2"/>
  <c r="AP933" i="2"/>
  <c r="AP929" i="2"/>
  <c r="AP925" i="2"/>
  <c r="AP921" i="2"/>
  <c r="AP917" i="2"/>
  <c r="AP913" i="2"/>
  <c r="AP909" i="2"/>
  <c r="AP905" i="2"/>
  <c r="AP901" i="2"/>
  <c r="AP897" i="2"/>
  <c r="AP893" i="2"/>
  <c r="AP889" i="2"/>
  <c r="AP885" i="2"/>
  <c r="AP881" i="2"/>
  <c r="AP877" i="2"/>
  <c r="AP873" i="2"/>
  <c r="AP869" i="2"/>
  <c r="AP865" i="2"/>
  <c r="AP861" i="2"/>
  <c r="AP857" i="2"/>
  <c r="AP853" i="2"/>
  <c r="AP849" i="2"/>
  <c r="AP845" i="2"/>
  <c r="AP841" i="2"/>
  <c r="AP837" i="2"/>
  <c r="AP833" i="2"/>
  <c r="AP829" i="2"/>
  <c r="AP825" i="2"/>
  <c r="AP821" i="2"/>
  <c r="AP817" i="2"/>
  <c r="AP813" i="2"/>
  <c r="AP809" i="2"/>
  <c r="AP805" i="2"/>
  <c r="AP801" i="2"/>
  <c r="AP797" i="2"/>
  <c r="AP793" i="2"/>
  <c r="AP789" i="2"/>
  <c r="AP785" i="2"/>
  <c r="AP781" i="2"/>
  <c r="AP777" i="2"/>
  <c r="AP773" i="2"/>
  <c r="AP769" i="2"/>
  <c r="AP765" i="2"/>
  <c r="AP761" i="2"/>
  <c r="AP757" i="2"/>
  <c r="AP979" i="2"/>
  <c r="AP975" i="2"/>
  <c r="AP971" i="2"/>
  <c r="AP967" i="2"/>
  <c r="AP963" i="2"/>
  <c r="AP959" i="2"/>
  <c r="AP955" i="2"/>
  <c r="AP951" i="2"/>
  <c r="AP947" i="2"/>
  <c r="AP943" i="2"/>
  <c r="AP939" i="2"/>
  <c r="AP935" i="2"/>
  <c r="AP931" i="2"/>
  <c r="AP927" i="2"/>
  <c r="AP923" i="2"/>
  <c r="AP919" i="2"/>
  <c r="AP915" i="2"/>
  <c r="AP911" i="2"/>
  <c r="AP907" i="2"/>
  <c r="AP903" i="2"/>
  <c r="AP899" i="2"/>
  <c r="AP895" i="2"/>
  <c r="AP891" i="2"/>
  <c r="AP887" i="2"/>
  <c r="AP883" i="2"/>
  <c r="AP879" i="2"/>
  <c r="AP875" i="2"/>
  <c r="AP871" i="2"/>
  <c r="AP867" i="2"/>
  <c r="AP863" i="2"/>
  <c r="AP859" i="2"/>
  <c r="AP855" i="2"/>
  <c r="AP851" i="2"/>
  <c r="AP847" i="2"/>
  <c r="AP843" i="2"/>
  <c r="AP839" i="2"/>
  <c r="AP835" i="2"/>
  <c r="AP831" i="2"/>
  <c r="AP767" i="2"/>
  <c r="AP763" i="2"/>
  <c r="AP759" i="2"/>
  <c r="AP755" i="2"/>
  <c r="AN21" i="2"/>
  <c r="AN25" i="2"/>
  <c r="AN49" i="2"/>
  <c r="AN53" i="2"/>
  <c r="AN57" i="2"/>
  <c r="AN61" i="2"/>
  <c r="AN65" i="2"/>
  <c r="AN69" i="2"/>
  <c r="AN73" i="2"/>
  <c r="AN77" i="2"/>
  <c r="AN81" i="2"/>
  <c r="AN85" i="2"/>
  <c r="AN89" i="2"/>
  <c r="AN93" i="2"/>
  <c r="AN97" i="2"/>
  <c r="AN101" i="2"/>
  <c r="AN105" i="2"/>
  <c r="AN109" i="2"/>
  <c r="AN113" i="2"/>
  <c r="AN117" i="2"/>
  <c r="AN121" i="2"/>
  <c r="AN125" i="2"/>
  <c r="AN177" i="2"/>
  <c r="AN193" i="2"/>
  <c r="AN221" i="2"/>
  <c r="AN225" i="2"/>
  <c r="AN257" i="2"/>
  <c r="AN289" i="2"/>
  <c r="AN301" i="2"/>
  <c r="AP301" i="2" s="1"/>
  <c r="AN305" i="2"/>
  <c r="AP305" i="2" s="1"/>
  <c r="AN317" i="2"/>
  <c r="AP317" i="2" s="1"/>
  <c r="AN321" i="2"/>
  <c r="AP321" i="2" s="1"/>
  <c r="AN349" i="2"/>
  <c r="AP349" i="2" s="1"/>
  <c r="AN353" i="2"/>
  <c r="AP353" i="2" s="1"/>
  <c r="AN365" i="2"/>
  <c r="AP365" i="2" s="1"/>
  <c r="AN369" i="2"/>
  <c r="AP369" i="2" s="1"/>
  <c r="AN381" i="2"/>
  <c r="AN385" i="2"/>
  <c r="AP385" i="2" s="1"/>
  <c r="AN397" i="2"/>
  <c r="AP397" i="2" s="1"/>
  <c r="AN401" i="2"/>
  <c r="AP401" i="2" s="1"/>
  <c r="AN413" i="2"/>
  <c r="AP413" i="2" s="1"/>
  <c r="AN417" i="2"/>
  <c r="AP417" i="2" s="1"/>
  <c r="AN449" i="2"/>
  <c r="AP449" i="2" s="1"/>
  <c r="AN461" i="2"/>
  <c r="AP461" i="2" s="1"/>
  <c r="AN465" i="2"/>
  <c r="AN477" i="2"/>
  <c r="AP477" i="2" s="1"/>
  <c r="AN481" i="2"/>
  <c r="AP481" i="2" s="1"/>
  <c r="AN493" i="2"/>
  <c r="AP493" i="2" s="1"/>
  <c r="AN497" i="2"/>
  <c r="AP497" i="2" s="1"/>
  <c r="AN525" i="2"/>
  <c r="AP525" i="2" s="1"/>
  <c r="AN526" i="2"/>
  <c r="AP526" i="2" s="1"/>
  <c r="AN549" i="2"/>
  <c r="AP549" i="2" s="1"/>
  <c r="AN550" i="2"/>
  <c r="AN553" i="2"/>
  <c r="AP553" i="2" s="1"/>
  <c r="AN554" i="2"/>
  <c r="AN557" i="2"/>
  <c r="AN558" i="2"/>
  <c r="AN561" i="2"/>
  <c r="AP561" i="2" s="1"/>
  <c r="AN562" i="2"/>
  <c r="AN565" i="2"/>
  <c r="AN566" i="2"/>
  <c r="AN569" i="2"/>
  <c r="AP569" i="2" s="1"/>
  <c r="AN570" i="2"/>
  <c r="AP570" i="2" s="1"/>
  <c r="AN573" i="2"/>
  <c r="AP573" i="2" s="1"/>
  <c r="AN574" i="2"/>
  <c r="AP574" i="2" s="1"/>
  <c r="AN577" i="2"/>
  <c r="AP577" i="2" s="1"/>
  <c r="AN578" i="2"/>
  <c r="AP578" i="2" s="1"/>
  <c r="AN581" i="2"/>
  <c r="AP581" i="2" s="1"/>
  <c r="AN582" i="2"/>
  <c r="AP582" i="2" s="1"/>
  <c r="AN585" i="2"/>
  <c r="AP585" i="2" s="1"/>
  <c r="AN586" i="2"/>
  <c r="AP586" i="2" s="1"/>
  <c r="AN589" i="2"/>
  <c r="AP589" i="2" s="1"/>
  <c r="AN590" i="2"/>
  <c r="AP590" i="2" s="1"/>
  <c r="AN593" i="2"/>
  <c r="AP593" i="2" s="1"/>
  <c r="AN594" i="2"/>
  <c r="AP594" i="2" s="1"/>
  <c r="AN597" i="2"/>
  <c r="AP597" i="2" s="1"/>
  <c r="AN598" i="2"/>
  <c r="AP598" i="2" s="1"/>
  <c r="AN601" i="2"/>
  <c r="AP601" i="2" s="1"/>
  <c r="AN602" i="2"/>
  <c r="AP602" i="2" s="1"/>
  <c r="AN605" i="2"/>
  <c r="AP605" i="2" s="1"/>
  <c r="AN606" i="2"/>
  <c r="AP606" i="2" s="1"/>
  <c r="AN609" i="2"/>
  <c r="AP609" i="2" s="1"/>
  <c r="AN610" i="2"/>
  <c r="AP610" i="2" s="1"/>
  <c r="AN613" i="2"/>
  <c r="AP613" i="2" s="1"/>
  <c r="AN614" i="2"/>
  <c r="AP614" i="2" s="1"/>
  <c r="AN617" i="2"/>
  <c r="AP617" i="2" s="1"/>
  <c r="AN618" i="2"/>
  <c r="AP618" i="2" s="1"/>
  <c r="AN621" i="2"/>
  <c r="AP621" i="2" s="1"/>
  <c r="AN622" i="2"/>
  <c r="AP622" i="2" s="1"/>
  <c r="AN625" i="2"/>
  <c r="AP625" i="2" s="1"/>
  <c r="AN626" i="2"/>
  <c r="AP626" i="2" s="1"/>
  <c r="AN653" i="2"/>
  <c r="AP653" i="2" s="1"/>
  <c r="AN654" i="2"/>
  <c r="AP654" i="2" s="1"/>
  <c r="AN657" i="2"/>
  <c r="AP657" i="2" s="1"/>
  <c r="AN658" i="2"/>
  <c r="AN661" i="2"/>
  <c r="AP661" i="2" s="1"/>
  <c r="AN662" i="2"/>
  <c r="AP662" i="2" s="1"/>
  <c r="AN665" i="2"/>
  <c r="AP665" i="2" s="1"/>
  <c r="AN666" i="2"/>
  <c r="AP666" i="2" s="1"/>
  <c r="AN669" i="2"/>
  <c r="AP669" i="2" s="1"/>
  <c r="AN670" i="2"/>
  <c r="AP670" i="2" s="1"/>
  <c r="AN673" i="2"/>
  <c r="AP673" i="2" s="1"/>
  <c r="AN674" i="2"/>
  <c r="AP674" i="2" s="1"/>
  <c r="AN677" i="2"/>
  <c r="AP677" i="2" s="1"/>
  <c r="AN678" i="2"/>
  <c r="AP678" i="2" s="1"/>
  <c r="AN681" i="2"/>
  <c r="AP681" i="2" s="1"/>
  <c r="AN682" i="2"/>
  <c r="AP682" i="2" s="1"/>
  <c r="AN685" i="2"/>
  <c r="AP685" i="2" s="1"/>
  <c r="AN697" i="2"/>
  <c r="AP697" i="2" s="1"/>
  <c r="AN698" i="2"/>
  <c r="AP698" i="2" s="1"/>
  <c r="AN701" i="2"/>
  <c r="AP701" i="2" s="1"/>
  <c r="AN702" i="2"/>
  <c r="AP702" i="2" s="1"/>
  <c r="AN705" i="2"/>
  <c r="AP705" i="2" s="1"/>
  <c r="AN706" i="2"/>
  <c r="AP706" i="2" s="1"/>
  <c r="AN709" i="2"/>
  <c r="AP709" i="2" s="1"/>
  <c r="AN710" i="2"/>
  <c r="AP710" i="2" s="1"/>
  <c r="AN713" i="2"/>
  <c r="AP713" i="2" s="1"/>
  <c r="AN714" i="2"/>
  <c r="AP714" i="2" s="1"/>
  <c r="AN717" i="2"/>
  <c r="AP717" i="2" s="1"/>
  <c r="AN718" i="2"/>
  <c r="AP718" i="2" s="1"/>
  <c r="AN273" i="2"/>
  <c r="AN241" i="2"/>
  <c r="AN629" i="2"/>
  <c r="AP629" i="2" s="1"/>
  <c r="AN630" i="2"/>
  <c r="AP630" i="2" s="1"/>
  <c r="AN633" i="2"/>
  <c r="AP633" i="2" s="1"/>
  <c r="AN634" i="2"/>
  <c r="AP634" i="2" s="1"/>
  <c r="AN637" i="2"/>
  <c r="AP637" i="2" s="1"/>
  <c r="AN638" i="2"/>
  <c r="AP638" i="2" s="1"/>
  <c r="AN530" i="2"/>
  <c r="AP530" i="2" s="1"/>
  <c r="AN533" i="2"/>
  <c r="AP533" i="2" s="1"/>
  <c r="AN534" i="2"/>
  <c r="AP534" i="2" s="1"/>
  <c r="AN537" i="2"/>
  <c r="AP537" i="2" s="1"/>
  <c r="AN538" i="2"/>
  <c r="AP538" i="2" s="1"/>
  <c r="AN541" i="2"/>
  <c r="AP541" i="2" s="1"/>
  <c r="AN542" i="2"/>
  <c r="AP542" i="2" s="1"/>
  <c r="AN545" i="2"/>
  <c r="AP545" i="2" s="1"/>
  <c r="AN546" i="2"/>
  <c r="AP546" i="2" s="1"/>
  <c r="AN429" i="2"/>
  <c r="AP429" i="2" s="1"/>
  <c r="AN433" i="2"/>
  <c r="AP433" i="2" s="1"/>
  <c r="AN445" i="2"/>
  <c r="AP445" i="2" s="1"/>
  <c r="AN337" i="2"/>
  <c r="AP337" i="2" s="1"/>
  <c r="AN29" i="2"/>
  <c r="AN33" i="2"/>
  <c r="AN41" i="2"/>
  <c r="AN45" i="2"/>
  <c r="AE127" i="2" l="1"/>
  <c r="AJ1662" i="2"/>
  <c r="AN1662" i="2" s="1"/>
  <c r="AP1662" i="2" s="1"/>
  <c r="AG126" i="2"/>
  <c r="AH126" i="2" s="1"/>
  <c r="AE279" i="2"/>
  <c r="AJ1814" i="2"/>
  <c r="AN1814" i="2" s="1"/>
  <c r="AP1814" i="2" s="1"/>
  <c r="AG278" i="2"/>
  <c r="AH278" i="2" s="1"/>
  <c r="AE203" i="2"/>
  <c r="AJ1738" i="2"/>
  <c r="AN1738" i="2" s="1"/>
  <c r="AP1738" i="2" s="1"/>
  <c r="AG202" i="2"/>
  <c r="AH202" i="2" s="1"/>
  <c r="AE397" i="2"/>
  <c r="AJ1932" i="2"/>
  <c r="AN1932" i="2" s="1"/>
  <c r="AP1932" i="2" s="1"/>
  <c r="AG396" i="2"/>
  <c r="AH396" i="2" s="1"/>
  <c r="AE51" i="2"/>
  <c r="AJ1586" i="2"/>
  <c r="AN1586" i="2" s="1"/>
  <c r="AP1586" i="2" s="1"/>
  <c r="AG50" i="2"/>
  <c r="AH50" i="2" s="1"/>
  <c r="W245" i="2"/>
  <c r="AJ1268" i="2"/>
  <c r="AN1268" i="2" s="1"/>
  <c r="AP1268" i="2" s="1"/>
  <c r="Y244" i="2"/>
  <c r="Z244" i="2" s="1"/>
  <c r="AE355" i="2"/>
  <c r="AJ1890" i="2"/>
  <c r="AN1890" i="2" s="1"/>
  <c r="AP1890" i="2" s="1"/>
  <c r="AG354" i="2"/>
  <c r="AH354" i="2" s="1"/>
  <c r="W93" i="2"/>
  <c r="AJ1116" i="2"/>
  <c r="Y92" i="2"/>
  <c r="Z92" i="2" s="1"/>
  <c r="W203" i="2"/>
  <c r="AJ1226" i="2"/>
  <c r="AN1226" i="2" s="1"/>
  <c r="AP1226" i="2" s="1"/>
  <c r="Y202" i="2"/>
  <c r="Z202" i="2" s="1"/>
  <c r="AE94" i="2"/>
  <c r="AJ1629" i="2"/>
  <c r="AN1629" i="2" s="1"/>
  <c r="AP1629" i="2" s="1"/>
  <c r="AG93" i="2"/>
  <c r="AH93" i="2" s="1"/>
  <c r="W127" i="2"/>
  <c r="AJ1150" i="2"/>
  <c r="AN1150" i="2" s="1"/>
  <c r="AP1150" i="2" s="1"/>
  <c r="Y126" i="2"/>
  <c r="Z126" i="2" s="1"/>
  <c r="AE321" i="2"/>
  <c r="AJ1856" i="2"/>
  <c r="AN1856" i="2" s="1"/>
  <c r="AP1856" i="2" s="1"/>
  <c r="AG320" i="2"/>
  <c r="AH320" i="2" s="1"/>
  <c r="W51" i="2"/>
  <c r="AJ1074" i="2"/>
  <c r="AN1074" i="2" s="1"/>
  <c r="AP1074" i="2" s="1"/>
  <c r="Y50" i="2"/>
  <c r="Z50" i="2" s="1"/>
  <c r="W169" i="2"/>
  <c r="AJ1192" i="2"/>
  <c r="AN1192" i="2" s="1"/>
  <c r="AP1192" i="2" s="1"/>
  <c r="Y168" i="2"/>
  <c r="Z168" i="2" s="1"/>
  <c r="AE245" i="2"/>
  <c r="AJ1780" i="2"/>
  <c r="AN1780" i="2" s="1"/>
  <c r="AP1780" i="2" s="1"/>
  <c r="AG244" i="2"/>
  <c r="AH244" i="2" s="1"/>
  <c r="AE169" i="2"/>
  <c r="AJ1704" i="2"/>
  <c r="AN1704" i="2" s="1"/>
  <c r="AP1704" i="2" s="1"/>
  <c r="AG168" i="2"/>
  <c r="AH168" i="2" s="1"/>
  <c r="AN1116" i="2"/>
  <c r="AP1116" i="2" s="1"/>
  <c r="AP21" i="2"/>
  <c r="AM22" i="2"/>
  <c r="AN641" i="2"/>
  <c r="AP641" i="2" s="1"/>
  <c r="AN686" i="2"/>
  <c r="AP686" i="2" s="1"/>
  <c r="AP562" i="2"/>
  <c r="AP554" i="2"/>
  <c r="AP225" i="2"/>
  <c r="AP658" i="2"/>
  <c r="AP566" i="2"/>
  <c r="AP558" i="2"/>
  <c r="AP550" i="2"/>
  <c r="AP257" i="2"/>
  <c r="AP221" i="2"/>
  <c r="AP241" i="2"/>
  <c r="AP273" i="2"/>
  <c r="AP565" i="2"/>
  <c r="AP557" i="2"/>
  <c r="AP465" i="2"/>
  <c r="AP381" i="2"/>
  <c r="AP289" i="2"/>
  <c r="AN20" i="2"/>
  <c r="AP20" i="2" s="1"/>
  <c r="AN24" i="2"/>
  <c r="AN28" i="2"/>
  <c r="AN36" i="2"/>
  <c r="AN40" i="2"/>
  <c r="AN44" i="2"/>
  <c r="AN52" i="2"/>
  <c r="AN56" i="2"/>
  <c r="AN60" i="2"/>
  <c r="AN64" i="2"/>
  <c r="AN68" i="2"/>
  <c r="AN72" i="2"/>
  <c r="AN76" i="2"/>
  <c r="AN80" i="2"/>
  <c r="AN84" i="2"/>
  <c r="AN88" i="2"/>
  <c r="AN92" i="2"/>
  <c r="AN96" i="2"/>
  <c r="AN100" i="2"/>
  <c r="AN104" i="2"/>
  <c r="AN108" i="2"/>
  <c r="AN112" i="2"/>
  <c r="AN116" i="2"/>
  <c r="AN120" i="2"/>
  <c r="AN124" i="2"/>
  <c r="AN128" i="2"/>
  <c r="AN152" i="2"/>
  <c r="AN156" i="2"/>
  <c r="AN160" i="2"/>
  <c r="AN168" i="2"/>
  <c r="AN172" i="2"/>
  <c r="AN184" i="2"/>
  <c r="AN188" i="2"/>
  <c r="AN192" i="2"/>
  <c r="AN204" i="2"/>
  <c r="AN208" i="2"/>
  <c r="AN212" i="2"/>
  <c r="AN216" i="2"/>
  <c r="AN220" i="2"/>
  <c r="AP220" i="2" s="1"/>
  <c r="AN224" i="2"/>
  <c r="AP224" i="2" s="1"/>
  <c r="AN228" i="2"/>
  <c r="AP228" i="2" s="1"/>
  <c r="AN232" i="2"/>
  <c r="AP232" i="2" s="1"/>
  <c r="AN236" i="2"/>
  <c r="AP236" i="2" s="1"/>
  <c r="AN240" i="2"/>
  <c r="AP240" i="2" s="1"/>
  <c r="AN244" i="2"/>
  <c r="AP244" i="2" s="1"/>
  <c r="AN248" i="2"/>
  <c r="AP248" i="2" s="1"/>
  <c r="AN252" i="2"/>
  <c r="AP252" i="2" s="1"/>
  <c r="AN256" i="2"/>
  <c r="AP256" i="2" s="1"/>
  <c r="AN260" i="2"/>
  <c r="AP260" i="2" s="1"/>
  <c r="AN264" i="2"/>
  <c r="AP264" i="2" s="1"/>
  <c r="AN268" i="2"/>
  <c r="AP268" i="2" s="1"/>
  <c r="AN272" i="2"/>
  <c r="AP272" i="2" s="1"/>
  <c r="AN276" i="2"/>
  <c r="AP276" i="2" s="1"/>
  <c r="AN280" i="2"/>
  <c r="AP280" i="2" s="1"/>
  <c r="AN284" i="2"/>
  <c r="AP284" i="2" s="1"/>
  <c r="AN288" i="2"/>
  <c r="AP288" i="2" s="1"/>
  <c r="AN292" i="2"/>
  <c r="AP292" i="2" s="1"/>
  <c r="AN296" i="2"/>
  <c r="AP296" i="2" s="1"/>
  <c r="AN300" i="2"/>
  <c r="AP300" i="2" s="1"/>
  <c r="AN304" i="2"/>
  <c r="AP304" i="2" s="1"/>
  <c r="AN308" i="2"/>
  <c r="AP308" i="2" s="1"/>
  <c r="AN312" i="2"/>
  <c r="AP312" i="2" s="1"/>
  <c r="AN316" i="2"/>
  <c r="AP316" i="2" s="1"/>
  <c r="AN320" i="2"/>
  <c r="AP320" i="2" s="1"/>
  <c r="AN324" i="2"/>
  <c r="AP324" i="2" s="1"/>
  <c r="AN328" i="2"/>
  <c r="AP328" i="2" s="1"/>
  <c r="AN332" i="2"/>
  <c r="AP332" i="2" s="1"/>
  <c r="AN336" i="2"/>
  <c r="AP336" i="2" s="1"/>
  <c r="AN340" i="2"/>
  <c r="AP340" i="2" s="1"/>
  <c r="AN344" i="2"/>
  <c r="AP344" i="2" s="1"/>
  <c r="AN348" i="2"/>
  <c r="AP348" i="2" s="1"/>
  <c r="AN352" i="2"/>
  <c r="AP352" i="2" s="1"/>
  <c r="AN356" i="2"/>
  <c r="AP356" i="2" s="1"/>
  <c r="AN360" i="2"/>
  <c r="AP360" i="2" s="1"/>
  <c r="AN364" i="2"/>
  <c r="AP364" i="2" s="1"/>
  <c r="AN368" i="2"/>
  <c r="AP368" i="2" s="1"/>
  <c r="AN372" i="2"/>
  <c r="AP372" i="2" s="1"/>
  <c r="AN376" i="2"/>
  <c r="AP376" i="2" s="1"/>
  <c r="AN380" i="2"/>
  <c r="AP380" i="2" s="1"/>
  <c r="AN384" i="2"/>
  <c r="AP384" i="2" s="1"/>
  <c r="AN388" i="2"/>
  <c r="AP388" i="2" s="1"/>
  <c r="AN392" i="2"/>
  <c r="AP392" i="2" s="1"/>
  <c r="AN396" i="2"/>
  <c r="AP396" i="2" s="1"/>
  <c r="AP400" i="2"/>
  <c r="AN404" i="2"/>
  <c r="AP404" i="2" s="1"/>
  <c r="AN408" i="2"/>
  <c r="AP408" i="2" s="1"/>
  <c r="AN412" i="2"/>
  <c r="AP412" i="2" s="1"/>
  <c r="AN416" i="2"/>
  <c r="AP416" i="2" s="1"/>
  <c r="AN420" i="2"/>
  <c r="AP420" i="2" s="1"/>
  <c r="AN424" i="2"/>
  <c r="AP424" i="2" s="1"/>
  <c r="AN428" i="2"/>
  <c r="AP428" i="2" s="1"/>
  <c r="AN432" i="2"/>
  <c r="AP432" i="2" s="1"/>
  <c r="AN436" i="2"/>
  <c r="AP436" i="2" s="1"/>
  <c r="AN440" i="2"/>
  <c r="AP440" i="2" s="1"/>
  <c r="AN444" i="2"/>
  <c r="AP444" i="2" s="1"/>
  <c r="AN448" i="2"/>
  <c r="AP448" i="2" s="1"/>
  <c r="AN452" i="2"/>
  <c r="AP452" i="2" s="1"/>
  <c r="AN456" i="2"/>
  <c r="AP456" i="2" s="1"/>
  <c r="AN460" i="2"/>
  <c r="AP460" i="2" s="1"/>
  <c r="AN464" i="2"/>
  <c r="AP464" i="2" s="1"/>
  <c r="AN468" i="2"/>
  <c r="AP468" i="2" s="1"/>
  <c r="AN472" i="2"/>
  <c r="AP472" i="2" s="1"/>
  <c r="AN476" i="2"/>
  <c r="AP476" i="2" s="1"/>
  <c r="AN480" i="2"/>
  <c r="AP480" i="2" s="1"/>
  <c r="AN484" i="2"/>
  <c r="AP484" i="2" s="1"/>
  <c r="AN488" i="2"/>
  <c r="AP488" i="2" s="1"/>
  <c r="AN492" i="2"/>
  <c r="AP492" i="2" s="1"/>
  <c r="AN496" i="2"/>
  <c r="AP496" i="2" s="1"/>
  <c r="AN500" i="2"/>
  <c r="AP500" i="2" s="1"/>
  <c r="AN504" i="2"/>
  <c r="AP504" i="2" s="1"/>
  <c r="AN508" i="2"/>
  <c r="AP508" i="2" s="1"/>
  <c r="AN512" i="2"/>
  <c r="AP512" i="2" s="1"/>
  <c r="AN516" i="2"/>
  <c r="AP516" i="2" s="1"/>
  <c r="AN520" i="2"/>
  <c r="AP520" i="2" s="1"/>
  <c r="AN524" i="2"/>
  <c r="AP524" i="2" s="1"/>
  <c r="AN528" i="2"/>
  <c r="AP528" i="2" s="1"/>
  <c r="AN532" i="2"/>
  <c r="AP532" i="2" s="1"/>
  <c r="AN536" i="2"/>
  <c r="AP536" i="2" s="1"/>
  <c r="AN540" i="2"/>
  <c r="AP540" i="2" s="1"/>
  <c r="AN544" i="2"/>
  <c r="AP544" i="2" s="1"/>
  <c r="AN548" i="2"/>
  <c r="AP548" i="2" s="1"/>
  <c r="AN552" i="2"/>
  <c r="AP552" i="2" s="1"/>
  <c r="AN556" i="2"/>
  <c r="AP556" i="2" s="1"/>
  <c r="AN560" i="2"/>
  <c r="AP560" i="2" s="1"/>
  <c r="AN564" i="2"/>
  <c r="AP564" i="2" s="1"/>
  <c r="AN568" i="2"/>
  <c r="AP568" i="2" s="1"/>
  <c r="AN572" i="2"/>
  <c r="AP572" i="2" s="1"/>
  <c r="AN576" i="2"/>
  <c r="AP576" i="2" s="1"/>
  <c r="AN580" i="2"/>
  <c r="AP580" i="2" s="1"/>
  <c r="AN584" i="2"/>
  <c r="AP584" i="2" s="1"/>
  <c r="AN588" i="2"/>
  <c r="AP588" i="2" s="1"/>
  <c r="AN592" i="2"/>
  <c r="AP592" i="2" s="1"/>
  <c r="AN596" i="2"/>
  <c r="AP596" i="2" s="1"/>
  <c r="AN600" i="2"/>
  <c r="AP600" i="2" s="1"/>
  <c r="AN604" i="2"/>
  <c r="AP604" i="2" s="1"/>
  <c r="AN608" i="2"/>
  <c r="AP608" i="2" s="1"/>
  <c r="AN612" i="2"/>
  <c r="AP612" i="2" s="1"/>
  <c r="AN616" i="2"/>
  <c r="AP616" i="2" s="1"/>
  <c r="AN620" i="2"/>
  <c r="AP620" i="2" s="1"/>
  <c r="AN624" i="2"/>
  <c r="AP624" i="2" s="1"/>
  <c r="AN628" i="2"/>
  <c r="AP628" i="2" s="1"/>
  <c r="AN632" i="2"/>
  <c r="AP632" i="2" s="1"/>
  <c r="AN636" i="2"/>
  <c r="AP636" i="2" s="1"/>
  <c r="AN640" i="2"/>
  <c r="AP640" i="2" s="1"/>
  <c r="AN652" i="2"/>
  <c r="AP652" i="2" s="1"/>
  <c r="AN656" i="2"/>
  <c r="AP656" i="2" s="1"/>
  <c r="AN660" i="2"/>
  <c r="AP660" i="2" s="1"/>
  <c r="AN664" i="2"/>
  <c r="AP664" i="2" s="1"/>
  <c r="AN668" i="2"/>
  <c r="AP668" i="2" s="1"/>
  <c r="AN672" i="2"/>
  <c r="AP672" i="2" s="1"/>
  <c r="AN676" i="2"/>
  <c r="AP676" i="2" s="1"/>
  <c r="AN680" i="2"/>
  <c r="AP680" i="2" s="1"/>
  <c r="AN684" i="2"/>
  <c r="AP684" i="2" s="1"/>
  <c r="AN700" i="2"/>
  <c r="AP700" i="2" s="1"/>
  <c r="AN704" i="2"/>
  <c r="AP704" i="2" s="1"/>
  <c r="AN708" i="2"/>
  <c r="AP708" i="2" s="1"/>
  <c r="AN712" i="2"/>
  <c r="AP712" i="2" s="1"/>
  <c r="AN716" i="2"/>
  <c r="AP716" i="2" s="1"/>
  <c r="AN22" i="2"/>
  <c r="AN62" i="2"/>
  <c r="AN74" i="2"/>
  <c r="AN82" i="2"/>
  <c r="AN90" i="2"/>
  <c r="AN98" i="2"/>
  <c r="AN106" i="2"/>
  <c r="AN114" i="2"/>
  <c r="AN122" i="2"/>
  <c r="AN154" i="2"/>
  <c r="AN162" i="2"/>
  <c r="AN170" i="2"/>
  <c r="AN178" i="2"/>
  <c r="AN186" i="2"/>
  <c r="AN190" i="2"/>
  <c r="AN19" i="2"/>
  <c r="AP19" i="2" s="1"/>
  <c r="AN23" i="2"/>
  <c r="AN27" i="2"/>
  <c r="AN31" i="2"/>
  <c r="AN35" i="2"/>
  <c r="AN39" i="2"/>
  <c r="AN43" i="2"/>
  <c r="AN47" i="2"/>
  <c r="AN51" i="2"/>
  <c r="AN55" i="2"/>
  <c r="AN59" i="2"/>
  <c r="AN63" i="2"/>
  <c r="AN67" i="2"/>
  <c r="AN71" i="2"/>
  <c r="AN75" i="2"/>
  <c r="AN79" i="2"/>
  <c r="AN83" i="2"/>
  <c r="AN87" i="2"/>
  <c r="AN91" i="2"/>
  <c r="AN95" i="2"/>
  <c r="AN99" i="2"/>
  <c r="AN103" i="2"/>
  <c r="AN107" i="2"/>
  <c r="AN111" i="2"/>
  <c r="AN115" i="2"/>
  <c r="AN119" i="2"/>
  <c r="AN151" i="2"/>
  <c r="AN167" i="2"/>
  <c r="AN183" i="2"/>
  <c r="AN199" i="2"/>
  <c r="AN215" i="2"/>
  <c r="AN219" i="2"/>
  <c r="AP219" i="2" s="1"/>
  <c r="AN223" i="2"/>
  <c r="AP223" i="2" s="1"/>
  <c r="AN227" i="2"/>
  <c r="AP227" i="2" s="1"/>
  <c r="AN231" i="2"/>
  <c r="AP231" i="2" s="1"/>
  <c r="AN235" i="2"/>
  <c r="AP235" i="2" s="1"/>
  <c r="AN239" i="2"/>
  <c r="AP239" i="2" s="1"/>
  <c r="AN243" i="2"/>
  <c r="AP243" i="2" s="1"/>
  <c r="AN247" i="2"/>
  <c r="AP247" i="2" s="1"/>
  <c r="AN251" i="2"/>
  <c r="AP251" i="2" s="1"/>
  <c r="AN255" i="2"/>
  <c r="AP255" i="2" s="1"/>
  <c r="AN259" i="2"/>
  <c r="AP259" i="2" s="1"/>
  <c r="AN263" i="2"/>
  <c r="AP263" i="2" s="1"/>
  <c r="AN267" i="2"/>
  <c r="AP267" i="2" s="1"/>
  <c r="AN271" i="2"/>
  <c r="AP271" i="2" s="1"/>
  <c r="AN275" i="2"/>
  <c r="AP275" i="2" s="1"/>
  <c r="AN279" i="2"/>
  <c r="AP279" i="2" s="1"/>
  <c r="AN283" i="2"/>
  <c r="AP283" i="2" s="1"/>
  <c r="AN287" i="2"/>
  <c r="AP287" i="2" s="1"/>
  <c r="AN291" i="2"/>
  <c r="AP291" i="2" s="1"/>
  <c r="AN295" i="2"/>
  <c r="AP295" i="2" s="1"/>
  <c r="AN299" i="2"/>
  <c r="AP299" i="2" s="1"/>
  <c r="AN303" i="2"/>
  <c r="AP303" i="2" s="1"/>
  <c r="AN307" i="2"/>
  <c r="AP307" i="2" s="1"/>
  <c r="AN311" i="2"/>
  <c r="AP311" i="2" s="1"/>
  <c r="AN315" i="2"/>
  <c r="AP315" i="2" s="1"/>
  <c r="AN319" i="2"/>
  <c r="AP319" i="2" s="1"/>
  <c r="AN323" i="2"/>
  <c r="AP323" i="2" s="1"/>
  <c r="AN327" i="2"/>
  <c r="AP327" i="2" s="1"/>
  <c r="AN331" i="2"/>
  <c r="AP331" i="2" s="1"/>
  <c r="AN335" i="2"/>
  <c r="AP335" i="2" s="1"/>
  <c r="AN339" i="2"/>
  <c r="AP339" i="2" s="1"/>
  <c r="AN343" i="2"/>
  <c r="AP343" i="2" s="1"/>
  <c r="AN347" i="2"/>
  <c r="AP347" i="2" s="1"/>
  <c r="AN351" i="2"/>
  <c r="AP351" i="2" s="1"/>
  <c r="AN355" i="2"/>
  <c r="AP355" i="2" s="1"/>
  <c r="AN359" i="2"/>
  <c r="AP359" i="2" s="1"/>
  <c r="AN367" i="2"/>
  <c r="AP367" i="2" s="1"/>
  <c r="AN371" i="2"/>
  <c r="AP371" i="2" s="1"/>
  <c r="AN375" i="2"/>
  <c r="AP375" i="2" s="1"/>
  <c r="AN379" i="2"/>
  <c r="AP379" i="2" s="1"/>
  <c r="AN383" i="2"/>
  <c r="AP383" i="2" s="1"/>
  <c r="AN387" i="2"/>
  <c r="AP387" i="2" s="1"/>
  <c r="AN391" i="2"/>
  <c r="AP391" i="2" s="1"/>
  <c r="AN395" i="2"/>
  <c r="AP395" i="2" s="1"/>
  <c r="AN399" i="2"/>
  <c r="AP399" i="2" s="1"/>
  <c r="AN403" i="2"/>
  <c r="AP403" i="2" s="1"/>
  <c r="AN407" i="2"/>
  <c r="AP407" i="2" s="1"/>
  <c r="AN411" i="2"/>
  <c r="AP411" i="2" s="1"/>
  <c r="AN415" i="2"/>
  <c r="AP415" i="2" s="1"/>
  <c r="AN419" i="2"/>
  <c r="AP419" i="2" s="1"/>
  <c r="AN423" i="2"/>
  <c r="AP423" i="2" s="1"/>
  <c r="AN427" i="2"/>
  <c r="AP427" i="2" s="1"/>
  <c r="AN431" i="2"/>
  <c r="AP431" i="2" s="1"/>
  <c r="AN435" i="2"/>
  <c r="AP435" i="2" s="1"/>
  <c r="AN439" i="2"/>
  <c r="AP439" i="2" s="1"/>
  <c r="AN443" i="2"/>
  <c r="AP443" i="2" s="1"/>
  <c r="AN447" i="2"/>
  <c r="AP447" i="2" s="1"/>
  <c r="AN451" i="2"/>
  <c r="AP451" i="2" s="1"/>
  <c r="AN455" i="2"/>
  <c r="AP455" i="2" s="1"/>
  <c r="AN459" i="2"/>
  <c r="AP459" i="2" s="1"/>
  <c r="AN463" i="2"/>
  <c r="AP463" i="2" s="1"/>
  <c r="AN467" i="2"/>
  <c r="AP467" i="2" s="1"/>
  <c r="AN471" i="2"/>
  <c r="AP471" i="2" s="1"/>
  <c r="AN475" i="2"/>
  <c r="AP475" i="2" s="1"/>
  <c r="AN479" i="2"/>
  <c r="AP479" i="2" s="1"/>
  <c r="AN483" i="2"/>
  <c r="AP483" i="2" s="1"/>
  <c r="AN487" i="2"/>
  <c r="AP487" i="2" s="1"/>
  <c r="AN491" i="2"/>
  <c r="AP491" i="2" s="1"/>
  <c r="AN495" i="2"/>
  <c r="AP495" i="2" s="1"/>
  <c r="AN499" i="2"/>
  <c r="AP499" i="2" s="1"/>
  <c r="AN503" i="2"/>
  <c r="AP503" i="2" s="1"/>
  <c r="AN507" i="2"/>
  <c r="AP507" i="2" s="1"/>
  <c r="AN511" i="2"/>
  <c r="AP511" i="2" s="1"/>
  <c r="AN515" i="2"/>
  <c r="AP515" i="2" s="1"/>
  <c r="AN519" i="2"/>
  <c r="AP519" i="2" s="1"/>
  <c r="AN523" i="2"/>
  <c r="AP523" i="2" s="1"/>
  <c r="AN527" i="2"/>
  <c r="AP527" i="2" s="1"/>
  <c r="AN531" i="2"/>
  <c r="AP531" i="2" s="1"/>
  <c r="AN535" i="2"/>
  <c r="AP535" i="2" s="1"/>
  <c r="AN539" i="2"/>
  <c r="AP539" i="2" s="1"/>
  <c r="AN543" i="2"/>
  <c r="AP543" i="2" s="1"/>
  <c r="AN547" i="2"/>
  <c r="AP547" i="2" s="1"/>
  <c r="AN551" i="2"/>
  <c r="AP551" i="2" s="1"/>
  <c r="AN555" i="2"/>
  <c r="AP555" i="2" s="1"/>
  <c r="AN559" i="2"/>
  <c r="AP559" i="2" s="1"/>
  <c r="AN563" i="2"/>
  <c r="AP563" i="2" s="1"/>
  <c r="AN567" i="2"/>
  <c r="AP567" i="2" s="1"/>
  <c r="AN571" i="2"/>
  <c r="AP571" i="2" s="1"/>
  <c r="AN575" i="2"/>
  <c r="AP575" i="2" s="1"/>
  <c r="AN579" i="2"/>
  <c r="AP579" i="2" s="1"/>
  <c r="AN583" i="2"/>
  <c r="AP583" i="2" s="1"/>
  <c r="AN587" i="2"/>
  <c r="AP587" i="2" s="1"/>
  <c r="AN591" i="2"/>
  <c r="AP591" i="2" s="1"/>
  <c r="AN595" i="2"/>
  <c r="AP595" i="2" s="1"/>
  <c r="AN599" i="2"/>
  <c r="AP599" i="2" s="1"/>
  <c r="AN603" i="2"/>
  <c r="AP603" i="2" s="1"/>
  <c r="AN607" i="2"/>
  <c r="AP607" i="2" s="1"/>
  <c r="AN611" i="2"/>
  <c r="AP611" i="2" s="1"/>
  <c r="AN615" i="2"/>
  <c r="AP615" i="2" s="1"/>
  <c r="AN619" i="2"/>
  <c r="AP619" i="2" s="1"/>
  <c r="AN623" i="2"/>
  <c r="AP623" i="2" s="1"/>
  <c r="AN627" i="2"/>
  <c r="AP627" i="2" s="1"/>
  <c r="AN631" i="2"/>
  <c r="AP631" i="2" s="1"/>
  <c r="AN635" i="2"/>
  <c r="AP635" i="2" s="1"/>
  <c r="AN639" i="2"/>
  <c r="AP639" i="2" s="1"/>
  <c r="AN655" i="2"/>
  <c r="AP655" i="2" s="1"/>
  <c r="AN659" i="2"/>
  <c r="AP659" i="2" s="1"/>
  <c r="AN663" i="2"/>
  <c r="AP663" i="2" s="1"/>
  <c r="AN667" i="2"/>
  <c r="AP667" i="2" s="1"/>
  <c r="AN671" i="2"/>
  <c r="AP671" i="2" s="1"/>
  <c r="AN675" i="2"/>
  <c r="AP675" i="2" s="1"/>
  <c r="AN679" i="2"/>
  <c r="AP679" i="2" s="1"/>
  <c r="AN683" i="2"/>
  <c r="AP683" i="2" s="1"/>
  <c r="AN699" i="2"/>
  <c r="AP699" i="2" s="1"/>
  <c r="AN703" i="2"/>
  <c r="AP703" i="2" s="1"/>
  <c r="AN707" i="2"/>
  <c r="AP707" i="2" s="1"/>
  <c r="AN711" i="2"/>
  <c r="AP711" i="2" s="1"/>
  <c r="AN715" i="2"/>
  <c r="AP715" i="2" s="1"/>
  <c r="AN26" i="2"/>
  <c r="AN30" i="2"/>
  <c r="AN34" i="2"/>
  <c r="AN42" i="2"/>
  <c r="AN46" i="2"/>
  <c r="AN50" i="2"/>
  <c r="AN54" i="2"/>
  <c r="AN58" i="2"/>
  <c r="AN66" i="2"/>
  <c r="AN70" i="2"/>
  <c r="AN78" i="2"/>
  <c r="AN86" i="2"/>
  <c r="AN94" i="2"/>
  <c r="AN102" i="2"/>
  <c r="AN110" i="2"/>
  <c r="AN118" i="2"/>
  <c r="AN126" i="2"/>
  <c r="AN150" i="2"/>
  <c r="AN158" i="2"/>
  <c r="AN166" i="2"/>
  <c r="AN174" i="2"/>
  <c r="AN182" i="2"/>
  <c r="AN363" i="2"/>
  <c r="AP363" i="2" s="1"/>
  <c r="AN529" i="2"/>
  <c r="AP529" i="2" s="1"/>
  <c r="AN521" i="2"/>
  <c r="AP521" i="2" s="1"/>
  <c r="AN522" i="2"/>
  <c r="AP522" i="2" s="1"/>
  <c r="AN333" i="2"/>
  <c r="AP333" i="2" s="1"/>
  <c r="AN285" i="2"/>
  <c r="AP285" i="2" s="1"/>
  <c r="AN269" i="2"/>
  <c r="AP269" i="2" s="1"/>
  <c r="AN253" i="2"/>
  <c r="AP253" i="2" s="1"/>
  <c r="AN237" i="2"/>
  <c r="AP237" i="2" s="1"/>
  <c r="AN209" i="2"/>
  <c r="AN161" i="2"/>
  <c r="AN498" i="2"/>
  <c r="AP498" i="2" s="1"/>
  <c r="AN482" i="2"/>
  <c r="AP482" i="2" s="1"/>
  <c r="AN466" i="2"/>
  <c r="AP466" i="2" s="1"/>
  <c r="AN450" i="2"/>
  <c r="AP450" i="2" s="1"/>
  <c r="AN434" i="2"/>
  <c r="AP434" i="2" s="1"/>
  <c r="AN430" i="2"/>
  <c r="AP430" i="2" s="1"/>
  <c r="AN426" i="2"/>
  <c r="AP426" i="2" s="1"/>
  <c r="AN422" i="2"/>
  <c r="AP422" i="2" s="1"/>
  <c r="AN418" i="2"/>
  <c r="AP418" i="2" s="1"/>
  <c r="AN414" i="2"/>
  <c r="AP414" i="2" s="1"/>
  <c r="AN410" i="2"/>
  <c r="AP410" i="2" s="1"/>
  <c r="AN406" i="2"/>
  <c r="AP406" i="2" s="1"/>
  <c r="AN402" i="2"/>
  <c r="AP402" i="2" s="1"/>
  <c r="AN398" i="2"/>
  <c r="AP398" i="2" s="1"/>
  <c r="AN394" i="2"/>
  <c r="AP394" i="2" s="1"/>
  <c r="AN390" i="2"/>
  <c r="AP390" i="2" s="1"/>
  <c r="AN386" i="2"/>
  <c r="AP386" i="2" s="1"/>
  <c r="AN382" i="2"/>
  <c r="AP382" i="2" s="1"/>
  <c r="AN378" i="2"/>
  <c r="AP378" i="2" s="1"/>
  <c r="AN374" i="2"/>
  <c r="AP374" i="2" s="1"/>
  <c r="AN370" i="2"/>
  <c r="AP370" i="2" s="1"/>
  <c r="AN366" i="2"/>
  <c r="AP366" i="2" s="1"/>
  <c r="AN362" i="2"/>
  <c r="AP362" i="2" s="1"/>
  <c r="AN358" i="2"/>
  <c r="AP358" i="2" s="1"/>
  <c r="AN354" i="2"/>
  <c r="AP354" i="2" s="1"/>
  <c r="AN350" i="2"/>
  <c r="AP350" i="2" s="1"/>
  <c r="AN346" i="2"/>
  <c r="AP346" i="2" s="1"/>
  <c r="AN342" i="2"/>
  <c r="AP342" i="2" s="1"/>
  <c r="AN338" i="2"/>
  <c r="AP338" i="2" s="1"/>
  <c r="AN334" i="2"/>
  <c r="AP334" i="2" s="1"/>
  <c r="AN330" i="2"/>
  <c r="AP330" i="2" s="1"/>
  <c r="AN326" i="2"/>
  <c r="AP326" i="2" s="1"/>
  <c r="AN322" i="2"/>
  <c r="AP322" i="2" s="1"/>
  <c r="AN318" i="2"/>
  <c r="AP318" i="2" s="1"/>
  <c r="AN314" i="2"/>
  <c r="AP314" i="2" s="1"/>
  <c r="AN310" i="2"/>
  <c r="AP310" i="2" s="1"/>
  <c r="AN306" i="2"/>
  <c r="AP306" i="2" s="1"/>
  <c r="AN302" i="2"/>
  <c r="AP302" i="2" s="1"/>
  <c r="AN298" i="2"/>
  <c r="AP298" i="2" s="1"/>
  <c r="AN294" i="2"/>
  <c r="AP294" i="2" s="1"/>
  <c r="AN290" i="2"/>
  <c r="AP290" i="2" s="1"/>
  <c r="AN286" i="2"/>
  <c r="AP286" i="2" s="1"/>
  <c r="AN282" i="2"/>
  <c r="AP282" i="2" s="1"/>
  <c r="AN278" i="2"/>
  <c r="AP278" i="2" s="1"/>
  <c r="AN274" i="2"/>
  <c r="AP274" i="2" s="1"/>
  <c r="AN270" i="2"/>
  <c r="AP270" i="2" s="1"/>
  <c r="AN266" i="2"/>
  <c r="AP266" i="2" s="1"/>
  <c r="AN262" i="2"/>
  <c r="AP262" i="2" s="1"/>
  <c r="AN258" i="2"/>
  <c r="AP258" i="2" s="1"/>
  <c r="AN254" i="2"/>
  <c r="AP254" i="2" s="1"/>
  <c r="AN250" i="2"/>
  <c r="AP250" i="2" s="1"/>
  <c r="AN246" i="2"/>
  <c r="AP246" i="2" s="1"/>
  <c r="AN242" i="2"/>
  <c r="AP242" i="2" s="1"/>
  <c r="AN238" i="2"/>
  <c r="AP238" i="2" s="1"/>
  <c r="AN234" i="2"/>
  <c r="AP234" i="2" s="1"/>
  <c r="AN230" i="2"/>
  <c r="AP230" i="2" s="1"/>
  <c r="AN226" i="2"/>
  <c r="AP226" i="2" s="1"/>
  <c r="AN222" i="2"/>
  <c r="AP222" i="2" s="1"/>
  <c r="AN517" i="2"/>
  <c r="AP517" i="2" s="1"/>
  <c r="AN509" i="2"/>
  <c r="AP509" i="2" s="1"/>
  <c r="AN505" i="2"/>
  <c r="AP505" i="2" s="1"/>
  <c r="AN489" i="2"/>
  <c r="AP489" i="2" s="1"/>
  <c r="AN457" i="2"/>
  <c r="AP457" i="2" s="1"/>
  <c r="AN441" i="2"/>
  <c r="AP441" i="2" s="1"/>
  <c r="AN425" i="2"/>
  <c r="AP425" i="2" s="1"/>
  <c r="AN393" i="2"/>
  <c r="AP393" i="2" s="1"/>
  <c r="AN377" i="2"/>
  <c r="AP377" i="2" s="1"/>
  <c r="AN361" i="2"/>
  <c r="AP361" i="2" s="1"/>
  <c r="AN194" i="2"/>
  <c r="AN198" i="2"/>
  <c r="AN202" i="2"/>
  <c r="AN206" i="2"/>
  <c r="AN210" i="2"/>
  <c r="AN214" i="2"/>
  <c r="AN218" i="2"/>
  <c r="AN501" i="2"/>
  <c r="AP501" i="2" s="1"/>
  <c r="AN469" i="2"/>
  <c r="AP469" i="2" s="1"/>
  <c r="AN453" i="2"/>
  <c r="AP453" i="2" s="1"/>
  <c r="AN437" i="2"/>
  <c r="AP437" i="2" s="1"/>
  <c r="AN405" i="2"/>
  <c r="AP405" i="2" s="1"/>
  <c r="AN389" i="2"/>
  <c r="AP389" i="2" s="1"/>
  <c r="AN373" i="2"/>
  <c r="AP373" i="2" s="1"/>
  <c r="AN341" i="2"/>
  <c r="AP341" i="2" s="1"/>
  <c r="W52" i="2" l="1"/>
  <c r="AJ1075" i="2"/>
  <c r="Y51" i="2"/>
  <c r="Z51" i="2" s="1"/>
  <c r="W94" i="2"/>
  <c r="AJ1117" i="2"/>
  <c r="AN1117" i="2" s="1"/>
  <c r="AP1117" i="2" s="1"/>
  <c r="Y93" i="2"/>
  <c r="Z93" i="2" s="1"/>
  <c r="AE95" i="2"/>
  <c r="AJ1630" i="2"/>
  <c r="AN1630" i="2" s="1"/>
  <c r="AP1630" i="2" s="1"/>
  <c r="AG94" i="2"/>
  <c r="AH94" i="2" s="1"/>
  <c r="AE52" i="2"/>
  <c r="AJ1587" i="2"/>
  <c r="AN1587" i="2" s="1"/>
  <c r="AP1587" i="2" s="1"/>
  <c r="AG51" i="2"/>
  <c r="AH51" i="2" s="1"/>
  <c r="AE246" i="2"/>
  <c r="AJ1781" i="2"/>
  <c r="AN1781" i="2" s="1"/>
  <c r="AP1781" i="2" s="1"/>
  <c r="AG245" i="2"/>
  <c r="AH245" i="2" s="1"/>
  <c r="AE280" i="2"/>
  <c r="AJ1815" i="2"/>
  <c r="AN1815" i="2" s="1"/>
  <c r="AP1815" i="2" s="1"/>
  <c r="AG279" i="2"/>
  <c r="AH279" i="2" s="1"/>
  <c r="AE322" i="2"/>
  <c r="AJ1857" i="2"/>
  <c r="AN1857" i="2" s="1"/>
  <c r="AP1857" i="2" s="1"/>
  <c r="AG321" i="2"/>
  <c r="AH321" i="2" s="1"/>
  <c r="AE356" i="2"/>
  <c r="AJ1891" i="2"/>
  <c r="AN1891" i="2" s="1"/>
  <c r="AP1891" i="2" s="1"/>
  <c r="AG355" i="2"/>
  <c r="AH355" i="2" s="1"/>
  <c r="AE398" i="2"/>
  <c r="AJ1933" i="2"/>
  <c r="AN1933" i="2" s="1"/>
  <c r="AP1933" i="2" s="1"/>
  <c r="AG397" i="2"/>
  <c r="AH397" i="2" s="1"/>
  <c r="W170" i="2"/>
  <c r="AJ1193" i="2"/>
  <c r="AN1193" i="2" s="1"/>
  <c r="AP1193" i="2" s="1"/>
  <c r="Y169" i="2"/>
  <c r="Z169" i="2" s="1"/>
  <c r="W204" i="2"/>
  <c r="AJ1227" i="2"/>
  <c r="AN1227" i="2" s="1"/>
  <c r="AP1227" i="2" s="1"/>
  <c r="Y203" i="2"/>
  <c r="Z203" i="2" s="1"/>
  <c r="W128" i="2"/>
  <c r="AJ1151" i="2"/>
  <c r="AN1151" i="2" s="1"/>
  <c r="AP1151" i="2" s="1"/>
  <c r="Y127" i="2"/>
  <c r="Z127" i="2" s="1"/>
  <c r="W246" i="2"/>
  <c r="AJ1269" i="2"/>
  <c r="AN1269" i="2" s="1"/>
  <c r="AP1269" i="2" s="1"/>
  <c r="Y245" i="2"/>
  <c r="Z245" i="2" s="1"/>
  <c r="AE128" i="2"/>
  <c r="AJ1663" i="2"/>
  <c r="AN1663" i="2" s="1"/>
  <c r="AP1663" i="2" s="1"/>
  <c r="AG127" i="2"/>
  <c r="AH127" i="2" s="1"/>
  <c r="AE170" i="2"/>
  <c r="AJ1705" i="2"/>
  <c r="AN1705" i="2" s="1"/>
  <c r="AP1705" i="2" s="1"/>
  <c r="AG169" i="2"/>
  <c r="AH169" i="2" s="1"/>
  <c r="AE204" i="2"/>
  <c r="AJ1739" i="2"/>
  <c r="AN1739" i="2" s="1"/>
  <c r="AP1739" i="2" s="1"/>
  <c r="AG203" i="2"/>
  <c r="AH203" i="2" s="1"/>
  <c r="AN1075" i="2"/>
  <c r="AP1075" i="2" s="1"/>
  <c r="AP22" i="2"/>
  <c r="AM23" i="2"/>
  <c r="AP23" i="2" s="1"/>
  <c r="AN687" i="2"/>
  <c r="AP687" i="2" s="1"/>
  <c r="AN642" i="2"/>
  <c r="AP642" i="2" s="1"/>
  <c r="AN518" i="2"/>
  <c r="AP518" i="2" s="1"/>
  <c r="AN506" i="2"/>
  <c r="AP506" i="2" s="1"/>
  <c r="AN473" i="2"/>
  <c r="AP473" i="2" s="1"/>
  <c r="AN513" i="2"/>
  <c r="AP513" i="2" s="1"/>
  <c r="AN438" i="2"/>
  <c r="AP438" i="2" s="1"/>
  <c r="AN454" i="2"/>
  <c r="AP454" i="2" s="1"/>
  <c r="AN470" i="2"/>
  <c r="AP470" i="2" s="1"/>
  <c r="AN486" i="2"/>
  <c r="AP486" i="2" s="1"/>
  <c r="AN502" i="2"/>
  <c r="AP502" i="2" s="1"/>
  <c r="AN421" i="2"/>
  <c r="AP421" i="2" s="1"/>
  <c r="AN485" i="2"/>
  <c r="AP485" i="2" s="1"/>
  <c r="AN514" i="2"/>
  <c r="AP514" i="2" s="1"/>
  <c r="AN446" i="2"/>
  <c r="AP446" i="2" s="1"/>
  <c r="AN462" i="2"/>
  <c r="AP462" i="2" s="1"/>
  <c r="AN478" i="2"/>
  <c r="AP478" i="2" s="1"/>
  <c r="AN494" i="2"/>
  <c r="AP494" i="2" s="1"/>
  <c r="AN510" i="2"/>
  <c r="AP510" i="2" s="1"/>
  <c r="AN442" i="2"/>
  <c r="AP442" i="2" s="1"/>
  <c r="AN458" i="2"/>
  <c r="AP458" i="2" s="1"/>
  <c r="AN474" i="2"/>
  <c r="AP474" i="2" s="1"/>
  <c r="AN490" i="2"/>
  <c r="AP490" i="2" s="1"/>
  <c r="AN325" i="2"/>
  <c r="AP325" i="2" s="1"/>
  <c r="AN345" i="2"/>
  <c r="AP345" i="2" s="1"/>
  <c r="AN409" i="2"/>
  <c r="AP409" i="2" s="1"/>
  <c r="AN329" i="2"/>
  <c r="AP329" i="2" s="1"/>
  <c r="AN357" i="2"/>
  <c r="AP357" i="2" s="1"/>
  <c r="AN233" i="2"/>
  <c r="AP233" i="2" s="1"/>
  <c r="AN297" i="2"/>
  <c r="AP297" i="2" s="1"/>
  <c r="AN281" i="2"/>
  <c r="AP281" i="2" s="1"/>
  <c r="AN245" i="2"/>
  <c r="AP245" i="2" s="1"/>
  <c r="AN309" i="2"/>
  <c r="AP309" i="2" s="1"/>
  <c r="AN265" i="2"/>
  <c r="AP265" i="2" s="1"/>
  <c r="AN277" i="2"/>
  <c r="AP277" i="2" s="1"/>
  <c r="AN261" i="2"/>
  <c r="AP261" i="2" s="1"/>
  <c r="AN229" i="2"/>
  <c r="AP229" i="2" s="1"/>
  <c r="AN293" i="2"/>
  <c r="AP293" i="2" s="1"/>
  <c r="AN249" i="2"/>
  <c r="AP249" i="2" s="1"/>
  <c r="AN313" i="2"/>
  <c r="AP313" i="2" s="1"/>
  <c r="AN155" i="2"/>
  <c r="AN164" i="2"/>
  <c r="AN207" i="2"/>
  <c r="AN159" i="2"/>
  <c r="AN189" i="2"/>
  <c r="AN187" i="2"/>
  <c r="AN175" i="2"/>
  <c r="AN123" i="2"/>
  <c r="AN181" i="2"/>
  <c r="AN203" i="2"/>
  <c r="AN127" i="2"/>
  <c r="AN169" i="2"/>
  <c r="AN191" i="2"/>
  <c r="AN157" i="2"/>
  <c r="AN179" i="2"/>
  <c r="AN200" i="2"/>
  <c r="AN176" i="2"/>
  <c r="AN197" i="2"/>
  <c r="AN185" i="2"/>
  <c r="AN173" i="2"/>
  <c r="AN195" i="2"/>
  <c r="AN149" i="2"/>
  <c r="AN171" i="2"/>
  <c r="AN213" i="2"/>
  <c r="AN180" i="2"/>
  <c r="AN201" i="2"/>
  <c r="AN211" i="2"/>
  <c r="AN165" i="2"/>
  <c r="AN153" i="2"/>
  <c r="AN196" i="2"/>
  <c r="AN217" i="2"/>
  <c r="AN163" i="2"/>
  <c r="AN205" i="2"/>
  <c r="AN129" i="2"/>
  <c r="AN37" i="2"/>
  <c r="AN48" i="2"/>
  <c r="AN32" i="2"/>
  <c r="AN38" i="2"/>
  <c r="W205" i="2" l="1"/>
  <c r="AJ1228" i="2"/>
  <c r="AN1228" i="2" s="1"/>
  <c r="AP1228" i="2" s="1"/>
  <c r="Y204" i="2"/>
  <c r="Z204" i="2" s="1"/>
  <c r="AE205" i="2"/>
  <c r="AJ1740" i="2"/>
  <c r="AN1740" i="2" s="1"/>
  <c r="AP1740" i="2" s="1"/>
  <c r="AG204" i="2"/>
  <c r="AH204" i="2" s="1"/>
  <c r="AE357" i="2"/>
  <c r="AJ1892" i="2"/>
  <c r="AN1892" i="2" s="1"/>
  <c r="AP1892" i="2" s="1"/>
  <c r="AG356" i="2"/>
  <c r="AH356" i="2" s="1"/>
  <c r="AE281" i="2"/>
  <c r="AJ1816" i="2"/>
  <c r="AN1816" i="2" s="1"/>
  <c r="AP1816" i="2" s="1"/>
  <c r="AG280" i="2"/>
  <c r="AH280" i="2" s="1"/>
  <c r="W247" i="2"/>
  <c r="AJ1270" i="2"/>
  <c r="AN1270" i="2" s="1"/>
  <c r="AP1270" i="2" s="1"/>
  <c r="Y246" i="2"/>
  <c r="Z246" i="2" s="1"/>
  <c r="W171" i="2"/>
  <c r="AJ1194" i="2"/>
  <c r="AN1194" i="2" s="1"/>
  <c r="AP1194" i="2" s="1"/>
  <c r="Y170" i="2"/>
  <c r="Z170" i="2" s="1"/>
  <c r="W95" i="2"/>
  <c r="AJ1118" i="2"/>
  <c r="Y94" i="2"/>
  <c r="Z94" i="2" s="1"/>
  <c r="AE129" i="2"/>
  <c r="AJ1664" i="2"/>
  <c r="AN1664" i="2" s="1"/>
  <c r="AP1664" i="2" s="1"/>
  <c r="AG128" i="2"/>
  <c r="AH128" i="2" s="1"/>
  <c r="AE96" i="2"/>
  <c r="AJ1631" i="2"/>
  <c r="AN1631" i="2" s="1"/>
  <c r="AP1631" i="2" s="1"/>
  <c r="AG95" i="2"/>
  <c r="AH95" i="2" s="1"/>
  <c r="AE171" i="2"/>
  <c r="AJ1706" i="2"/>
  <c r="AN1706" i="2" s="1"/>
  <c r="AP1706" i="2" s="1"/>
  <c r="AG170" i="2"/>
  <c r="AH170" i="2" s="1"/>
  <c r="AE323" i="2"/>
  <c r="AJ1858" i="2"/>
  <c r="AN1858" i="2" s="1"/>
  <c r="AP1858" i="2" s="1"/>
  <c r="AG322" i="2"/>
  <c r="AH322" i="2" s="1"/>
  <c r="W129" i="2"/>
  <c r="AJ1152" i="2"/>
  <c r="AN1152" i="2" s="1"/>
  <c r="AP1152" i="2" s="1"/>
  <c r="Y128" i="2"/>
  <c r="Z128" i="2" s="1"/>
  <c r="AE53" i="2"/>
  <c r="AJ1588" i="2"/>
  <c r="AN1588" i="2" s="1"/>
  <c r="AP1588" i="2" s="1"/>
  <c r="AG52" i="2"/>
  <c r="AH52" i="2" s="1"/>
  <c r="AE247" i="2"/>
  <c r="AJ1782" i="2"/>
  <c r="AN1782" i="2" s="1"/>
  <c r="AP1782" i="2" s="1"/>
  <c r="AG246" i="2"/>
  <c r="AH246" i="2" s="1"/>
  <c r="AE399" i="2"/>
  <c r="AJ1934" i="2"/>
  <c r="AN1934" i="2" s="1"/>
  <c r="AP1934" i="2" s="1"/>
  <c r="AG398" i="2"/>
  <c r="AH398" i="2" s="1"/>
  <c r="W53" i="2"/>
  <c r="AJ1076" i="2"/>
  <c r="AN1076" i="2" s="1"/>
  <c r="AP1076" i="2" s="1"/>
  <c r="Y52" i="2"/>
  <c r="Z52" i="2" s="1"/>
  <c r="AN1118" i="2"/>
  <c r="AP1118" i="2" s="1"/>
  <c r="AM24" i="2"/>
  <c r="AP24" i="2" s="1"/>
  <c r="AN643" i="2"/>
  <c r="AP643" i="2" s="1"/>
  <c r="AN688" i="2"/>
  <c r="AP688" i="2" s="1"/>
  <c r="AN130" i="2"/>
  <c r="AE324" i="2" l="1"/>
  <c r="AJ1859" i="2"/>
  <c r="AN1859" i="2" s="1"/>
  <c r="AP1859" i="2" s="1"/>
  <c r="AG323" i="2"/>
  <c r="AH323" i="2" s="1"/>
  <c r="W172" i="2"/>
  <c r="AJ1195" i="2"/>
  <c r="AN1195" i="2" s="1"/>
  <c r="AP1195" i="2" s="1"/>
  <c r="Y171" i="2"/>
  <c r="Z171" i="2" s="1"/>
  <c r="AE130" i="2"/>
  <c r="AJ1665" i="2"/>
  <c r="AN1665" i="2" s="1"/>
  <c r="AP1665" i="2" s="1"/>
  <c r="AG129" i="2"/>
  <c r="AH129" i="2" s="1"/>
  <c r="AE358" i="2"/>
  <c r="AJ1893" i="2"/>
  <c r="AN1893" i="2" s="1"/>
  <c r="AP1893" i="2" s="1"/>
  <c r="AG357" i="2"/>
  <c r="AH357" i="2" s="1"/>
  <c r="W54" i="2"/>
  <c r="AJ1077" i="2"/>
  <c r="Y53" i="2"/>
  <c r="Z53" i="2" s="1"/>
  <c r="W130" i="2"/>
  <c r="AJ1153" i="2"/>
  <c r="AN1153" i="2" s="1"/>
  <c r="AP1153" i="2" s="1"/>
  <c r="Y129" i="2"/>
  <c r="Z129" i="2" s="1"/>
  <c r="AE172" i="2"/>
  <c r="AJ1707" i="2"/>
  <c r="AN1707" i="2" s="1"/>
  <c r="AP1707" i="2" s="1"/>
  <c r="AG171" i="2"/>
  <c r="AH171" i="2" s="1"/>
  <c r="W248" i="2"/>
  <c r="AJ1271" i="2"/>
  <c r="AN1271" i="2" s="1"/>
  <c r="AP1271" i="2" s="1"/>
  <c r="Y247" i="2"/>
  <c r="Z247" i="2" s="1"/>
  <c r="AE54" i="2"/>
  <c r="AJ1589" i="2"/>
  <c r="AN1589" i="2" s="1"/>
  <c r="AP1589" i="2" s="1"/>
  <c r="AG53" i="2"/>
  <c r="AH53" i="2" s="1"/>
  <c r="AE400" i="2"/>
  <c r="AJ1935" i="2"/>
  <c r="AN1935" i="2" s="1"/>
  <c r="AP1935" i="2" s="1"/>
  <c r="AG399" i="2"/>
  <c r="AH399" i="2" s="1"/>
  <c r="W96" i="2"/>
  <c r="AJ1119" i="2"/>
  <c r="Y95" i="2"/>
  <c r="Z95" i="2" s="1"/>
  <c r="AE206" i="2"/>
  <c r="AJ1741" i="2"/>
  <c r="AN1741" i="2" s="1"/>
  <c r="AP1741" i="2" s="1"/>
  <c r="AG205" i="2"/>
  <c r="AH205" i="2" s="1"/>
  <c r="AE97" i="2"/>
  <c r="AJ1632" i="2"/>
  <c r="AN1632" i="2" s="1"/>
  <c r="AP1632" i="2" s="1"/>
  <c r="AG96" i="2"/>
  <c r="AH96" i="2" s="1"/>
  <c r="AE282" i="2"/>
  <c r="AJ1817" i="2"/>
  <c r="AN1817" i="2" s="1"/>
  <c r="AP1817" i="2" s="1"/>
  <c r="AG281" i="2"/>
  <c r="AH281" i="2" s="1"/>
  <c r="AE248" i="2"/>
  <c r="AJ1783" i="2"/>
  <c r="AN1783" i="2" s="1"/>
  <c r="AP1783" i="2" s="1"/>
  <c r="AG247" i="2"/>
  <c r="AH247" i="2" s="1"/>
  <c r="W206" i="2"/>
  <c r="AJ1229" i="2"/>
  <c r="AN1229" i="2" s="1"/>
  <c r="AP1229" i="2" s="1"/>
  <c r="Y205" i="2"/>
  <c r="Z205" i="2" s="1"/>
  <c r="AN1119" i="2"/>
  <c r="AP1119" i="2" s="1"/>
  <c r="AN1077" i="2"/>
  <c r="AP1077" i="2" s="1"/>
  <c r="AM25" i="2"/>
  <c r="AP25" i="2" s="1"/>
  <c r="AN689" i="2"/>
  <c r="AP689" i="2" s="1"/>
  <c r="AN644" i="2"/>
  <c r="AP644" i="2" s="1"/>
  <c r="AN1713" i="2"/>
  <c r="AP1713" i="2" s="1"/>
  <c r="AN131" i="2"/>
  <c r="AE283" i="2" l="1"/>
  <c r="AJ1818" i="2"/>
  <c r="AN1818" i="2" s="1"/>
  <c r="AP1818" i="2" s="1"/>
  <c r="AG282" i="2"/>
  <c r="AH282" i="2" s="1"/>
  <c r="W131" i="2"/>
  <c r="AJ1154" i="2"/>
  <c r="AN1154" i="2" s="1"/>
  <c r="AP1154" i="2" s="1"/>
  <c r="Y130" i="2"/>
  <c r="Z130" i="2" s="1"/>
  <c r="W97" i="2"/>
  <c r="AJ1120" i="2"/>
  <c r="AN1120" i="2" s="1"/>
  <c r="AP1120" i="2" s="1"/>
  <c r="Y96" i="2"/>
  <c r="Z96" i="2" s="1"/>
  <c r="AE131" i="2"/>
  <c r="AJ1666" i="2"/>
  <c r="AN1666" i="2" s="1"/>
  <c r="AP1666" i="2" s="1"/>
  <c r="AG130" i="2"/>
  <c r="AH130" i="2" s="1"/>
  <c r="W207" i="2"/>
  <c r="AJ1230" i="2"/>
  <c r="AN1230" i="2" s="1"/>
  <c r="AP1230" i="2" s="1"/>
  <c r="Y206" i="2"/>
  <c r="Z206" i="2" s="1"/>
  <c r="W249" i="2"/>
  <c r="AJ1272" i="2"/>
  <c r="AN1272" i="2" s="1"/>
  <c r="AP1272" i="2" s="1"/>
  <c r="Y248" i="2"/>
  <c r="Z248" i="2" s="1"/>
  <c r="AE401" i="2"/>
  <c r="AJ1936" i="2"/>
  <c r="AN1936" i="2" s="1"/>
  <c r="AP1936" i="2" s="1"/>
  <c r="AG400" i="2"/>
  <c r="AH400" i="2" s="1"/>
  <c r="W173" i="2"/>
  <c r="AJ1196" i="2"/>
  <c r="AN1196" i="2" s="1"/>
  <c r="AP1196" i="2" s="1"/>
  <c r="Y172" i="2"/>
  <c r="Z172" i="2" s="1"/>
  <c r="AE249" i="2"/>
  <c r="AJ1784" i="2"/>
  <c r="AN1784" i="2" s="1"/>
  <c r="AP1784" i="2" s="1"/>
  <c r="AG248" i="2"/>
  <c r="AH248" i="2" s="1"/>
  <c r="AE173" i="2"/>
  <c r="AJ1708" i="2"/>
  <c r="AN1708" i="2" s="1"/>
  <c r="AP1708" i="2" s="1"/>
  <c r="AG172" i="2"/>
  <c r="AH172" i="2" s="1"/>
  <c r="AE98" i="2"/>
  <c r="AJ1633" i="2"/>
  <c r="AN1633" i="2" s="1"/>
  <c r="AP1633" i="2" s="1"/>
  <c r="AG97" i="2"/>
  <c r="AH97" i="2" s="1"/>
  <c r="AE207" i="2"/>
  <c r="AJ1742" i="2"/>
  <c r="AN1742" i="2" s="1"/>
  <c r="AP1742" i="2" s="1"/>
  <c r="AG206" i="2"/>
  <c r="AH206" i="2" s="1"/>
  <c r="AE359" i="2"/>
  <c r="AJ1894" i="2"/>
  <c r="AN1894" i="2" s="1"/>
  <c r="AP1894" i="2" s="1"/>
  <c r="AG358" i="2"/>
  <c r="AH358" i="2" s="1"/>
  <c r="W55" i="2"/>
  <c r="AJ1078" i="2"/>
  <c r="Y54" i="2"/>
  <c r="Z54" i="2" s="1"/>
  <c r="AE55" i="2"/>
  <c r="AJ1590" i="2"/>
  <c r="AN1590" i="2" s="1"/>
  <c r="AP1590" i="2" s="1"/>
  <c r="AG54" i="2"/>
  <c r="AH54" i="2" s="1"/>
  <c r="AE325" i="2"/>
  <c r="AJ1860" i="2"/>
  <c r="AN1860" i="2" s="1"/>
  <c r="AP1860" i="2" s="1"/>
  <c r="AG324" i="2"/>
  <c r="AH324" i="2" s="1"/>
  <c r="AN1078" i="2"/>
  <c r="AP1078" i="2" s="1"/>
  <c r="AN1201" i="2"/>
  <c r="AP1201" i="2" s="1"/>
  <c r="AM26" i="2"/>
  <c r="AP26" i="2" s="1"/>
  <c r="AN645" i="2"/>
  <c r="AP645" i="2" s="1"/>
  <c r="AN690" i="2"/>
  <c r="AP690" i="2" s="1"/>
  <c r="AN1714" i="2"/>
  <c r="AP1714" i="2" s="1"/>
  <c r="AN132" i="2"/>
  <c r="AE99" i="2" l="1"/>
  <c r="AJ1634" i="2"/>
  <c r="AN1634" i="2" s="1"/>
  <c r="AP1634" i="2" s="1"/>
  <c r="AG98" i="2"/>
  <c r="AH98" i="2" s="1"/>
  <c r="W98" i="2"/>
  <c r="AJ1121" i="2"/>
  <c r="AN1121" i="2" s="1"/>
  <c r="AP1121" i="2" s="1"/>
  <c r="Y97" i="2"/>
  <c r="Z97" i="2" s="1"/>
  <c r="W250" i="2"/>
  <c r="AJ1273" i="2"/>
  <c r="AN1273" i="2" s="1"/>
  <c r="AP1273" i="2" s="1"/>
  <c r="Y249" i="2"/>
  <c r="Z249" i="2" s="1"/>
  <c r="AE326" i="2"/>
  <c r="AJ1861" i="2"/>
  <c r="AN1861" i="2" s="1"/>
  <c r="AP1861" i="2" s="1"/>
  <c r="AG325" i="2"/>
  <c r="AH325" i="2" s="1"/>
  <c r="W174" i="2"/>
  <c r="AJ1197" i="2"/>
  <c r="AN1197" i="2" s="1"/>
  <c r="AP1197" i="2" s="1"/>
  <c r="Y173" i="2"/>
  <c r="Z173" i="2" s="1"/>
  <c r="AE360" i="2"/>
  <c r="AJ1895" i="2"/>
  <c r="AN1895" i="2" s="1"/>
  <c r="AP1895" i="2" s="1"/>
  <c r="AG359" i="2"/>
  <c r="AH359" i="2" s="1"/>
  <c r="W208" i="2"/>
  <c r="AJ1231" i="2"/>
  <c r="AN1231" i="2" s="1"/>
  <c r="AP1231" i="2" s="1"/>
  <c r="Y207" i="2"/>
  <c r="Z207" i="2" s="1"/>
  <c r="AE174" i="2"/>
  <c r="AJ1709" i="2"/>
  <c r="AN1709" i="2" s="1"/>
  <c r="AP1709" i="2" s="1"/>
  <c r="AG173" i="2"/>
  <c r="AH173" i="2" s="1"/>
  <c r="W132" i="2"/>
  <c r="AJ1155" i="2"/>
  <c r="AN1155" i="2" s="1"/>
  <c r="AP1155" i="2" s="1"/>
  <c r="Y131" i="2"/>
  <c r="Z131" i="2" s="1"/>
  <c r="W56" i="2"/>
  <c r="AJ1079" i="2"/>
  <c r="AN1079" i="2" s="1"/>
  <c r="AP1079" i="2" s="1"/>
  <c r="Y55" i="2"/>
  <c r="Z55" i="2" s="1"/>
  <c r="AE56" i="2"/>
  <c r="AJ1591" i="2"/>
  <c r="AN1591" i="2" s="1"/>
  <c r="AP1591" i="2" s="1"/>
  <c r="AG55" i="2"/>
  <c r="AH55" i="2" s="1"/>
  <c r="AE402" i="2"/>
  <c r="AJ1937" i="2"/>
  <c r="AN1937" i="2" s="1"/>
  <c r="AP1937" i="2" s="1"/>
  <c r="AG401" i="2"/>
  <c r="AH401" i="2" s="1"/>
  <c r="AE208" i="2"/>
  <c r="AJ1743" i="2"/>
  <c r="AN1743" i="2" s="1"/>
  <c r="AP1743" i="2" s="1"/>
  <c r="AG207" i="2"/>
  <c r="AH207" i="2" s="1"/>
  <c r="AE132" i="2"/>
  <c r="AJ1667" i="2"/>
  <c r="AN1667" i="2" s="1"/>
  <c r="AP1667" i="2" s="1"/>
  <c r="AG131" i="2"/>
  <c r="AH131" i="2" s="1"/>
  <c r="AE250" i="2"/>
  <c r="AJ1785" i="2"/>
  <c r="AN1785" i="2" s="1"/>
  <c r="AP1785" i="2" s="1"/>
  <c r="AG249" i="2"/>
  <c r="AH249" i="2" s="1"/>
  <c r="AE284" i="2"/>
  <c r="AJ1819" i="2"/>
  <c r="AN1819" i="2" s="1"/>
  <c r="AP1819" i="2" s="1"/>
  <c r="AG283" i="2"/>
  <c r="AH283" i="2" s="1"/>
  <c r="AN1202" i="2"/>
  <c r="AP1202" i="2" s="1"/>
  <c r="AM27" i="2"/>
  <c r="AP27" i="2" s="1"/>
  <c r="AN691" i="2"/>
  <c r="AP691" i="2" s="1"/>
  <c r="AN646" i="2"/>
  <c r="AP646" i="2" s="1"/>
  <c r="AN1715" i="2"/>
  <c r="AP1715" i="2" s="1"/>
  <c r="AN133" i="2"/>
  <c r="AE133" i="2" l="1"/>
  <c r="AJ1668" i="2"/>
  <c r="AN1668" i="2" s="1"/>
  <c r="AP1668" i="2" s="1"/>
  <c r="AG132" i="2"/>
  <c r="AH132" i="2" s="1"/>
  <c r="AE57" i="2"/>
  <c r="AJ1592" i="2"/>
  <c r="AN1592" i="2" s="1"/>
  <c r="AP1592" i="2" s="1"/>
  <c r="AG56" i="2"/>
  <c r="AH56" i="2" s="1"/>
  <c r="W251" i="2"/>
  <c r="AJ1274" i="2"/>
  <c r="AN1274" i="2" s="1"/>
  <c r="AP1274" i="2" s="1"/>
  <c r="Y250" i="2"/>
  <c r="Z250" i="2" s="1"/>
  <c r="AE361" i="2"/>
  <c r="AJ1896" i="2"/>
  <c r="AN1896" i="2" s="1"/>
  <c r="AP1896" i="2" s="1"/>
  <c r="AG360" i="2"/>
  <c r="AH360" i="2" s="1"/>
  <c r="AE285" i="2"/>
  <c r="AJ1820" i="2"/>
  <c r="AN1820" i="2" s="1"/>
  <c r="AP1820" i="2" s="1"/>
  <c r="AG284" i="2"/>
  <c r="AH284" i="2" s="1"/>
  <c r="AE175" i="2"/>
  <c r="AJ1710" i="2"/>
  <c r="AN1710" i="2" s="1"/>
  <c r="AP1710" i="2" s="1"/>
  <c r="AG174" i="2"/>
  <c r="AH174" i="2" s="1"/>
  <c r="W57" i="2"/>
  <c r="AJ1080" i="2"/>
  <c r="Y56" i="2"/>
  <c r="Z56" i="2" s="1"/>
  <c r="W99" i="2"/>
  <c r="AJ1122" i="2"/>
  <c r="Y98" i="2"/>
  <c r="Z98" i="2" s="1"/>
  <c r="AE251" i="2"/>
  <c r="AJ1786" i="2"/>
  <c r="AN1786" i="2" s="1"/>
  <c r="AP1786" i="2" s="1"/>
  <c r="AG250" i="2"/>
  <c r="AH250" i="2" s="1"/>
  <c r="W209" i="2"/>
  <c r="AJ1232" i="2"/>
  <c r="AN1232" i="2" s="1"/>
  <c r="AP1232" i="2" s="1"/>
  <c r="Y208" i="2"/>
  <c r="Z208" i="2" s="1"/>
  <c r="AE403" i="2"/>
  <c r="AJ1938" i="2"/>
  <c r="AN1938" i="2" s="1"/>
  <c r="AP1938" i="2" s="1"/>
  <c r="AG402" i="2"/>
  <c r="AH402" i="2" s="1"/>
  <c r="AE327" i="2"/>
  <c r="AJ1862" i="2"/>
  <c r="AN1862" i="2" s="1"/>
  <c r="AP1862" i="2" s="1"/>
  <c r="AG326" i="2"/>
  <c r="AH326" i="2" s="1"/>
  <c r="AE209" i="2"/>
  <c r="AJ1744" i="2"/>
  <c r="AN1744" i="2" s="1"/>
  <c r="AP1744" i="2" s="1"/>
  <c r="AG208" i="2"/>
  <c r="AH208" i="2" s="1"/>
  <c r="W175" i="2"/>
  <c r="AJ1198" i="2"/>
  <c r="AN1198" i="2" s="1"/>
  <c r="AP1198" i="2" s="1"/>
  <c r="Y174" i="2"/>
  <c r="Z174" i="2" s="1"/>
  <c r="W133" i="2"/>
  <c r="AJ1156" i="2"/>
  <c r="AN1156" i="2" s="1"/>
  <c r="AP1156" i="2" s="1"/>
  <c r="Y132" i="2"/>
  <c r="Z132" i="2" s="1"/>
  <c r="AE100" i="2"/>
  <c r="AJ1635" i="2"/>
  <c r="AN1635" i="2" s="1"/>
  <c r="AP1635" i="2" s="1"/>
  <c r="AG99" i="2"/>
  <c r="AH99" i="2" s="1"/>
  <c r="AN1122" i="2"/>
  <c r="AP1122" i="2" s="1"/>
  <c r="AN1203" i="2"/>
  <c r="AP1203" i="2" s="1"/>
  <c r="AN1080" i="2"/>
  <c r="AP1080" i="2" s="1"/>
  <c r="AM28" i="2"/>
  <c r="AP28" i="2" s="1"/>
  <c r="AN647" i="2"/>
  <c r="AP647" i="2" s="1"/>
  <c r="AN692" i="2"/>
  <c r="AP692" i="2" s="1"/>
  <c r="AN1159" i="2"/>
  <c r="AP1159" i="2" s="1"/>
  <c r="AN1671" i="2"/>
  <c r="AP1671" i="2" s="1"/>
  <c r="AN1716" i="2"/>
  <c r="AP1716" i="2" s="1"/>
  <c r="AN134" i="2"/>
  <c r="AE404" i="2" l="1"/>
  <c r="AJ1939" i="2"/>
  <c r="AN1939" i="2" s="1"/>
  <c r="AP1939" i="2" s="1"/>
  <c r="AG403" i="2"/>
  <c r="AH403" i="2" s="1"/>
  <c r="W252" i="2"/>
  <c r="AJ1275" i="2"/>
  <c r="AN1275" i="2" s="1"/>
  <c r="AP1275" i="2" s="1"/>
  <c r="Y251" i="2"/>
  <c r="Z251" i="2" s="1"/>
  <c r="AJ1636" i="2"/>
  <c r="AN1636" i="2" s="1"/>
  <c r="AP1636" i="2" s="1"/>
  <c r="AG100" i="2"/>
  <c r="AH100" i="2" s="1"/>
  <c r="AE210" i="2"/>
  <c r="AJ1745" i="2"/>
  <c r="AN1745" i="2" s="1"/>
  <c r="AP1745" i="2" s="1"/>
  <c r="AG209" i="2"/>
  <c r="AH209" i="2" s="1"/>
  <c r="AE286" i="2"/>
  <c r="AJ1821" i="2"/>
  <c r="AN1821" i="2" s="1"/>
  <c r="AP1821" i="2" s="1"/>
  <c r="AG285" i="2"/>
  <c r="AH285" i="2" s="1"/>
  <c r="W210" i="2"/>
  <c r="AJ1233" i="2"/>
  <c r="AN1233" i="2" s="1"/>
  <c r="AP1233" i="2" s="1"/>
  <c r="Y209" i="2"/>
  <c r="Z209" i="2" s="1"/>
  <c r="AE58" i="2"/>
  <c r="AJ1593" i="2"/>
  <c r="AN1593" i="2" s="1"/>
  <c r="AP1593" i="2" s="1"/>
  <c r="AG57" i="2"/>
  <c r="AH57" i="2" s="1"/>
  <c r="W176" i="2"/>
  <c r="AJ1199" i="2"/>
  <c r="AN1199" i="2" s="1"/>
  <c r="AP1199" i="2" s="1"/>
  <c r="Y175" i="2"/>
  <c r="Z175" i="2" s="1"/>
  <c r="W100" i="2"/>
  <c r="AJ1123" i="2"/>
  <c r="Y99" i="2"/>
  <c r="Z99" i="2" s="1"/>
  <c r="W134" i="2"/>
  <c r="AJ1157" i="2"/>
  <c r="AN1157" i="2" s="1"/>
  <c r="AP1157" i="2" s="1"/>
  <c r="Y133" i="2"/>
  <c r="Z133" i="2" s="1"/>
  <c r="W58" i="2"/>
  <c r="AJ1081" i="2"/>
  <c r="AN1081" i="2" s="1"/>
  <c r="AP1081" i="2" s="1"/>
  <c r="Y57" i="2"/>
  <c r="Z57" i="2" s="1"/>
  <c r="AE176" i="2"/>
  <c r="AJ1711" i="2"/>
  <c r="AN1711" i="2" s="1"/>
  <c r="AP1711" i="2" s="1"/>
  <c r="AG175" i="2"/>
  <c r="AH175" i="2" s="1"/>
  <c r="AE328" i="2"/>
  <c r="AJ1863" i="2"/>
  <c r="AN1863" i="2" s="1"/>
  <c r="AP1863" i="2" s="1"/>
  <c r="AG327" i="2"/>
  <c r="AH327" i="2" s="1"/>
  <c r="AE362" i="2"/>
  <c r="AJ1897" i="2"/>
  <c r="AN1897" i="2" s="1"/>
  <c r="AP1897" i="2" s="1"/>
  <c r="AG361" i="2"/>
  <c r="AH361" i="2" s="1"/>
  <c r="AE252" i="2"/>
  <c r="AJ1787" i="2"/>
  <c r="AN1787" i="2" s="1"/>
  <c r="AP1787" i="2" s="1"/>
  <c r="AG251" i="2"/>
  <c r="AH251" i="2" s="1"/>
  <c r="AE134" i="2"/>
  <c r="AJ1669" i="2"/>
  <c r="AN1669" i="2" s="1"/>
  <c r="AP1669" i="2" s="1"/>
  <c r="AG133" i="2"/>
  <c r="AH133" i="2" s="1"/>
  <c r="AN1204" i="2"/>
  <c r="AP1204" i="2" s="1"/>
  <c r="AN1123" i="2"/>
  <c r="AP1123" i="2" s="1"/>
  <c r="AM29" i="2"/>
  <c r="AP29" i="2" s="1"/>
  <c r="AN693" i="2"/>
  <c r="AP693" i="2" s="1"/>
  <c r="AN648" i="2"/>
  <c r="AP648" i="2" s="1"/>
  <c r="AN1160" i="2"/>
  <c r="AP1160" i="2" s="1"/>
  <c r="AN1717" i="2"/>
  <c r="AP1717" i="2" s="1"/>
  <c r="AN1672" i="2"/>
  <c r="AP1672" i="2" s="1"/>
  <c r="AN135" i="2"/>
  <c r="AJ1124" i="2" l="1"/>
  <c r="Y100" i="2"/>
  <c r="Z100" i="2" s="1"/>
  <c r="AJ1898" i="2"/>
  <c r="AN1898" i="2" s="1"/>
  <c r="AP1898" i="2" s="1"/>
  <c r="AG362" i="2"/>
  <c r="AH362" i="2" s="1"/>
  <c r="AJ1234" i="2"/>
  <c r="AN1234" i="2" s="1"/>
  <c r="AP1234" i="2" s="1"/>
  <c r="Y210" i="2"/>
  <c r="Z210" i="2" s="1"/>
  <c r="AJ1082" i="2"/>
  <c r="Y58" i="2"/>
  <c r="Z58" i="2" s="1"/>
  <c r="AJ1670" i="2"/>
  <c r="AN1670" i="2" s="1"/>
  <c r="AP1670" i="2" s="1"/>
  <c r="AG134" i="2"/>
  <c r="AH134" i="2" s="1"/>
  <c r="AJ1200" i="2"/>
  <c r="AN1200" i="2" s="1"/>
  <c r="AP1200" i="2" s="1"/>
  <c r="Y176" i="2"/>
  <c r="Z176" i="2" s="1"/>
  <c r="AJ1864" i="2"/>
  <c r="AN1864" i="2" s="1"/>
  <c r="AP1864" i="2" s="1"/>
  <c r="AG328" i="2"/>
  <c r="AH328" i="2" s="1"/>
  <c r="AJ1822" i="2"/>
  <c r="AN1822" i="2" s="1"/>
  <c r="AP1822" i="2" s="1"/>
  <c r="AG286" i="2"/>
  <c r="AH286" i="2" s="1"/>
  <c r="AJ1276" i="2"/>
  <c r="AN1276" i="2" s="1"/>
  <c r="AP1276" i="2" s="1"/>
  <c r="Y252" i="2"/>
  <c r="Z252" i="2" s="1"/>
  <c r="K6" i="2"/>
  <c r="S6" i="2" s="1"/>
  <c r="AJ1158" i="2"/>
  <c r="AN1158" i="2" s="1"/>
  <c r="AP1158" i="2" s="1"/>
  <c r="Y134" i="2"/>
  <c r="Z134" i="2" s="1"/>
  <c r="AJ1788" i="2"/>
  <c r="AN1788" i="2" s="1"/>
  <c r="AP1788" i="2" s="1"/>
  <c r="AG252" i="2"/>
  <c r="AH252" i="2" s="1"/>
  <c r="AJ1594" i="2"/>
  <c r="AN1594" i="2" s="1"/>
  <c r="AP1594" i="2" s="1"/>
  <c r="AG58" i="2"/>
  <c r="AH58" i="2" s="1"/>
  <c r="AJ1712" i="2"/>
  <c r="AN1712" i="2" s="1"/>
  <c r="AP1712" i="2" s="1"/>
  <c r="AG176" i="2"/>
  <c r="AH176" i="2" s="1"/>
  <c r="AJ1746" i="2"/>
  <c r="AN1746" i="2" s="1"/>
  <c r="AP1746" i="2" s="1"/>
  <c r="AG210" i="2"/>
  <c r="AH210" i="2" s="1"/>
  <c r="AJ1940" i="2"/>
  <c r="AN1940" i="2" s="1"/>
  <c r="AP1940" i="2" s="1"/>
  <c r="AG404" i="2"/>
  <c r="AN1082" i="2"/>
  <c r="AP1082" i="2" s="1"/>
  <c r="AN1124" i="2"/>
  <c r="AP1124" i="2" s="1"/>
  <c r="AN1205" i="2"/>
  <c r="AP1205" i="2" s="1"/>
  <c r="AM30" i="2"/>
  <c r="AP30" i="2" s="1"/>
  <c r="AN649" i="2"/>
  <c r="AP649" i="2" s="1"/>
  <c r="AN694" i="2"/>
  <c r="AP694" i="2" s="1"/>
  <c r="AN1673" i="2"/>
  <c r="AP1673" i="2" s="1"/>
  <c r="AN1718" i="2"/>
  <c r="AP1718" i="2" s="1"/>
  <c r="AN1206" i="2"/>
  <c r="AP1206" i="2" s="1"/>
  <c r="AN1161" i="2"/>
  <c r="AP1161" i="2" s="1"/>
  <c r="AN136" i="2"/>
  <c r="AH6" i="2" l="1"/>
  <c r="AA6" i="2"/>
  <c r="AI6" i="2" s="1"/>
  <c r="AH7" i="2"/>
  <c r="AH9" i="2"/>
  <c r="AH8" i="2"/>
  <c r="AH404" i="2"/>
  <c r="AG16" i="2"/>
  <c r="AG15" i="2"/>
  <c r="Y16" i="2"/>
  <c r="Z16" i="2"/>
  <c r="Y15" i="2"/>
  <c r="AM31" i="2"/>
  <c r="AP31" i="2" s="1"/>
  <c r="AN696" i="2"/>
  <c r="AP696" i="2" s="1"/>
  <c r="AN695" i="2"/>
  <c r="AP695" i="2" s="1"/>
  <c r="AN651" i="2"/>
  <c r="AP651" i="2" s="1"/>
  <c r="AN650" i="2"/>
  <c r="AP650" i="2" s="1"/>
  <c r="AN1163" i="2"/>
  <c r="AP1163" i="2" s="1"/>
  <c r="AN1162" i="2"/>
  <c r="AP1162" i="2" s="1"/>
  <c r="AN1720" i="2"/>
  <c r="AP1720" i="2" s="1"/>
  <c r="AN1719" i="2"/>
  <c r="AP1719" i="2" s="1"/>
  <c r="AN1208" i="2"/>
  <c r="AP1208" i="2" s="1"/>
  <c r="AN1207" i="2"/>
  <c r="AP1207" i="2" s="1"/>
  <c r="AN1674" i="2"/>
  <c r="AP1674" i="2" s="1"/>
  <c r="AN138" i="2"/>
  <c r="AN140" i="2"/>
  <c r="AN146" i="2"/>
  <c r="AN137" i="2"/>
  <c r="AN148" i="2"/>
  <c r="AN141" i="2"/>
  <c r="AN147" i="2"/>
  <c r="AN145" i="2"/>
  <c r="AN142" i="2"/>
  <c r="AN139" i="2"/>
  <c r="AN144" i="2"/>
  <c r="AN143" i="2"/>
  <c r="AH15" i="2" l="1"/>
  <c r="AH16" i="2"/>
  <c r="Z15" i="2"/>
  <c r="AM32" i="2"/>
  <c r="AP32" i="2" s="1"/>
  <c r="AN1676" i="2"/>
  <c r="AP1676" i="2" s="1"/>
  <c r="AN1675" i="2"/>
  <c r="AP1675" i="2" s="1"/>
  <c r="AM33" i="2" l="1"/>
  <c r="AP33" i="2" s="1"/>
  <c r="AM34" i="2" l="1"/>
  <c r="AP34" i="2" s="1"/>
  <c r="AM35" i="2" l="1"/>
  <c r="AP35" i="2" s="1"/>
  <c r="AM36" i="2" l="1"/>
  <c r="AP36" i="2" s="1"/>
  <c r="AM37" i="2" l="1"/>
  <c r="AP37" i="2" s="1"/>
  <c r="AP38" i="2" l="1"/>
  <c r="AM39" i="2" l="1"/>
  <c r="AP39" i="2" s="1"/>
  <c r="AM40" i="2" l="1"/>
  <c r="AP40" i="2" s="1"/>
  <c r="AM41" i="2" l="1"/>
  <c r="AP41" i="2" s="1"/>
  <c r="AM42" i="2" l="1"/>
  <c r="AP42" i="2" s="1"/>
  <c r="AM43" i="2" l="1"/>
  <c r="AP43" i="2" s="1"/>
  <c r="AM44" i="2" l="1"/>
  <c r="AP44" i="2" s="1"/>
  <c r="AM45" i="2" l="1"/>
  <c r="AP45" i="2" s="1"/>
  <c r="AM46" i="2" l="1"/>
  <c r="AP46" i="2" s="1"/>
  <c r="AM47" i="2" l="1"/>
  <c r="AP47" i="2" s="1"/>
  <c r="AM48" i="2" l="1"/>
  <c r="AP48" i="2" s="1"/>
  <c r="AM49" i="2" l="1"/>
  <c r="AP49" i="2" s="1"/>
  <c r="AM50" i="2" l="1"/>
  <c r="AP50" i="2" s="1"/>
  <c r="AM51" i="2" l="1"/>
  <c r="AP51" i="2" s="1"/>
  <c r="AM52" i="2" l="1"/>
  <c r="AP52" i="2" s="1"/>
  <c r="AM53" i="2" l="1"/>
  <c r="AP53" i="2" s="1"/>
  <c r="AM54" i="2" l="1"/>
  <c r="AP54" i="2" s="1"/>
  <c r="AM55" i="2" l="1"/>
  <c r="AP55" i="2" s="1"/>
  <c r="AM56" i="2" l="1"/>
  <c r="AP56" i="2" s="1"/>
  <c r="AM57" i="2" l="1"/>
  <c r="AP57" i="2" s="1"/>
  <c r="AM58" i="2" l="1"/>
  <c r="AP58" i="2" s="1"/>
  <c r="AM59" i="2" l="1"/>
  <c r="AP59" i="2" s="1"/>
  <c r="AM60" i="2" l="1"/>
  <c r="AP60" i="2" s="1"/>
  <c r="AM61" i="2" l="1"/>
  <c r="AP61" i="2" s="1"/>
  <c r="AM62" i="2" l="1"/>
  <c r="AP62" i="2" s="1"/>
  <c r="AM63" i="2" l="1"/>
  <c r="AP63" i="2" s="1"/>
  <c r="AM64" i="2" l="1"/>
  <c r="AP64" i="2" s="1"/>
  <c r="AM65" i="2" l="1"/>
  <c r="AP65" i="2" s="1"/>
  <c r="AM66" i="2" l="1"/>
  <c r="AP66" i="2" s="1"/>
  <c r="AM67" i="2" l="1"/>
  <c r="AP67" i="2" s="1"/>
  <c r="AM68" i="2" l="1"/>
  <c r="AP68" i="2" s="1"/>
  <c r="AM69" i="2" l="1"/>
  <c r="AP69" i="2" s="1"/>
  <c r="AM70" i="2" l="1"/>
  <c r="AP70" i="2" s="1"/>
  <c r="AM71" i="2" l="1"/>
  <c r="AP71" i="2" s="1"/>
  <c r="AM72" i="2" l="1"/>
  <c r="AP72" i="2" s="1"/>
  <c r="AM73" i="2" l="1"/>
  <c r="AP73" i="2" s="1"/>
  <c r="AM74" i="2" l="1"/>
  <c r="AP74" i="2" s="1"/>
  <c r="AM75" i="2" l="1"/>
  <c r="AP75" i="2" s="1"/>
  <c r="AM76" i="2" l="1"/>
  <c r="AP76" i="2" s="1"/>
  <c r="AM77" i="2" l="1"/>
  <c r="AP77" i="2" s="1"/>
  <c r="AM78" i="2" l="1"/>
  <c r="AP78" i="2" s="1"/>
  <c r="AM79" i="2" l="1"/>
  <c r="AP79" i="2" s="1"/>
  <c r="AM80" i="2" l="1"/>
  <c r="AP80" i="2" s="1"/>
  <c r="AM81" i="2" l="1"/>
  <c r="AP81" i="2" s="1"/>
  <c r="AM82" i="2" l="1"/>
  <c r="AP82" i="2" s="1"/>
  <c r="AM83" i="2" l="1"/>
  <c r="AP83" i="2" s="1"/>
  <c r="AM84" i="2" l="1"/>
  <c r="AP84" i="2" s="1"/>
  <c r="AM85" i="2" l="1"/>
  <c r="AP85" i="2" s="1"/>
  <c r="AM86" i="2" l="1"/>
  <c r="AP86" i="2" s="1"/>
  <c r="AM87" i="2" l="1"/>
  <c r="AP87" i="2" s="1"/>
  <c r="AM88" i="2" l="1"/>
  <c r="AP88" i="2" s="1"/>
  <c r="AM89" i="2" l="1"/>
  <c r="AP89" i="2" s="1"/>
  <c r="AM90" i="2" l="1"/>
  <c r="AP90" i="2" s="1"/>
  <c r="AM91" i="2" l="1"/>
  <c r="AP91" i="2" s="1"/>
  <c r="AM92" i="2" l="1"/>
  <c r="AP92" i="2" s="1"/>
  <c r="AM93" i="2" l="1"/>
  <c r="AP93" i="2" s="1"/>
  <c r="AM94" i="2" l="1"/>
  <c r="AP94" i="2" s="1"/>
  <c r="AM95" i="2" l="1"/>
  <c r="AP95" i="2" s="1"/>
  <c r="AM96" i="2" l="1"/>
  <c r="AP96" i="2" s="1"/>
  <c r="AM97" i="2" l="1"/>
  <c r="AP97" i="2" s="1"/>
  <c r="AM98" i="2" l="1"/>
  <c r="AP98" i="2" s="1"/>
  <c r="AM99" i="2" l="1"/>
  <c r="AP99" i="2" s="1"/>
  <c r="AM100" i="2" l="1"/>
  <c r="AP100" i="2" s="1"/>
  <c r="AM101" i="2" l="1"/>
  <c r="AP101" i="2" s="1"/>
  <c r="AM102" i="2" l="1"/>
  <c r="AP102" i="2" s="1"/>
  <c r="AM103" i="2" l="1"/>
  <c r="AP103" i="2" s="1"/>
  <c r="AM104" i="2" l="1"/>
  <c r="AP104" i="2" s="1"/>
  <c r="AM105" i="2" l="1"/>
  <c r="AP105" i="2" s="1"/>
  <c r="AM106" i="2" l="1"/>
  <c r="AP106" i="2" s="1"/>
  <c r="AM107" i="2" l="1"/>
  <c r="AP107" i="2" s="1"/>
  <c r="AM108" i="2" l="1"/>
  <c r="AP108" i="2" s="1"/>
  <c r="AM109" i="2" l="1"/>
  <c r="AP109" i="2" s="1"/>
  <c r="AM110" i="2" l="1"/>
  <c r="AP110" i="2" s="1"/>
  <c r="AM111" i="2" l="1"/>
  <c r="AP111" i="2" s="1"/>
  <c r="AM112" i="2" l="1"/>
  <c r="AP112" i="2" s="1"/>
  <c r="AM113" i="2" l="1"/>
  <c r="AP113" i="2" s="1"/>
  <c r="AM114" i="2" l="1"/>
  <c r="AP114" i="2" s="1"/>
  <c r="AM115" i="2" l="1"/>
  <c r="AP115" i="2" s="1"/>
  <c r="AM116" i="2" l="1"/>
  <c r="AP116" i="2" s="1"/>
  <c r="AM117" i="2" l="1"/>
  <c r="AP117" i="2" s="1"/>
  <c r="AM118" i="2" l="1"/>
  <c r="AP118" i="2" s="1"/>
  <c r="AM119" i="2" l="1"/>
  <c r="AP119" i="2" s="1"/>
  <c r="AM120" i="2" l="1"/>
  <c r="AP120" i="2" s="1"/>
  <c r="AM121" i="2" l="1"/>
  <c r="AP121" i="2" s="1"/>
  <c r="AM122" i="2" l="1"/>
  <c r="AP122" i="2" s="1"/>
  <c r="AM123" i="2" l="1"/>
  <c r="AP123" i="2" s="1"/>
  <c r="AM124" i="2" l="1"/>
  <c r="AP124" i="2" s="1"/>
  <c r="AM125" i="2" l="1"/>
  <c r="AP125" i="2" s="1"/>
  <c r="AM126" i="2" l="1"/>
  <c r="AP126" i="2" s="1"/>
  <c r="AM127" i="2" l="1"/>
  <c r="AP127" i="2" s="1"/>
  <c r="AM128" i="2" l="1"/>
  <c r="AP128" i="2" s="1"/>
  <c r="AM129" i="2" l="1"/>
  <c r="AP129" i="2" s="1"/>
  <c r="AM130" i="2" l="1"/>
  <c r="AP130" i="2" s="1"/>
  <c r="AM131" i="2" l="1"/>
  <c r="AP131" i="2" s="1"/>
  <c r="AM132" i="2" l="1"/>
  <c r="AP132" i="2" s="1"/>
  <c r="AM133" i="2" l="1"/>
  <c r="AP133" i="2" s="1"/>
  <c r="AM134" i="2" l="1"/>
  <c r="AP134" i="2" s="1"/>
  <c r="AM135" i="2" l="1"/>
  <c r="AP135" i="2" s="1"/>
  <c r="AM136" i="2" l="1"/>
  <c r="AP136" i="2" s="1"/>
  <c r="AM137" i="2" l="1"/>
  <c r="AP137" i="2" s="1"/>
  <c r="AM138" i="2" l="1"/>
  <c r="AP138" i="2" s="1"/>
  <c r="AM139" i="2" l="1"/>
  <c r="AP139" i="2" s="1"/>
  <c r="AM140" i="2" l="1"/>
  <c r="AP140" i="2" s="1"/>
  <c r="AM141" i="2" l="1"/>
  <c r="AP141" i="2" s="1"/>
  <c r="AM142" i="2" l="1"/>
  <c r="AP142" i="2" s="1"/>
  <c r="AM143" i="2" l="1"/>
  <c r="AP143" i="2" s="1"/>
  <c r="AM144" i="2" l="1"/>
  <c r="AP144" i="2" s="1"/>
  <c r="AM145" i="2" l="1"/>
  <c r="AP145" i="2" s="1"/>
  <c r="AM146" i="2" l="1"/>
  <c r="AP146" i="2" s="1"/>
  <c r="AM147" i="2" l="1"/>
  <c r="AP147" i="2" s="1"/>
  <c r="AM148" i="2" l="1"/>
  <c r="AP148" i="2" s="1"/>
  <c r="AM149" i="2" l="1"/>
  <c r="AP149" i="2" s="1"/>
  <c r="AM150" i="2" l="1"/>
  <c r="AP150" i="2" s="1"/>
  <c r="AM151" i="2" l="1"/>
  <c r="AP151" i="2" s="1"/>
  <c r="AM152" i="2" l="1"/>
  <c r="AP152" i="2" s="1"/>
  <c r="AM153" i="2" l="1"/>
  <c r="AP153" i="2" s="1"/>
  <c r="AM154" i="2" l="1"/>
  <c r="AP154" i="2" s="1"/>
  <c r="AM155" i="2" l="1"/>
  <c r="AP155" i="2" s="1"/>
  <c r="AM156" i="2" l="1"/>
  <c r="AP156" i="2" s="1"/>
  <c r="AM157" i="2" l="1"/>
  <c r="AP157" i="2" s="1"/>
  <c r="AM158" i="2" l="1"/>
  <c r="AP158" i="2" s="1"/>
  <c r="AM159" i="2" l="1"/>
  <c r="AP159" i="2" s="1"/>
  <c r="AM160" i="2" l="1"/>
  <c r="AP160" i="2" s="1"/>
  <c r="AM161" i="2" l="1"/>
  <c r="AP161" i="2" s="1"/>
  <c r="AM162" i="2" l="1"/>
  <c r="AP162" i="2" s="1"/>
  <c r="AM163" i="2" l="1"/>
  <c r="AP163" i="2" s="1"/>
  <c r="AM164" i="2" l="1"/>
  <c r="AP164" i="2" s="1"/>
  <c r="AM165" i="2" l="1"/>
  <c r="AP165" i="2" s="1"/>
  <c r="AM166" i="2" l="1"/>
  <c r="AP166" i="2" s="1"/>
  <c r="AM167" i="2" l="1"/>
  <c r="AP167" i="2" s="1"/>
  <c r="AM168" i="2" l="1"/>
  <c r="AP168" i="2" s="1"/>
  <c r="AM169" i="2" l="1"/>
  <c r="AP169" i="2" s="1"/>
  <c r="AM170" i="2" l="1"/>
  <c r="AP170" i="2" s="1"/>
  <c r="AM171" i="2" l="1"/>
  <c r="AP171" i="2" s="1"/>
  <c r="AM172" i="2" l="1"/>
  <c r="AP172" i="2" s="1"/>
  <c r="AM173" i="2" l="1"/>
  <c r="AP173" i="2" s="1"/>
  <c r="AM174" i="2" l="1"/>
  <c r="AP174" i="2" s="1"/>
  <c r="AM175" i="2" l="1"/>
  <c r="AP175" i="2" s="1"/>
  <c r="AM176" i="2" l="1"/>
  <c r="AP176" i="2" s="1"/>
  <c r="AM177" i="2" l="1"/>
  <c r="AP177" i="2" s="1"/>
  <c r="AM178" i="2" l="1"/>
  <c r="AP178" i="2" s="1"/>
  <c r="AM179" i="2" l="1"/>
  <c r="AP179" i="2" s="1"/>
  <c r="AM180" i="2" l="1"/>
  <c r="AP180" i="2" s="1"/>
  <c r="AM181" i="2" l="1"/>
  <c r="AP181" i="2" s="1"/>
  <c r="AM182" i="2" l="1"/>
  <c r="AP182" i="2" s="1"/>
  <c r="AM183" i="2" l="1"/>
  <c r="AP183" i="2" s="1"/>
  <c r="AM184" i="2" l="1"/>
  <c r="AP184" i="2" s="1"/>
  <c r="AM185" i="2" l="1"/>
  <c r="AP185" i="2" s="1"/>
  <c r="AM186" i="2" l="1"/>
  <c r="AP186" i="2" s="1"/>
  <c r="AM187" i="2" l="1"/>
  <c r="AP187" i="2" s="1"/>
  <c r="AM188" i="2" l="1"/>
  <c r="AP188" i="2" s="1"/>
  <c r="AM189" i="2" l="1"/>
  <c r="AP189" i="2" s="1"/>
  <c r="AM190" i="2" l="1"/>
  <c r="AP190" i="2" s="1"/>
  <c r="AM191" i="2" l="1"/>
  <c r="AP191" i="2" s="1"/>
  <c r="AM192" i="2" l="1"/>
  <c r="AP192" i="2" s="1"/>
  <c r="AM193" i="2" l="1"/>
  <c r="AP193" i="2" s="1"/>
  <c r="AM194" i="2" l="1"/>
  <c r="AP194" i="2" s="1"/>
  <c r="AM195" i="2" l="1"/>
  <c r="AP195" i="2" s="1"/>
  <c r="AM196" i="2" l="1"/>
  <c r="AP196" i="2" s="1"/>
  <c r="AM197" i="2" l="1"/>
  <c r="AP197" i="2" s="1"/>
  <c r="AM198" i="2" l="1"/>
  <c r="AP198" i="2" s="1"/>
  <c r="AM199" i="2" l="1"/>
  <c r="AP199" i="2" s="1"/>
  <c r="AM200" i="2" l="1"/>
  <c r="AP200" i="2" s="1"/>
  <c r="AM201" i="2" l="1"/>
  <c r="AP201" i="2" s="1"/>
  <c r="AM202" i="2" l="1"/>
  <c r="AP202" i="2" s="1"/>
  <c r="AM203" i="2" l="1"/>
  <c r="AP203" i="2" s="1"/>
  <c r="AM204" i="2" l="1"/>
  <c r="AP204" i="2" s="1"/>
  <c r="AM205" i="2" l="1"/>
  <c r="AP205" i="2" s="1"/>
  <c r="AM206" i="2" l="1"/>
  <c r="AP206" i="2" s="1"/>
  <c r="AM207" i="2" l="1"/>
  <c r="AP207" i="2" s="1"/>
  <c r="AM208" i="2" l="1"/>
  <c r="AP208" i="2" s="1"/>
  <c r="AM209" i="2" l="1"/>
  <c r="AP209" i="2" s="1"/>
  <c r="AM210" i="2" l="1"/>
  <c r="AP210" i="2" s="1"/>
  <c r="AM211" i="2" l="1"/>
  <c r="AP211" i="2" s="1"/>
  <c r="AM212" i="2" l="1"/>
  <c r="AP212" i="2" s="1"/>
  <c r="AM213" i="2" l="1"/>
  <c r="AP213" i="2" s="1"/>
  <c r="AM214" i="2" l="1"/>
  <c r="AP214" i="2" s="1"/>
  <c r="AM215" i="2" l="1"/>
  <c r="AP215" i="2" s="1"/>
  <c r="AM216" i="2" l="1"/>
  <c r="AP216" i="2" s="1"/>
  <c r="AM218" i="2" l="1"/>
  <c r="AP218" i="2" s="1"/>
  <c r="AM217" i="2"/>
  <c r="AP217" i="2" s="1"/>
</calcChain>
</file>

<file path=xl/connections.xml><?xml version="1.0" encoding="utf-8"?>
<connections xmlns="http://schemas.openxmlformats.org/spreadsheetml/2006/main">
  <connection id="1" name="Data" type="6" refreshedVersion="3" background="1" saveData="1">
    <textPr codePage="1148" sourceFile="C:\Dokumente und Einstellungen\bom\Desktop\Data.txt" thousands="'" tab="0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ata2" type="6" refreshedVersion="3" background="1">
    <textPr codePage="1148" sourceFile="C:\Dokumente und Einstellungen\bom\Desktop\Data.txt" delimited="0" thousands="'">
      <textFields count="3">
        <textField/>
        <textField position="76"/>
        <textField position="82"/>
      </textFields>
    </textPr>
  </connection>
  <connection id="3" name="Data3" type="6" refreshedVersion="3" background="1" saveData="1">
    <textPr codePage="1148" sourceFile="C:\Dokumente und Einstellungen\bom\Desktop\Data.txt" thousands="'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Data31" type="6" refreshedVersion="3" background="1" saveData="1">
    <textPr codePage="1148" sourceFile="C:\Dokumente und Einstellungen\bom\Desktop\Data.txt" thousands="'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<sst xmlns="http://schemas.openxmlformats.org/spreadsheetml/2006/main" count="130" uniqueCount="80">
  <si>
    <t>Time[us]</t>
  </si>
  <si>
    <t>Data[int]</t>
  </si>
  <si>
    <t>Data[hex]</t>
  </si>
  <si>
    <t>Cycle[hex]</t>
  </si>
  <si>
    <t>4bit</t>
  </si>
  <si>
    <t>12bit</t>
  </si>
  <si>
    <t>Table</t>
  </si>
  <si>
    <t>16bit</t>
  </si>
  <si>
    <t>Amplitude[%]</t>
  </si>
  <si>
    <t>Index</t>
  </si>
  <si>
    <t>MN0</t>
  </si>
  <si>
    <t>MN1</t>
  </si>
  <si>
    <t>MN2</t>
  </si>
  <si>
    <t>MN3</t>
  </si>
  <si>
    <t>PH_FIRE_VOLTAGE_OFFSET</t>
  </si>
  <si>
    <t>PH_FIRE_VOLTAGE_AMPLITUDE</t>
  </si>
  <si>
    <t>Nominal PH Voltage</t>
  </si>
  <si>
    <t>V</t>
  </si>
  <si>
    <t>Calibrated PH Voltage</t>
  </si>
  <si>
    <t>0.01V</t>
  </si>
  <si>
    <t>Output Limit</t>
  </si>
  <si>
    <t>DAC Out</t>
  </si>
  <si>
    <t>Voltage</t>
  </si>
  <si>
    <t>Global Scaling</t>
  </si>
  <si>
    <t>ð</t>
  </si>
  <si>
    <t>out = PH_FIRE_VOLTAGE_OFFSET + 1023*out*aCalibration/(1000 * PH_FIRE_VOLTAGE_AMPLITUDE);</t>
  </si>
  <si>
    <t>dac_value = PH_FIRE_VOLTAGE_OFFSET + 1023*data[int]*Calibrated_PH_Voltage/(1000*PH_FIRE_VOLTAGE_AMPLITUDE)</t>
  </si>
  <si>
    <t>Max</t>
  </si>
  <si>
    <t>Min</t>
  </si>
  <si>
    <t>DAC Scale</t>
  </si>
  <si>
    <t>NIOS Calculations</t>
  </si>
  <si>
    <t>Used for Max Test</t>
  </si>
  <si>
    <t>Nios calibrated PH Voltage</t>
  </si>
  <si>
    <t>PH Voltage on Sticker</t>
  </si>
  <si>
    <t>Nios Scaling</t>
  </si>
  <si>
    <t>Main Offset</t>
  </si>
  <si>
    <t>Ricoh GEN5 Waveform</t>
  </si>
  <si>
    <t>1.0.0</t>
  </si>
  <si>
    <t>Varnish</t>
  </si>
  <si>
    <t xml:space="preserve">Version </t>
  </si>
  <si>
    <t>Schmid Rhyner ?????</t>
  </si>
  <si>
    <t>Offset</t>
  </si>
  <si>
    <t>Scaling</t>
  </si>
  <si>
    <t>Printhead</t>
  </si>
  <si>
    <t>Row A</t>
  </si>
  <si>
    <t>Row B</t>
  </si>
  <si>
    <t>Row C</t>
  </si>
  <si>
    <t>Row D</t>
  </si>
  <si>
    <t>[V]</t>
  </si>
  <si>
    <t>PLC</t>
  </si>
  <si>
    <t>Waveform definion</t>
  </si>
  <si>
    <t>PUC</t>
  </si>
  <si>
    <t>[1/1000]</t>
  </si>
  <si>
    <t>Scaling Min</t>
  </si>
  <si>
    <t>Scaling Max</t>
  </si>
  <si>
    <t>DAC Limit</t>
  </si>
  <si>
    <t>Hardware Limit</t>
  </si>
  <si>
    <t>[ ]</t>
  </si>
  <si>
    <t>Limits</t>
  </si>
  <si>
    <t>Constants</t>
  </si>
  <si>
    <t>Amplifier</t>
  </si>
  <si>
    <t>ControllerBoard</t>
  </si>
  <si>
    <t>Row A @ 100%</t>
  </si>
  <si>
    <t>Row B @ 100%</t>
  </si>
  <si>
    <t>Row C @ 100%</t>
  </si>
  <si>
    <t>Row D @ 100%</t>
  </si>
  <si>
    <t>Row A (factory)</t>
  </si>
  <si>
    <t>Row B (factory)</t>
  </si>
  <si>
    <t>Row C (factory)</t>
  </si>
  <si>
    <t>Row D (factory)</t>
  </si>
  <si>
    <t>Min [V]</t>
  </si>
  <si>
    <t>Max [V]</t>
  </si>
  <si>
    <t>GAIN_PREAMP</t>
  </si>
  <si>
    <t>GAIN_POWERAMP</t>
  </si>
  <si>
    <t>OFFSET_AMP</t>
  </si>
  <si>
    <t>Scaling (CoE 8028)</t>
  </si>
  <si>
    <t xml:space="preserve">Offset (CoE 8027) </t>
  </si>
  <si>
    <t>Global scaling of waveform</t>
  </si>
  <si>
    <t>Parameter for verification only</t>
  </si>
  <si>
    <t>Error, e.g. Overrange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</si>
</sst>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0.0%"/>
  </numFmts>
  <fonts count="13" x14ac:knownFonts="1"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0" tint="-0.34998626667073579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Wingdings"/>
      <charset val="2"/>
    </font>
    <font>
      <sz val="10"/>
      <name val="Arial"/>
      <family val="2"/>
    </font>
    <font>
      <sz val="20"/>
      <color theme="1"/>
      <name val="Arial"/>
      <family val="2"/>
    </font>
    <font>
      <i/>
      <sz val="10"/>
      <color theme="1"/>
      <name val="Arial"/>
      <family val="2"/>
    </font>
    <font>
      <sz val="6"/>
      <color theme="1"/>
      <name val="Arial"/>
      <family val="2"/>
    </font>
    <font>
      <i/>
      <sz val="6"/>
      <color theme="1"/>
      <name val="Arial"/>
      <family val="2"/>
    </font>
    <font>
      <b/>
      <sz val="6"/>
      <color theme="1"/>
      <name val="Arial"/>
      <family val="2"/>
    </font>
    <font>
      <b/>
      <i/>
      <sz val="6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3" borderId="0" xfId="0" applyFill="1"/>
    <xf numFmtId="0" fontId="0" fillId="4" borderId="0" xfId="0" applyFill="1"/>
    <xf numFmtId="0" fontId="0" fillId="0" borderId="0" xfId="0"/>
    <xf numFmtId="0" fontId="0" fillId="0" borderId="0" xfId="0" applyNumberFormat="1"/>
    <xf numFmtId="164" fontId="0" fillId="0" borderId="0" xfId="0" applyNumberFormat="1"/>
    <xf numFmtId="164" fontId="0" fillId="5" borderId="0" xfId="0" applyNumberFormat="1" applyFill="1"/>
    <xf numFmtId="0" fontId="2" fillId="0" borderId="0" xfId="0" applyFont="1"/>
    <xf numFmtId="164" fontId="2" fillId="0" borderId="0" xfId="0" applyNumberFormat="1" applyFont="1"/>
    <xf numFmtId="1" fontId="2" fillId="0" borderId="0" xfId="0" applyNumberFormat="1" applyFont="1"/>
    <xf numFmtId="0" fontId="0" fillId="0" borderId="0" xfId="0" applyBorder="1"/>
    <xf numFmtId="0" fontId="2" fillId="0" borderId="0" xfId="0" applyFont="1" applyBorder="1"/>
    <xf numFmtId="165" fontId="3" fillId="0" borderId="0" xfId="0" applyNumberFormat="1" applyFont="1" applyFill="1" applyBorder="1"/>
    <xf numFmtId="0" fontId="4" fillId="0" borderId="0" xfId="0" applyFont="1"/>
    <xf numFmtId="0" fontId="5" fillId="0" borderId="0" xfId="0" applyFont="1"/>
    <xf numFmtId="0" fontId="0" fillId="0" borderId="0" xfId="0" applyFill="1" applyBorder="1"/>
    <xf numFmtId="1" fontId="6" fillId="0" borderId="11" xfId="0" applyNumberFormat="1" applyFont="1" applyBorder="1"/>
    <xf numFmtId="1" fontId="6" fillId="0" borderId="9" xfId="0" applyNumberFormat="1" applyFont="1" applyBorder="1"/>
    <xf numFmtId="0" fontId="6" fillId="0" borderId="0" xfId="0" applyFont="1"/>
    <xf numFmtId="1" fontId="6" fillId="0" borderId="8" xfId="0" applyNumberFormat="1" applyFont="1" applyBorder="1"/>
    <xf numFmtId="0" fontId="4" fillId="0" borderId="7" xfId="0" applyFont="1" applyBorder="1"/>
    <xf numFmtId="0" fontId="4" fillId="0" borderId="0" xfId="0" applyFont="1" applyBorder="1"/>
    <xf numFmtId="1" fontId="6" fillId="0" borderId="10" xfId="0" applyNumberFormat="1" applyFont="1" applyBorder="1"/>
    <xf numFmtId="0" fontId="6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7" fillId="5" borderId="0" xfId="0" applyFont="1" applyFill="1"/>
    <xf numFmtId="0" fontId="7" fillId="5" borderId="0" xfId="0" applyFont="1" applyFill="1" applyBorder="1"/>
    <xf numFmtId="0" fontId="8" fillId="0" borderId="0" xfId="0" applyFont="1"/>
    <xf numFmtId="9" fontId="9" fillId="0" borderId="0" xfId="0" applyNumberFormat="1" applyFont="1" applyBorder="1"/>
    <xf numFmtId="164" fontId="9" fillId="0" borderId="0" xfId="0" applyNumberFormat="1" applyFont="1" applyBorder="1"/>
    <xf numFmtId="0" fontId="9" fillId="0" borderId="0" xfId="0" applyFont="1"/>
    <xf numFmtId="0" fontId="10" fillId="0" borderId="0" xfId="0" applyFont="1"/>
    <xf numFmtId="0" fontId="0" fillId="2" borderId="1" xfId="0" applyFill="1" applyBorder="1"/>
    <xf numFmtId="9" fontId="0" fillId="2" borderId="2" xfId="0" applyNumberFormat="1" applyFill="1" applyBorder="1"/>
    <xf numFmtId="0" fontId="0" fillId="2" borderId="6" xfId="0" applyFill="1" applyBorder="1"/>
    <xf numFmtId="9" fontId="0" fillId="2" borderId="7" xfId="0" applyNumberFormat="1" applyFill="1" applyBorder="1"/>
    <xf numFmtId="0" fontId="0" fillId="2" borderId="2" xfId="0" applyFill="1" applyBorder="1"/>
    <xf numFmtId="0" fontId="0" fillId="2" borderId="4" xfId="0" applyFill="1" applyBorder="1"/>
    <xf numFmtId="0" fontId="0" fillId="2" borderId="0" xfId="0" applyFill="1" applyBorder="1"/>
    <xf numFmtId="0" fontId="4" fillId="2" borderId="7" xfId="0" applyFont="1" applyFill="1" applyBorder="1"/>
    <xf numFmtId="9" fontId="0" fillId="2" borderId="3" xfId="0" applyNumberFormat="1" applyFill="1" applyBorder="1"/>
    <xf numFmtId="9" fontId="0" fillId="2" borderId="12" xfId="0" applyNumberFormat="1" applyFill="1" applyBorder="1"/>
    <xf numFmtId="0" fontId="0" fillId="2" borderId="3" xfId="0" applyFill="1" applyBorder="1"/>
    <xf numFmtId="0" fontId="0" fillId="2" borderId="5" xfId="0" applyFill="1" applyBorder="1"/>
    <xf numFmtId="0" fontId="0" fillId="2" borderId="12" xfId="0" applyFill="1" applyBorder="1"/>
    <xf numFmtId="0" fontId="0" fillId="2" borderId="7" xfId="0" applyFill="1" applyBorder="1"/>
    <xf numFmtId="2" fontId="0" fillId="2" borderId="2" xfId="0" applyNumberFormat="1" applyFill="1" applyBorder="1"/>
    <xf numFmtId="2" fontId="0" fillId="2" borderId="0" xfId="0" applyNumberFormat="1" applyFill="1" applyBorder="1"/>
    <xf numFmtId="2" fontId="9" fillId="0" borderId="0" xfId="0" applyNumberFormat="1" applyFont="1"/>
    <xf numFmtId="2" fontId="0" fillId="0" borderId="0" xfId="0" applyNumberFormat="1"/>
    <xf numFmtId="2" fontId="0" fillId="2" borderId="7" xfId="0" applyNumberFormat="1" applyFill="1" applyBorder="1"/>
    <xf numFmtId="164" fontId="11" fillId="0" borderId="0" xfId="0" applyNumberFormat="1" applyFont="1"/>
    <xf numFmtId="164" fontId="12" fillId="0" borderId="0" xfId="0" applyNumberFormat="1" applyFont="1"/>
    <xf numFmtId="0" fontId="4" fillId="0" borderId="2" xfId="0" applyFont="1" applyBorder="1"/>
    <xf numFmtId="2" fontId="0" fillId="2" borderId="3" xfId="0" applyNumberFormat="1" applyFill="1" applyBorder="1"/>
    <xf numFmtId="2" fontId="0" fillId="2" borderId="5" xfId="0" applyNumberFormat="1" applyFill="1" applyBorder="1"/>
    <xf numFmtId="2" fontId="0" fillId="2" borderId="12" xfId="0" applyNumberFormat="1" applyFill="1" applyBorder="1"/>
    <xf numFmtId="9" fontId="4" fillId="6" borderId="2" xfId="0" applyNumberFormat="1" applyFont="1" applyFill="1" applyBorder="1"/>
    <xf numFmtId="9" fontId="4" fillId="6" borderId="7" xfId="0" applyNumberFormat="1" applyFont="1" applyFill="1" applyBorder="1"/>
    <xf numFmtId="165" fontId="3" fillId="6" borderId="0" xfId="0" applyNumberFormat="1" applyFont="1" applyFill="1" applyBorder="1"/>
    <xf numFmtId="0" fontId="4" fillId="8" borderId="2" xfId="0" applyFont="1" applyFill="1" applyBorder="1"/>
    <xf numFmtId="0" fontId="4" fillId="8" borderId="0" xfId="0" applyFont="1" applyFill="1" applyBorder="1"/>
    <xf numFmtId="0" fontId="4" fillId="8" borderId="7" xfId="0" applyFont="1" applyFill="1" applyBorder="1"/>
    <xf numFmtId="0" fontId="0" fillId="7" borderId="0" xfId="0" applyFill="1"/>
    <xf numFmtId="9" fontId="4" fillId="8" borderId="2" xfId="0" applyNumberFormat="1" applyFont="1" applyFill="1" applyBorder="1"/>
    <xf numFmtId="9" fontId="4" fillId="8" borderId="7" xfId="0" applyNumberFormat="1" applyFont="1" applyFill="1" applyBorder="1"/>
    <xf numFmtId="0" fontId="0" fillId="8" borderId="0" xfId="0" applyFill="1"/>
    <xf numFmtId="0" fontId="0" fillId="6" borderId="0" xfId="0" applyFill="1"/>
  </cellXfs>
  <cellStyles count="1">
    <cellStyle name="Normal" xfId="0" builtinId="0"/>
  </cellStyles>
  <dxfs count="48"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24994659260841701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hartsheet" Target="chartsheets/sheet5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4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3.xml"/><Relationship Id="rId10" Type="http://schemas.openxmlformats.org/officeDocument/2006/relationships/styles" Target="styles.xml"/><Relationship Id="rId4" Type="http://schemas.openxmlformats.org/officeDocument/2006/relationships/chartsheet" Target="chartsheets/sheet2.xml"/><Relationship Id="rId9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Waveform 1[%]</c:v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Tabelle!$B$18:$B$2065</c:f>
              <c:numCache>
                <c:formatCode>General</c:formatCode>
                <c:ptCount val="204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Tabelle!$G$18:$G$529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95</c:v>
                </c:pt>
                <c:pt idx="22">
                  <c:v>90</c:v>
                </c:pt>
                <c:pt idx="23">
                  <c:v>85</c:v>
                </c:pt>
                <c:pt idx="24">
                  <c:v>80</c:v>
                </c:pt>
                <c:pt idx="25">
                  <c:v>75</c:v>
                </c:pt>
                <c:pt idx="26">
                  <c:v>70</c:v>
                </c:pt>
                <c:pt idx="27">
                  <c:v>65</c:v>
                </c:pt>
                <c:pt idx="28">
                  <c:v>60</c:v>
                </c:pt>
                <c:pt idx="29">
                  <c:v>55</c:v>
                </c:pt>
                <c:pt idx="30">
                  <c:v>50</c:v>
                </c:pt>
                <c:pt idx="31">
                  <c:v>45</c:v>
                </c:pt>
                <c:pt idx="32">
                  <c:v>40</c:v>
                </c:pt>
                <c:pt idx="33">
                  <c:v>35</c:v>
                </c:pt>
                <c:pt idx="34">
                  <c:v>30</c:v>
                </c:pt>
                <c:pt idx="35">
                  <c:v>25</c:v>
                </c:pt>
                <c:pt idx="36">
                  <c:v>20</c:v>
                </c:pt>
                <c:pt idx="37">
                  <c:v>15</c:v>
                </c:pt>
                <c:pt idx="38">
                  <c:v>10</c:v>
                </c:pt>
                <c:pt idx="39">
                  <c:v>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6</c:v>
                </c:pt>
                <c:pt idx="62">
                  <c:v>12</c:v>
                </c:pt>
                <c:pt idx="63">
                  <c:v>18</c:v>
                </c:pt>
                <c:pt idx="64">
                  <c:v>24</c:v>
                </c:pt>
                <c:pt idx="65">
                  <c:v>30</c:v>
                </c:pt>
                <c:pt idx="66">
                  <c:v>36</c:v>
                </c:pt>
                <c:pt idx="67">
                  <c:v>42</c:v>
                </c:pt>
                <c:pt idx="68">
                  <c:v>48</c:v>
                </c:pt>
                <c:pt idx="69">
                  <c:v>54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69</c:v>
                </c:pt>
                <c:pt idx="92">
                  <c:v>78</c:v>
                </c:pt>
                <c:pt idx="93">
                  <c:v>87</c:v>
                </c:pt>
                <c:pt idx="94">
                  <c:v>96</c:v>
                </c:pt>
                <c:pt idx="95">
                  <c:v>105</c:v>
                </c:pt>
                <c:pt idx="96">
                  <c:v>114</c:v>
                </c:pt>
                <c:pt idx="97">
                  <c:v>123</c:v>
                </c:pt>
                <c:pt idx="98">
                  <c:v>132</c:v>
                </c:pt>
                <c:pt idx="99">
                  <c:v>141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145</c:v>
                </c:pt>
                <c:pt idx="142">
                  <c:v>140</c:v>
                </c:pt>
                <c:pt idx="143">
                  <c:v>135</c:v>
                </c:pt>
                <c:pt idx="144">
                  <c:v>130</c:v>
                </c:pt>
                <c:pt idx="145">
                  <c:v>125</c:v>
                </c:pt>
                <c:pt idx="146">
                  <c:v>120</c:v>
                </c:pt>
                <c:pt idx="147">
                  <c:v>115</c:v>
                </c:pt>
                <c:pt idx="148">
                  <c:v>110</c:v>
                </c:pt>
                <c:pt idx="149">
                  <c:v>105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8FB-4695-87E7-89E5FCAAFB40}"/>
            </c:ext>
          </c:extLst>
        </c:ser>
        <c:ser>
          <c:idx val="2"/>
          <c:order val="1"/>
          <c:tx>
            <c:v>Waveform2 [%]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Tabelle!$O$18:$O$529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24</c:v>
                </c:pt>
                <c:pt idx="62">
                  <c:v>28</c:v>
                </c:pt>
                <c:pt idx="63">
                  <c:v>32</c:v>
                </c:pt>
                <c:pt idx="64">
                  <c:v>36</c:v>
                </c:pt>
                <c:pt idx="65">
                  <c:v>40</c:v>
                </c:pt>
                <c:pt idx="66">
                  <c:v>44</c:v>
                </c:pt>
                <c:pt idx="67">
                  <c:v>48</c:v>
                </c:pt>
                <c:pt idx="68">
                  <c:v>52</c:v>
                </c:pt>
                <c:pt idx="69">
                  <c:v>56</c:v>
                </c:pt>
                <c:pt idx="70">
                  <c:v>60</c:v>
                </c:pt>
                <c:pt idx="71">
                  <c:v>64</c:v>
                </c:pt>
                <c:pt idx="72">
                  <c:v>68</c:v>
                </c:pt>
                <c:pt idx="73">
                  <c:v>72</c:v>
                </c:pt>
                <c:pt idx="74">
                  <c:v>76</c:v>
                </c:pt>
                <c:pt idx="75">
                  <c:v>80</c:v>
                </c:pt>
                <c:pt idx="76">
                  <c:v>84</c:v>
                </c:pt>
                <c:pt idx="77">
                  <c:v>88</c:v>
                </c:pt>
                <c:pt idx="78">
                  <c:v>92</c:v>
                </c:pt>
                <c:pt idx="79">
                  <c:v>96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95</c:v>
                </c:pt>
                <c:pt idx="102">
                  <c:v>90</c:v>
                </c:pt>
                <c:pt idx="103">
                  <c:v>85</c:v>
                </c:pt>
                <c:pt idx="104">
                  <c:v>80</c:v>
                </c:pt>
                <c:pt idx="105">
                  <c:v>75</c:v>
                </c:pt>
                <c:pt idx="106">
                  <c:v>70</c:v>
                </c:pt>
                <c:pt idx="107">
                  <c:v>65</c:v>
                </c:pt>
                <c:pt idx="108">
                  <c:v>60</c:v>
                </c:pt>
                <c:pt idx="109">
                  <c:v>55</c:v>
                </c:pt>
                <c:pt idx="110">
                  <c:v>50</c:v>
                </c:pt>
                <c:pt idx="111">
                  <c:v>45</c:v>
                </c:pt>
                <c:pt idx="112">
                  <c:v>40</c:v>
                </c:pt>
                <c:pt idx="113">
                  <c:v>35</c:v>
                </c:pt>
                <c:pt idx="114">
                  <c:v>30</c:v>
                </c:pt>
                <c:pt idx="115">
                  <c:v>25</c:v>
                </c:pt>
                <c:pt idx="116">
                  <c:v>20</c:v>
                </c:pt>
                <c:pt idx="117">
                  <c:v>15</c:v>
                </c:pt>
                <c:pt idx="118">
                  <c:v>10</c:v>
                </c:pt>
                <c:pt idx="119">
                  <c:v>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6</c:v>
                </c:pt>
                <c:pt idx="142">
                  <c:v>12</c:v>
                </c:pt>
                <c:pt idx="143">
                  <c:v>18</c:v>
                </c:pt>
                <c:pt idx="144">
                  <c:v>24</c:v>
                </c:pt>
                <c:pt idx="145">
                  <c:v>30</c:v>
                </c:pt>
                <c:pt idx="146">
                  <c:v>36</c:v>
                </c:pt>
                <c:pt idx="147">
                  <c:v>42</c:v>
                </c:pt>
                <c:pt idx="148">
                  <c:v>48</c:v>
                </c:pt>
                <c:pt idx="149">
                  <c:v>54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69</c:v>
                </c:pt>
                <c:pt idx="172">
                  <c:v>78</c:v>
                </c:pt>
                <c:pt idx="173">
                  <c:v>87</c:v>
                </c:pt>
                <c:pt idx="174">
                  <c:v>96</c:v>
                </c:pt>
                <c:pt idx="175">
                  <c:v>105</c:v>
                </c:pt>
                <c:pt idx="176">
                  <c:v>114</c:v>
                </c:pt>
                <c:pt idx="177">
                  <c:v>123</c:v>
                </c:pt>
                <c:pt idx="178">
                  <c:v>132</c:v>
                </c:pt>
                <c:pt idx="179">
                  <c:v>141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145</c:v>
                </c:pt>
                <c:pt idx="222">
                  <c:v>140</c:v>
                </c:pt>
                <c:pt idx="223">
                  <c:v>135</c:v>
                </c:pt>
                <c:pt idx="224">
                  <c:v>130</c:v>
                </c:pt>
                <c:pt idx="225">
                  <c:v>125</c:v>
                </c:pt>
                <c:pt idx="226">
                  <c:v>120</c:v>
                </c:pt>
                <c:pt idx="227">
                  <c:v>115</c:v>
                </c:pt>
                <c:pt idx="228">
                  <c:v>110</c:v>
                </c:pt>
                <c:pt idx="229">
                  <c:v>105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8FB-4695-87E7-89E5FCAAFB40}"/>
            </c:ext>
          </c:extLst>
        </c:ser>
        <c:ser>
          <c:idx val="3"/>
          <c:order val="2"/>
          <c:tx>
            <c:v>Waveform 3 [%]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Tabelle!$W$18:$W$529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96.15</c:v>
                </c:pt>
                <c:pt idx="22">
                  <c:v>92.300000000000011</c:v>
                </c:pt>
                <c:pt idx="23">
                  <c:v>88.450000000000017</c:v>
                </c:pt>
                <c:pt idx="24">
                  <c:v>84.600000000000023</c:v>
                </c:pt>
                <c:pt idx="25">
                  <c:v>80.750000000000028</c:v>
                </c:pt>
                <c:pt idx="26">
                  <c:v>76.900000000000034</c:v>
                </c:pt>
                <c:pt idx="27">
                  <c:v>73.05000000000004</c:v>
                </c:pt>
                <c:pt idx="28">
                  <c:v>69.200000000000045</c:v>
                </c:pt>
                <c:pt idx="29">
                  <c:v>65.350000000000051</c:v>
                </c:pt>
                <c:pt idx="30">
                  <c:v>61.50000000000005</c:v>
                </c:pt>
                <c:pt idx="31">
                  <c:v>57.650000000000048</c:v>
                </c:pt>
                <c:pt idx="32">
                  <c:v>53.800000000000047</c:v>
                </c:pt>
                <c:pt idx="33">
                  <c:v>49.950000000000045</c:v>
                </c:pt>
                <c:pt idx="34">
                  <c:v>46.100000000000044</c:v>
                </c:pt>
                <c:pt idx="35">
                  <c:v>42.250000000000043</c:v>
                </c:pt>
                <c:pt idx="36">
                  <c:v>38.400000000000041</c:v>
                </c:pt>
                <c:pt idx="37">
                  <c:v>34.55000000000004</c:v>
                </c:pt>
                <c:pt idx="38">
                  <c:v>30.700000000000038</c:v>
                </c:pt>
                <c:pt idx="39">
                  <c:v>26.850000000000037</c:v>
                </c:pt>
                <c:pt idx="40">
                  <c:v>23.000000000000036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26.85</c:v>
                </c:pt>
                <c:pt idx="64">
                  <c:v>30.700000000000003</c:v>
                </c:pt>
                <c:pt idx="65">
                  <c:v>34.550000000000004</c:v>
                </c:pt>
                <c:pt idx="66">
                  <c:v>38.400000000000006</c:v>
                </c:pt>
                <c:pt idx="67">
                  <c:v>42.250000000000007</c:v>
                </c:pt>
                <c:pt idx="68">
                  <c:v>46.100000000000009</c:v>
                </c:pt>
                <c:pt idx="69">
                  <c:v>49.95000000000001</c:v>
                </c:pt>
                <c:pt idx="70">
                  <c:v>53.800000000000011</c:v>
                </c:pt>
                <c:pt idx="71">
                  <c:v>57.650000000000013</c:v>
                </c:pt>
                <c:pt idx="72">
                  <c:v>61.500000000000014</c:v>
                </c:pt>
                <c:pt idx="73">
                  <c:v>65.350000000000009</c:v>
                </c:pt>
                <c:pt idx="74">
                  <c:v>69.2</c:v>
                </c:pt>
                <c:pt idx="75">
                  <c:v>73.05</c:v>
                </c:pt>
                <c:pt idx="76">
                  <c:v>76.899999999999991</c:v>
                </c:pt>
                <c:pt idx="77">
                  <c:v>80.749999999999986</c:v>
                </c:pt>
                <c:pt idx="78">
                  <c:v>84.59999999999998</c:v>
                </c:pt>
                <c:pt idx="79">
                  <c:v>88.449999999999974</c:v>
                </c:pt>
                <c:pt idx="80">
                  <c:v>92.299999999999969</c:v>
                </c:pt>
                <c:pt idx="81">
                  <c:v>96.149999999999963</c:v>
                </c:pt>
                <c:pt idx="82">
                  <c:v>99.999999999999957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95</c:v>
                </c:pt>
                <c:pt idx="98">
                  <c:v>90</c:v>
                </c:pt>
                <c:pt idx="99">
                  <c:v>85</c:v>
                </c:pt>
                <c:pt idx="100">
                  <c:v>80</c:v>
                </c:pt>
                <c:pt idx="101">
                  <c:v>75</c:v>
                </c:pt>
                <c:pt idx="102">
                  <c:v>70</c:v>
                </c:pt>
                <c:pt idx="103">
                  <c:v>65</c:v>
                </c:pt>
                <c:pt idx="104">
                  <c:v>60</c:v>
                </c:pt>
                <c:pt idx="105">
                  <c:v>55</c:v>
                </c:pt>
                <c:pt idx="106">
                  <c:v>50</c:v>
                </c:pt>
                <c:pt idx="107">
                  <c:v>45</c:v>
                </c:pt>
                <c:pt idx="108">
                  <c:v>40</c:v>
                </c:pt>
                <c:pt idx="109">
                  <c:v>35</c:v>
                </c:pt>
                <c:pt idx="110">
                  <c:v>30</c:v>
                </c:pt>
                <c:pt idx="111">
                  <c:v>25</c:v>
                </c:pt>
                <c:pt idx="112">
                  <c:v>20</c:v>
                </c:pt>
                <c:pt idx="113">
                  <c:v>15</c:v>
                </c:pt>
                <c:pt idx="114">
                  <c:v>10</c:v>
                </c:pt>
                <c:pt idx="115">
                  <c:v>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</c:v>
                </c:pt>
                <c:pt idx="140">
                  <c:v>8</c:v>
                </c:pt>
                <c:pt idx="141">
                  <c:v>12</c:v>
                </c:pt>
                <c:pt idx="142">
                  <c:v>16</c:v>
                </c:pt>
                <c:pt idx="143">
                  <c:v>20</c:v>
                </c:pt>
                <c:pt idx="144">
                  <c:v>24</c:v>
                </c:pt>
                <c:pt idx="145">
                  <c:v>28</c:v>
                </c:pt>
                <c:pt idx="146">
                  <c:v>32</c:v>
                </c:pt>
                <c:pt idx="147">
                  <c:v>36</c:v>
                </c:pt>
                <c:pt idx="148">
                  <c:v>40</c:v>
                </c:pt>
                <c:pt idx="149">
                  <c:v>44</c:v>
                </c:pt>
                <c:pt idx="150">
                  <c:v>48</c:v>
                </c:pt>
                <c:pt idx="151">
                  <c:v>52</c:v>
                </c:pt>
                <c:pt idx="152">
                  <c:v>56</c:v>
                </c:pt>
                <c:pt idx="153">
                  <c:v>60</c:v>
                </c:pt>
                <c:pt idx="154">
                  <c:v>64</c:v>
                </c:pt>
                <c:pt idx="155">
                  <c:v>68</c:v>
                </c:pt>
                <c:pt idx="156">
                  <c:v>72</c:v>
                </c:pt>
                <c:pt idx="157">
                  <c:v>76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8FB-4695-87E7-89E5FCAAFB40}"/>
            </c:ext>
          </c:extLst>
        </c:ser>
        <c:ser>
          <c:idx val="4"/>
          <c:order val="3"/>
          <c:tx>
            <c:v>Waveform 4 [%]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Tabelle!$AE$18:$AE$529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24</c:v>
                </c:pt>
                <c:pt idx="64">
                  <c:v>28</c:v>
                </c:pt>
                <c:pt idx="65">
                  <c:v>32</c:v>
                </c:pt>
                <c:pt idx="66">
                  <c:v>36</c:v>
                </c:pt>
                <c:pt idx="67">
                  <c:v>40</c:v>
                </c:pt>
                <c:pt idx="68">
                  <c:v>44</c:v>
                </c:pt>
                <c:pt idx="69">
                  <c:v>48</c:v>
                </c:pt>
                <c:pt idx="70">
                  <c:v>52</c:v>
                </c:pt>
                <c:pt idx="71">
                  <c:v>56</c:v>
                </c:pt>
                <c:pt idx="72">
                  <c:v>60</c:v>
                </c:pt>
                <c:pt idx="73">
                  <c:v>64</c:v>
                </c:pt>
                <c:pt idx="74">
                  <c:v>68</c:v>
                </c:pt>
                <c:pt idx="75">
                  <c:v>72</c:v>
                </c:pt>
                <c:pt idx="76">
                  <c:v>76</c:v>
                </c:pt>
                <c:pt idx="77">
                  <c:v>80</c:v>
                </c:pt>
                <c:pt idx="78">
                  <c:v>84</c:v>
                </c:pt>
                <c:pt idx="79">
                  <c:v>88</c:v>
                </c:pt>
                <c:pt idx="80">
                  <c:v>92</c:v>
                </c:pt>
                <c:pt idx="81">
                  <c:v>96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96</c:v>
                </c:pt>
                <c:pt idx="98">
                  <c:v>92</c:v>
                </c:pt>
                <c:pt idx="99">
                  <c:v>88</c:v>
                </c:pt>
                <c:pt idx="100">
                  <c:v>84</c:v>
                </c:pt>
                <c:pt idx="101">
                  <c:v>80</c:v>
                </c:pt>
                <c:pt idx="102">
                  <c:v>76</c:v>
                </c:pt>
                <c:pt idx="103">
                  <c:v>72</c:v>
                </c:pt>
                <c:pt idx="104">
                  <c:v>68</c:v>
                </c:pt>
                <c:pt idx="105">
                  <c:v>64</c:v>
                </c:pt>
                <c:pt idx="106">
                  <c:v>60</c:v>
                </c:pt>
                <c:pt idx="107">
                  <c:v>56</c:v>
                </c:pt>
                <c:pt idx="108">
                  <c:v>52</c:v>
                </c:pt>
                <c:pt idx="109">
                  <c:v>48</c:v>
                </c:pt>
                <c:pt idx="110">
                  <c:v>44</c:v>
                </c:pt>
                <c:pt idx="111">
                  <c:v>40</c:v>
                </c:pt>
                <c:pt idx="112">
                  <c:v>36</c:v>
                </c:pt>
                <c:pt idx="113">
                  <c:v>32</c:v>
                </c:pt>
                <c:pt idx="114">
                  <c:v>28</c:v>
                </c:pt>
                <c:pt idx="115">
                  <c:v>24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23</c:v>
                </c:pt>
                <c:pt idx="140">
                  <c:v>26</c:v>
                </c:pt>
                <c:pt idx="141">
                  <c:v>29</c:v>
                </c:pt>
                <c:pt idx="142">
                  <c:v>32</c:v>
                </c:pt>
                <c:pt idx="143">
                  <c:v>35</c:v>
                </c:pt>
                <c:pt idx="144">
                  <c:v>38</c:v>
                </c:pt>
                <c:pt idx="145">
                  <c:v>41</c:v>
                </c:pt>
                <c:pt idx="146">
                  <c:v>44</c:v>
                </c:pt>
                <c:pt idx="147">
                  <c:v>47</c:v>
                </c:pt>
                <c:pt idx="148">
                  <c:v>50</c:v>
                </c:pt>
                <c:pt idx="149">
                  <c:v>53</c:v>
                </c:pt>
                <c:pt idx="150">
                  <c:v>56</c:v>
                </c:pt>
                <c:pt idx="151">
                  <c:v>59</c:v>
                </c:pt>
                <c:pt idx="152">
                  <c:v>62</c:v>
                </c:pt>
                <c:pt idx="153">
                  <c:v>65</c:v>
                </c:pt>
                <c:pt idx="154">
                  <c:v>68</c:v>
                </c:pt>
                <c:pt idx="155">
                  <c:v>71</c:v>
                </c:pt>
                <c:pt idx="156">
                  <c:v>74</c:v>
                </c:pt>
                <c:pt idx="157">
                  <c:v>77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95</c:v>
                </c:pt>
                <c:pt idx="250">
                  <c:v>90</c:v>
                </c:pt>
                <c:pt idx="251">
                  <c:v>85</c:v>
                </c:pt>
                <c:pt idx="252">
                  <c:v>80</c:v>
                </c:pt>
                <c:pt idx="253">
                  <c:v>75</c:v>
                </c:pt>
                <c:pt idx="254">
                  <c:v>70</c:v>
                </c:pt>
                <c:pt idx="255">
                  <c:v>65</c:v>
                </c:pt>
                <c:pt idx="256">
                  <c:v>60</c:v>
                </c:pt>
                <c:pt idx="257">
                  <c:v>55</c:v>
                </c:pt>
                <c:pt idx="258">
                  <c:v>50</c:v>
                </c:pt>
                <c:pt idx="259">
                  <c:v>45</c:v>
                </c:pt>
                <c:pt idx="260">
                  <c:v>40</c:v>
                </c:pt>
                <c:pt idx="261">
                  <c:v>35</c:v>
                </c:pt>
                <c:pt idx="262">
                  <c:v>30</c:v>
                </c:pt>
                <c:pt idx="263">
                  <c:v>25</c:v>
                </c:pt>
                <c:pt idx="264">
                  <c:v>20</c:v>
                </c:pt>
                <c:pt idx="265">
                  <c:v>15</c:v>
                </c:pt>
                <c:pt idx="266">
                  <c:v>10</c:v>
                </c:pt>
                <c:pt idx="267">
                  <c:v>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</c:v>
                </c:pt>
                <c:pt idx="292">
                  <c:v>10</c:v>
                </c:pt>
                <c:pt idx="293">
                  <c:v>15</c:v>
                </c:pt>
                <c:pt idx="294">
                  <c:v>20</c:v>
                </c:pt>
                <c:pt idx="295">
                  <c:v>25</c:v>
                </c:pt>
                <c:pt idx="296">
                  <c:v>30</c:v>
                </c:pt>
                <c:pt idx="297">
                  <c:v>35</c:v>
                </c:pt>
                <c:pt idx="298">
                  <c:v>40</c:v>
                </c:pt>
                <c:pt idx="299">
                  <c:v>45</c:v>
                </c:pt>
                <c:pt idx="300">
                  <c:v>50</c:v>
                </c:pt>
                <c:pt idx="301">
                  <c:v>55</c:v>
                </c:pt>
                <c:pt idx="302">
                  <c:v>60</c:v>
                </c:pt>
                <c:pt idx="303">
                  <c:v>65</c:v>
                </c:pt>
                <c:pt idx="304">
                  <c:v>70</c:v>
                </c:pt>
                <c:pt idx="305">
                  <c:v>75</c:v>
                </c:pt>
                <c:pt idx="306">
                  <c:v>80</c:v>
                </c:pt>
                <c:pt idx="307">
                  <c:v>85</c:v>
                </c:pt>
                <c:pt idx="308">
                  <c:v>90</c:v>
                </c:pt>
                <c:pt idx="309">
                  <c:v>95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98.5</c:v>
                </c:pt>
                <c:pt idx="326">
                  <c:v>97</c:v>
                </c:pt>
                <c:pt idx="327">
                  <c:v>95.5</c:v>
                </c:pt>
                <c:pt idx="328">
                  <c:v>94</c:v>
                </c:pt>
                <c:pt idx="329">
                  <c:v>92.5</c:v>
                </c:pt>
                <c:pt idx="330">
                  <c:v>91</c:v>
                </c:pt>
                <c:pt idx="331">
                  <c:v>89.5</c:v>
                </c:pt>
                <c:pt idx="332">
                  <c:v>88</c:v>
                </c:pt>
                <c:pt idx="333">
                  <c:v>86.5</c:v>
                </c:pt>
                <c:pt idx="334">
                  <c:v>85</c:v>
                </c:pt>
                <c:pt idx="335">
                  <c:v>83.5</c:v>
                </c:pt>
                <c:pt idx="336">
                  <c:v>82</c:v>
                </c:pt>
                <c:pt idx="337">
                  <c:v>80.5</c:v>
                </c:pt>
                <c:pt idx="338">
                  <c:v>79</c:v>
                </c:pt>
                <c:pt idx="339">
                  <c:v>77.5</c:v>
                </c:pt>
                <c:pt idx="340">
                  <c:v>76</c:v>
                </c:pt>
                <c:pt idx="341">
                  <c:v>74.5</c:v>
                </c:pt>
                <c:pt idx="342">
                  <c:v>73</c:v>
                </c:pt>
                <c:pt idx="343">
                  <c:v>71.5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71.5</c:v>
                </c:pt>
                <c:pt idx="368">
                  <c:v>73</c:v>
                </c:pt>
                <c:pt idx="369">
                  <c:v>74.5</c:v>
                </c:pt>
                <c:pt idx="370">
                  <c:v>76</c:v>
                </c:pt>
                <c:pt idx="371">
                  <c:v>77.5</c:v>
                </c:pt>
                <c:pt idx="372">
                  <c:v>79</c:v>
                </c:pt>
                <c:pt idx="373">
                  <c:v>80.5</c:v>
                </c:pt>
                <c:pt idx="374">
                  <c:v>82</c:v>
                </c:pt>
                <c:pt idx="375">
                  <c:v>83.5</c:v>
                </c:pt>
                <c:pt idx="376">
                  <c:v>85</c:v>
                </c:pt>
                <c:pt idx="377">
                  <c:v>86.5</c:v>
                </c:pt>
                <c:pt idx="378">
                  <c:v>88</c:v>
                </c:pt>
                <c:pt idx="379">
                  <c:v>89.5</c:v>
                </c:pt>
                <c:pt idx="380">
                  <c:v>91</c:v>
                </c:pt>
                <c:pt idx="381">
                  <c:v>92.5</c:v>
                </c:pt>
                <c:pt idx="382">
                  <c:v>94</c:v>
                </c:pt>
                <c:pt idx="383">
                  <c:v>95.5</c:v>
                </c:pt>
                <c:pt idx="384">
                  <c:v>97</c:v>
                </c:pt>
                <c:pt idx="385">
                  <c:v>98.5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8FB-4695-87E7-89E5FCAAF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29632"/>
        <c:axId val="90631168"/>
      </c:scatterChart>
      <c:scatterChart>
        <c:scatterStyle val="smoothMarker"/>
        <c:varyColors val="0"/>
        <c:ser>
          <c:idx val="1"/>
          <c:order val="4"/>
          <c:tx>
            <c:v>Cycle 1</c:v>
          </c:tx>
          <c:spPr>
            <a:ln>
              <a:solidFill>
                <a:schemeClr val="tx2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Tabelle!$H$18:$H$529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8FB-4695-87E7-89E5FCAAFB40}"/>
            </c:ext>
          </c:extLst>
        </c:ser>
        <c:ser>
          <c:idx val="5"/>
          <c:order val="5"/>
          <c:tx>
            <c:v>Cycle 2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Tabelle!$P$18:$P$529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8FB-4695-87E7-89E5FCAAFB40}"/>
            </c:ext>
          </c:extLst>
        </c:ser>
        <c:ser>
          <c:idx val="6"/>
          <c:order val="6"/>
          <c:tx>
            <c:v>Cycle 3</c:v>
          </c:tx>
          <c:spPr>
            <a:ln>
              <a:solidFill>
                <a:schemeClr val="accent3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Tabelle!$X$18:$X$529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98FB-4695-87E7-89E5FCAAFB40}"/>
            </c:ext>
          </c:extLst>
        </c:ser>
        <c:ser>
          <c:idx val="7"/>
          <c:order val="7"/>
          <c:tx>
            <c:v>Cycle 4</c:v>
          </c:tx>
          <c:spPr>
            <a:ln>
              <a:solidFill>
                <a:schemeClr val="accent4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Tabelle!$AF$18:$AF$529</c:f>
              <c:numCache>
                <c:formatCode>General</c:formatCode>
                <c:ptCount val="5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14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14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14</c:v>
                </c:pt>
                <c:pt idx="289">
                  <c:v>14</c:v>
                </c:pt>
                <c:pt idx="290">
                  <c:v>14</c:v>
                </c:pt>
                <c:pt idx="291">
                  <c:v>14</c:v>
                </c:pt>
                <c:pt idx="292">
                  <c:v>14</c:v>
                </c:pt>
                <c:pt idx="293">
                  <c:v>14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14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</c:v>
                </c:pt>
                <c:pt idx="311">
                  <c:v>14</c:v>
                </c:pt>
                <c:pt idx="312">
                  <c:v>14</c:v>
                </c:pt>
                <c:pt idx="313">
                  <c:v>14</c:v>
                </c:pt>
                <c:pt idx="314">
                  <c:v>14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</c:v>
                </c:pt>
                <c:pt idx="330">
                  <c:v>14</c:v>
                </c:pt>
                <c:pt idx="331">
                  <c:v>14</c:v>
                </c:pt>
                <c:pt idx="332">
                  <c:v>14</c:v>
                </c:pt>
                <c:pt idx="333">
                  <c:v>14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14</c:v>
                </c:pt>
                <c:pt idx="338">
                  <c:v>14</c:v>
                </c:pt>
                <c:pt idx="339">
                  <c:v>14</c:v>
                </c:pt>
                <c:pt idx="340">
                  <c:v>14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</c:v>
                </c:pt>
                <c:pt idx="345">
                  <c:v>14</c:v>
                </c:pt>
                <c:pt idx="346">
                  <c:v>14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14</c:v>
                </c:pt>
                <c:pt idx="355">
                  <c:v>14</c:v>
                </c:pt>
                <c:pt idx="356">
                  <c:v>14</c:v>
                </c:pt>
                <c:pt idx="357">
                  <c:v>14</c:v>
                </c:pt>
                <c:pt idx="358">
                  <c:v>14</c:v>
                </c:pt>
                <c:pt idx="359">
                  <c:v>14</c:v>
                </c:pt>
                <c:pt idx="360">
                  <c:v>14</c:v>
                </c:pt>
                <c:pt idx="361">
                  <c:v>14</c:v>
                </c:pt>
                <c:pt idx="362">
                  <c:v>14</c:v>
                </c:pt>
                <c:pt idx="363">
                  <c:v>14</c:v>
                </c:pt>
                <c:pt idx="364">
                  <c:v>14</c:v>
                </c:pt>
                <c:pt idx="365">
                  <c:v>14</c:v>
                </c:pt>
                <c:pt idx="366">
                  <c:v>14</c:v>
                </c:pt>
                <c:pt idx="367">
                  <c:v>14</c:v>
                </c:pt>
                <c:pt idx="368">
                  <c:v>14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</c:v>
                </c:pt>
                <c:pt idx="376">
                  <c:v>14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</c:v>
                </c:pt>
                <c:pt idx="387">
                  <c:v>14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14</c:v>
                </c:pt>
                <c:pt idx="394">
                  <c:v>14</c:v>
                </c:pt>
                <c:pt idx="395">
                  <c:v>14</c:v>
                </c:pt>
                <c:pt idx="396">
                  <c:v>14</c:v>
                </c:pt>
                <c:pt idx="397">
                  <c:v>14</c:v>
                </c:pt>
                <c:pt idx="398">
                  <c:v>14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8FB-4695-87E7-89E5FCAAF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683648"/>
        <c:axId val="90682112"/>
      </c:scatterChart>
      <c:valAx>
        <c:axId val="90629632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90631168"/>
        <c:crosses val="autoZero"/>
        <c:crossBetween val="midCat"/>
      </c:valAx>
      <c:valAx>
        <c:axId val="90631168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90629632"/>
        <c:crosses val="autoZero"/>
        <c:crossBetween val="midCat"/>
      </c:valAx>
      <c:valAx>
        <c:axId val="90682112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90683648"/>
        <c:crosses val="max"/>
        <c:crossBetween val="midCat"/>
        <c:majorUnit val="1"/>
        <c:minorUnit val="1"/>
      </c:valAx>
      <c:valAx>
        <c:axId val="906836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0682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Waveform 1[%]</c:v>
          </c:tx>
          <c:spPr>
            <a:ln>
              <a:solidFill>
                <a:schemeClr val="tx2"/>
              </a:solidFill>
            </a:ln>
          </c:spPr>
          <c:marker>
            <c:symbol val="none"/>
          </c:marker>
          <c:xVal>
            <c:numRef>
              <c:f>Tabelle!$B$18:$B$2065</c:f>
              <c:numCache>
                <c:formatCode>General</c:formatCode>
                <c:ptCount val="2048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Tabelle!$G$18:$G$529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95</c:v>
                </c:pt>
                <c:pt idx="22">
                  <c:v>90</c:v>
                </c:pt>
                <c:pt idx="23">
                  <c:v>85</c:v>
                </c:pt>
                <c:pt idx="24">
                  <c:v>80</c:v>
                </c:pt>
                <c:pt idx="25">
                  <c:v>75</c:v>
                </c:pt>
                <c:pt idx="26">
                  <c:v>70</c:v>
                </c:pt>
                <c:pt idx="27">
                  <c:v>65</c:v>
                </c:pt>
                <c:pt idx="28">
                  <c:v>60</c:v>
                </c:pt>
                <c:pt idx="29">
                  <c:v>55</c:v>
                </c:pt>
                <c:pt idx="30">
                  <c:v>50</c:v>
                </c:pt>
                <c:pt idx="31">
                  <c:v>45</c:v>
                </c:pt>
                <c:pt idx="32">
                  <c:v>40</c:v>
                </c:pt>
                <c:pt idx="33">
                  <c:v>35</c:v>
                </c:pt>
                <c:pt idx="34">
                  <c:v>30</c:v>
                </c:pt>
                <c:pt idx="35">
                  <c:v>25</c:v>
                </c:pt>
                <c:pt idx="36">
                  <c:v>20</c:v>
                </c:pt>
                <c:pt idx="37">
                  <c:v>15</c:v>
                </c:pt>
                <c:pt idx="38">
                  <c:v>10</c:v>
                </c:pt>
                <c:pt idx="39">
                  <c:v>5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6</c:v>
                </c:pt>
                <c:pt idx="62">
                  <c:v>12</c:v>
                </c:pt>
                <c:pt idx="63">
                  <c:v>18</c:v>
                </c:pt>
                <c:pt idx="64">
                  <c:v>24</c:v>
                </c:pt>
                <c:pt idx="65">
                  <c:v>30</c:v>
                </c:pt>
                <c:pt idx="66">
                  <c:v>36</c:v>
                </c:pt>
                <c:pt idx="67">
                  <c:v>42</c:v>
                </c:pt>
                <c:pt idx="68">
                  <c:v>48</c:v>
                </c:pt>
                <c:pt idx="69">
                  <c:v>54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60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69</c:v>
                </c:pt>
                <c:pt idx="92">
                  <c:v>78</c:v>
                </c:pt>
                <c:pt idx="93">
                  <c:v>87</c:v>
                </c:pt>
                <c:pt idx="94">
                  <c:v>96</c:v>
                </c:pt>
                <c:pt idx="95">
                  <c:v>105</c:v>
                </c:pt>
                <c:pt idx="96">
                  <c:v>114</c:v>
                </c:pt>
                <c:pt idx="97">
                  <c:v>123</c:v>
                </c:pt>
                <c:pt idx="98">
                  <c:v>132</c:v>
                </c:pt>
                <c:pt idx="99">
                  <c:v>141</c:v>
                </c:pt>
                <c:pt idx="100">
                  <c:v>150</c:v>
                </c:pt>
                <c:pt idx="101">
                  <c:v>150</c:v>
                </c:pt>
                <c:pt idx="102">
                  <c:v>150</c:v>
                </c:pt>
                <c:pt idx="103">
                  <c:v>150</c:v>
                </c:pt>
                <c:pt idx="104">
                  <c:v>150</c:v>
                </c:pt>
                <c:pt idx="105">
                  <c:v>150</c:v>
                </c:pt>
                <c:pt idx="106">
                  <c:v>150</c:v>
                </c:pt>
                <c:pt idx="107">
                  <c:v>150</c:v>
                </c:pt>
                <c:pt idx="108">
                  <c:v>150</c:v>
                </c:pt>
                <c:pt idx="109">
                  <c:v>150</c:v>
                </c:pt>
                <c:pt idx="110">
                  <c:v>150</c:v>
                </c:pt>
                <c:pt idx="111">
                  <c:v>150</c:v>
                </c:pt>
                <c:pt idx="112">
                  <c:v>150</c:v>
                </c:pt>
                <c:pt idx="113">
                  <c:v>150</c:v>
                </c:pt>
                <c:pt idx="114">
                  <c:v>150</c:v>
                </c:pt>
                <c:pt idx="115">
                  <c:v>150</c:v>
                </c:pt>
                <c:pt idx="116">
                  <c:v>150</c:v>
                </c:pt>
                <c:pt idx="117">
                  <c:v>150</c:v>
                </c:pt>
                <c:pt idx="118">
                  <c:v>150</c:v>
                </c:pt>
                <c:pt idx="119">
                  <c:v>150</c:v>
                </c:pt>
                <c:pt idx="120">
                  <c:v>150</c:v>
                </c:pt>
                <c:pt idx="121">
                  <c:v>150</c:v>
                </c:pt>
                <c:pt idx="122">
                  <c:v>150</c:v>
                </c:pt>
                <c:pt idx="123">
                  <c:v>150</c:v>
                </c:pt>
                <c:pt idx="124">
                  <c:v>150</c:v>
                </c:pt>
                <c:pt idx="125">
                  <c:v>150</c:v>
                </c:pt>
                <c:pt idx="126">
                  <c:v>150</c:v>
                </c:pt>
                <c:pt idx="127">
                  <c:v>150</c:v>
                </c:pt>
                <c:pt idx="128">
                  <c:v>150</c:v>
                </c:pt>
                <c:pt idx="129">
                  <c:v>150</c:v>
                </c:pt>
                <c:pt idx="130">
                  <c:v>150</c:v>
                </c:pt>
                <c:pt idx="131">
                  <c:v>150</c:v>
                </c:pt>
                <c:pt idx="132">
                  <c:v>150</c:v>
                </c:pt>
                <c:pt idx="133">
                  <c:v>150</c:v>
                </c:pt>
                <c:pt idx="134">
                  <c:v>150</c:v>
                </c:pt>
                <c:pt idx="135">
                  <c:v>150</c:v>
                </c:pt>
                <c:pt idx="136">
                  <c:v>150</c:v>
                </c:pt>
                <c:pt idx="137">
                  <c:v>150</c:v>
                </c:pt>
                <c:pt idx="138">
                  <c:v>150</c:v>
                </c:pt>
                <c:pt idx="139">
                  <c:v>150</c:v>
                </c:pt>
                <c:pt idx="140">
                  <c:v>150</c:v>
                </c:pt>
                <c:pt idx="141">
                  <c:v>145</c:v>
                </c:pt>
                <c:pt idx="142">
                  <c:v>140</c:v>
                </c:pt>
                <c:pt idx="143">
                  <c:v>135</c:v>
                </c:pt>
                <c:pt idx="144">
                  <c:v>130</c:v>
                </c:pt>
                <c:pt idx="145">
                  <c:v>125</c:v>
                </c:pt>
                <c:pt idx="146">
                  <c:v>120</c:v>
                </c:pt>
                <c:pt idx="147">
                  <c:v>115</c:v>
                </c:pt>
                <c:pt idx="148">
                  <c:v>110</c:v>
                </c:pt>
                <c:pt idx="149">
                  <c:v>105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D2-4557-8B5E-DE511849C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52800"/>
        <c:axId val="88254336"/>
      </c:scatterChart>
      <c:scatterChart>
        <c:scatterStyle val="smoothMarker"/>
        <c:varyColors val="0"/>
        <c:ser>
          <c:idx val="1"/>
          <c:order val="1"/>
          <c:tx>
            <c:v>Cycle 1</c:v>
          </c:tx>
          <c:spPr>
            <a:ln>
              <a:solidFill>
                <a:schemeClr val="tx2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Tabelle!$H$18:$H$529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1D2-4557-8B5E-DE511849C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57664"/>
        <c:axId val="88255872"/>
      </c:scatterChart>
      <c:valAx>
        <c:axId val="88252800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8254336"/>
        <c:crosses val="autoZero"/>
        <c:crossBetween val="midCat"/>
      </c:valAx>
      <c:valAx>
        <c:axId val="88254336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88252800"/>
        <c:crosses val="autoZero"/>
        <c:crossBetween val="midCat"/>
      </c:valAx>
      <c:valAx>
        <c:axId val="88255872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88257664"/>
        <c:crosses val="max"/>
        <c:crossBetween val="midCat"/>
        <c:majorUnit val="1"/>
        <c:minorUnit val="1"/>
      </c:valAx>
      <c:valAx>
        <c:axId val="88257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82558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v>Waveform2 [%]</c:v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Tabelle!$O$18:$O$529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24</c:v>
                </c:pt>
                <c:pt idx="62">
                  <c:v>28</c:v>
                </c:pt>
                <c:pt idx="63">
                  <c:v>32</c:v>
                </c:pt>
                <c:pt idx="64">
                  <c:v>36</c:v>
                </c:pt>
                <c:pt idx="65">
                  <c:v>40</c:v>
                </c:pt>
                <c:pt idx="66">
                  <c:v>44</c:v>
                </c:pt>
                <c:pt idx="67">
                  <c:v>48</c:v>
                </c:pt>
                <c:pt idx="68">
                  <c:v>52</c:v>
                </c:pt>
                <c:pt idx="69">
                  <c:v>56</c:v>
                </c:pt>
                <c:pt idx="70">
                  <c:v>60</c:v>
                </c:pt>
                <c:pt idx="71">
                  <c:v>64</c:v>
                </c:pt>
                <c:pt idx="72">
                  <c:v>68</c:v>
                </c:pt>
                <c:pt idx="73">
                  <c:v>72</c:v>
                </c:pt>
                <c:pt idx="74">
                  <c:v>76</c:v>
                </c:pt>
                <c:pt idx="75">
                  <c:v>80</c:v>
                </c:pt>
                <c:pt idx="76">
                  <c:v>84</c:v>
                </c:pt>
                <c:pt idx="77">
                  <c:v>88</c:v>
                </c:pt>
                <c:pt idx="78">
                  <c:v>92</c:v>
                </c:pt>
                <c:pt idx="79">
                  <c:v>96</c:v>
                </c:pt>
                <c:pt idx="80">
                  <c:v>100</c:v>
                </c:pt>
                <c:pt idx="81">
                  <c:v>100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95</c:v>
                </c:pt>
                <c:pt idx="102">
                  <c:v>90</c:v>
                </c:pt>
                <c:pt idx="103">
                  <c:v>85</c:v>
                </c:pt>
                <c:pt idx="104">
                  <c:v>80</c:v>
                </c:pt>
                <c:pt idx="105">
                  <c:v>75</c:v>
                </c:pt>
                <c:pt idx="106">
                  <c:v>70</c:v>
                </c:pt>
                <c:pt idx="107">
                  <c:v>65</c:v>
                </c:pt>
                <c:pt idx="108">
                  <c:v>60</c:v>
                </c:pt>
                <c:pt idx="109">
                  <c:v>55</c:v>
                </c:pt>
                <c:pt idx="110">
                  <c:v>50</c:v>
                </c:pt>
                <c:pt idx="111">
                  <c:v>45</c:v>
                </c:pt>
                <c:pt idx="112">
                  <c:v>40</c:v>
                </c:pt>
                <c:pt idx="113">
                  <c:v>35</c:v>
                </c:pt>
                <c:pt idx="114">
                  <c:v>30</c:v>
                </c:pt>
                <c:pt idx="115">
                  <c:v>25</c:v>
                </c:pt>
                <c:pt idx="116">
                  <c:v>20</c:v>
                </c:pt>
                <c:pt idx="117">
                  <c:v>15</c:v>
                </c:pt>
                <c:pt idx="118">
                  <c:v>10</c:v>
                </c:pt>
                <c:pt idx="119">
                  <c:v>5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6</c:v>
                </c:pt>
                <c:pt idx="142">
                  <c:v>12</c:v>
                </c:pt>
                <c:pt idx="143">
                  <c:v>18</c:v>
                </c:pt>
                <c:pt idx="144">
                  <c:v>24</c:v>
                </c:pt>
                <c:pt idx="145">
                  <c:v>30</c:v>
                </c:pt>
                <c:pt idx="146">
                  <c:v>36</c:v>
                </c:pt>
                <c:pt idx="147">
                  <c:v>42</c:v>
                </c:pt>
                <c:pt idx="148">
                  <c:v>48</c:v>
                </c:pt>
                <c:pt idx="149">
                  <c:v>54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69</c:v>
                </c:pt>
                <c:pt idx="172">
                  <c:v>78</c:v>
                </c:pt>
                <c:pt idx="173">
                  <c:v>87</c:v>
                </c:pt>
                <c:pt idx="174">
                  <c:v>96</c:v>
                </c:pt>
                <c:pt idx="175">
                  <c:v>105</c:v>
                </c:pt>
                <c:pt idx="176">
                  <c:v>114</c:v>
                </c:pt>
                <c:pt idx="177">
                  <c:v>123</c:v>
                </c:pt>
                <c:pt idx="178">
                  <c:v>132</c:v>
                </c:pt>
                <c:pt idx="179">
                  <c:v>141</c:v>
                </c:pt>
                <c:pt idx="180">
                  <c:v>150</c:v>
                </c:pt>
                <c:pt idx="181">
                  <c:v>150</c:v>
                </c:pt>
                <c:pt idx="182">
                  <c:v>150</c:v>
                </c:pt>
                <c:pt idx="183">
                  <c:v>150</c:v>
                </c:pt>
                <c:pt idx="184">
                  <c:v>150</c:v>
                </c:pt>
                <c:pt idx="185">
                  <c:v>150</c:v>
                </c:pt>
                <c:pt idx="186">
                  <c:v>150</c:v>
                </c:pt>
                <c:pt idx="187">
                  <c:v>150</c:v>
                </c:pt>
                <c:pt idx="188">
                  <c:v>150</c:v>
                </c:pt>
                <c:pt idx="189">
                  <c:v>150</c:v>
                </c:pt>
                <c:pt idx="190">
                  <c:v>150</c:v>
                </c:pt>
                <c:pt idx="191">
                  <c:v>150</c:v>
                </c:pt>
                <c:pt idx="192">
                  <c:v>150</c:v>
                </c:pt>
                <c:pt idx="193">
                  <c:v>150</c:v>
                </c:pt>
                <c:pt idx="194">
                  <c:v>150</c:v>
                </c:pt>
                <c:pt idx="195">
                  <c:v>150</c:v>
                </c:pt>
                <c:pt idx="196">
                  <c:v>150</c:v>
                </c:pt>
                <c:pt idx="197">
                  <c:v>150</c:v>
                </c:pt>
                <c:pt idx="198">
                  <c:v>150</c:v>
                </c:pt>
                <c:pt idx="199">
                  <c:v>150</c:v>
                </c:pt>
                <c:pt idx="200">
                  <c:v>150</c:v>
                </c:pt>
                <c:pt idx="201">
                  <c:v>150</c:v>
                </c:pt>
                <c:pt idx="202">
                  <c:v>150</c:v>
                </c:pt>
                <c:pt idx="203">
                  <c:v>150</c:v>
                </c:pt>
                <c:pt idx="204">
                  <c:v>150</c:v>
                </c:pt>
                <c:pt idx="205">
                  <c:v>150</c:v>
                </c:pt>
                <c:pt idx="206">
                  <c:v>150</c:v>
                </c:pt>
                <c:pt idx="207">
                  <c:v>150</c:v>
                </c:pt>
                <c:pt idx="208">
                  <c:v>150</c:v>
                </c:pt>
                <c:pt idx="209">
                  <c:v>150</c:v>
                </c:pt>
                <c:pt idx="210">
                  <c:v>150</c:v>
                </c:pt>
                <c:pt idx="211">
                  <c:v>150</c:v>
                </c:pt>
                <c:pt idx="212">
                  <c:v>150</c:v>
                </c:pt>
                <c:pt idx="213">
                  <c:v>150</c:v>
                </c:pt>
                <c:pt idx="214">
                  <c:v>150</c:v>
                </c:pt>
                <c:pt idx="215">
                  <c:v>150</c:v>
                </c:pt>
                <c:pt idx="216">
                  <c:v>150</c:v>
                </c:pt>
                <c:pt idx="217">
                  <c:v>150</c:v>
                </c:pt>
                <c:pt idx="218">
                  <c:v>150</c:v>
                </c:pt>
                <c:pt idx="219">
                  <c:v>150</c:v>
                </c:pt>
                <c:pt idx="220">
                  <c:v>150</c:v>
                </c:pt>
                <c:pt idx="221">
                  <c:v>145</c:v>
                </c:pt>
                <c:pt idx="222">
                  <c:v>140</c:v>
                </c:pt>
                <c:pt idx="223">
                  <c:v>135</c:v>
                </c:pt>
                <c:pt idx="224">
                  <c:v>130</c:v>
                </c:pt>
                <c:pt idx="225">
                  <c:v>125</c:v>
                </c:pt>
                <c:pt idx="226">
                  <c:v>120</c:v>
                </c:pt>
                <c:pt idx="227">
                  <c:v>115</c:v>
                </c:pt>
                <c:pt idx="228">
                  <c:v>110</c:v>
                </c:pt>
                <c:pt idx="229">
                  <c:v>105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F-445A-A534-C294E1628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41632"/>
        <c:axId val="89143168"/>
      </c:scatterChart>
      <c:scatterChart>
        <c:scatterStyle val="smoothMarker"/>
        <c:varyColors val="0"/>
        <c:ser>
          <c:idx val="5"/>
          <c:order val="1"/>
          <c:tx>
            <c:v>Cycle 2</c:v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Tabelle!$P$18:$P$529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3">
                  <c:v>4</c:v>
                </c:pt>
                <c:pt idx="34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4</c:v>
                </c:pt>
                <c:pt idx="61">
                  <c:v>4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4</c:v>
                </c:pt>
                <c:pt idx="72">
                  <c:v>4</c:v>
                </c:pt>
                <c:pt idx="73">
                  <c:v>4</c:v>
                </c:pt>
                <c:pt idx="74">
                  <c:v>4</c:v>
                </c:pt>
                <c:pt idx="75">
                  <c:v>4</c:v>
                </c:pt>
                <c:pt idx="76">
                  <c:v>4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4</c:v>
                </c:pt>
                <c:pt idx="81">
                  <c:v>4</c:v>
                </c:pt>
                <c:pt idx="82">
                  <c:v>4</c:v>
                </c:pt>
                <c:pt idx="83">
                  <c:v>4</c:v>
                </c:pt>
                <c:pt idx="84">
                  <c:v>4</c:v>
                </c:pt>
                <c:pt idx="85">
                  <c:v>4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</c:v>
                </c:pt>
                <c:pt idx="90">
                  <c:v>4</c:v>
                </c:pt>
                <c:pt idx="91">
                  <c:v>4</c:v>
                </c:pt>
                <c:pt idx="92">
                  <c:v>4</c:v>
                </c:pt>
                <c:pt idx="93">
                  <c:v>4</c:v>
                </c:pt>
                <c:pt idx="94">
                  <c:v>4</c:v>
                </c:pt>
                <c:pt idx="95">
                  <c:v>4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7F-445A-A534-C294E1628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146496"/>
        <c:axId val="89144704"/>
      </c:scatterChart>
      <c:valAx>
        <c:axId val="89141632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9143168"/>
        <c:crosses val="autoZero"/>
        <c:crossBetween val="midCat"/>
      </c:valAx>
      <c:valAx>
        <c:axId val="89143168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89141632"/>
        <c:crosses val="autoZero"/>
        <c:crossBetween val="midCat"/>
      </c:valAx>
      <c:valAx>
        <c:axId val="89144704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89146496"/>
        <c:crosses val="max"/>
        <c:crossBetween val="midCat"/>
        <c:majorUnit val="1"/>
        <c:minorUnit val="1"/>
      </c:valAx>
      <c:valAx>
        <c:axId val="8914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9144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v>Waveform 3 [%]</c:v>
          </c:tx>
          <c:spPr>
            <a:ln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Tabelle!$W$18:$W$529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96.15</c:v>
                </c:pt>
                <c:pt idx="22">
                  <c:v>92.300000000000011</c:v>
                </c:pt>
                <c:pt idx="23">
                  <c:v>88.450000000000017</c:v>
                </c:pt>
                <c:pt idx="24">
                  <c:v>84.600000000000023</c:v>
                </c:pt>
                <c:pt idx="25">
                  <c:v>80.750000000000028</c:v>
                </c:pt>
                <c:pt idx="26">
                  <c:v>76.900000000000034</c:v>
                </c:pt>
                <c:pt idx="27">
                  <c:v>73.05000000000004</c:v>
                </c:pt>
                <c:pt idx="28">
                  <c:v>69.200000000000045</c:v>
                </c:pt>
                <c:pt idx="29">
                  <c:v>65.350000000000051</c:v>
                </c:pt>
                <c:pt idx="30">
                  <c:v>61.50000000000005</c:v>
                </c:pt>
                <c:pt idx="31">
                  <c:v>57.650000000000048</c:v>
                </c:pt>
                <c:pt idx="32">
                  <c:v>53.800000000000047</c:v>
                </c:pt>
                <c:pt idx="33">
                  <c:v>49.950000000000045</c:v>
                </c:pt>
                <c:pt idx="34">
                  <c:v>46.100000000000044</c:v>
                </c:pt>
                <c:pt idx="35">
                  <c:v>42.250000000000043</c:v>
                </c:pt>
                <c:pt idx="36">
                  <c:v>38.400000000000041</c:v>
                </c:pt>
                <c:pt idx="37">
                  <c:v>34.55000000000004</c:v>
                </c:pt>
                <c:pt idx="38">
                  <c:v>30.700000000000038</c:v>
                </c:pt>
                <c:pt idx="39">
                  <c:v>26.850000000000037</c:v>
                </c:pt>
                <c:pt idx="40">
                  <c:v>23.000000000000036</c:v>
                </c:pt>
                <c:pt idx="41">
                  <c:v>23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23</c:v>
                </c:pt>
                <c:pt idx="48">
                  <c:v>23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23</c:v>
                </c:pt>
                <c:pt idx="53">
                  <c:v>23</c:v>
                </c:pt>
                <c:pt idx="54">
                  <c:v>23</c:v>
                </c:pt>
                <c:pt idx="55">
                  <c:v>23</c:v>
                </c:pt>
                <c:pt idx="56">
                  <c:v>23</c:v>
                </c:pt>
                <c:pt idx="57">
                  <c:v>23</c:v>
                </c:pt>
                <c:pt idx="58">
                  <c:v>23</c:v>
                </c:pt>
                <c:pt idx="59">
                  <c:v>23</c:v>
                </c:pt>
                <c:pt idx="60">
                  <c:v>23</c:v>
                </c:pt>
                <c:pt idx="61">
                  <c:v>23</c:v>
                </c:pt>
                <c:pt idx="62">
                  <c:v>23</c:v>
                </c:pt>
                <c:pt idx="63">
                  <c:v>26.85</c:v>
                </c:pt>
                <c:pt idx="64">
                  <c:v>30.700000000000003</c:v>
                </c:pt>
                <c:pt idx="65">
                  <c:v>34.550000000000004</c:v>
                </c:pt>
                <c:pt idx="66">
                  <c:v>38.400000000000006</c:v>
                </c:pt>
                <c:pt idx="67">
                  <c:v>42.250000000000007</c:v>
                </c:pt>
                <c:pt idx="68">
                  <c:v>46.100000000000009</c:v>
                </c:pt>
                <c:pt idx="69">
                  <c:v>49.95000000000001</c:v>
                </c:pt>
                <c:pt idx="70">
                  <c:v>53.800000000000011</c:v>
                </c:pt>
                <c:pt idx="71">
                  <c:v>57.650000000000013</c:v>
                </c:pt>
                <c:pt idx="72">
                  <c:v>61.500000000000014</c:v>
                </c:pt>
                <c:pt idx="73">
                  <c:v>65.350000000000009</c:v>
                </c:pt>
                <c:pt idx="74">
                  <c:v>69.2</c:v>
                </c:pt>
                <c:pt idx="75">
                  <c:v>73.05</c:v>
                </c:pt>
                <c:pt idx="76">
                  <c:v>76.899999999999991</c:v>
                </c:pt>
                <c:pt idx="77">
                  <c:v>80.749999999999986</c:v>
                </c:pt>
                <c:pt idx="78">
                  <c:v>84.59999999999998</c:v>
                </c:pt>
                <c:pt idx="79">
                  <c:v>88.449999999999974</c:v>
                </c:pt>
                <c:pt idx="80">
                  <c:v>92.299999999999969</c:v>
                </c:pt>
                <c:pt idx="81">
                  <c:v>96.149999999999963</c:v>
                </c:pt>
                <c:pt idx="82">
                  <c:v>99.999999999999957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95</c:v>
                </c:pt>
                <c:pt idx="98">
                  <c:v>90</c:v>
                </c:pt>
                <c:pt idx="99">
                  <c:v>85</c:v>
                </c:pt>
                <c:pt idx="100">
                  <c:v>80</c:v>
                </c:pt>
                <c:pt idx="101">
                  <c:v>75</c:v>
                </c:pt>
                <c:pt idx="102">
                  <c:v>70</c:v>
                </c:pt>
                <c:pt idx="103">
                  <c:v>65</c:v>
                </c:pt>
                <c:pt idx="104">
                  <c:v>60</c:v>
                </c:pt>
                <c:pt idx="105">
                  <c:v>55</c:v>
                </c:pt>
                <c:pt idx="106">
                  <c:v>50</c:v>
                </c:pt>
                <c:pt idx="107">
                  <c:v>45</c:v>
                </c:pt>
                <c:pt idx="108">
                  <c:v>40</c:v>
                </c:pt>
                <c:pt idx="109">
                  <c:v>35</c:v>
                </c:pt>
                <c:pt idx="110">
                  <c:v>30</c:v>
                </c:pt>
                <c:pt idx="111">
                  <c:v>25</c:v>
                </c:pt>
                <c:pt idx="112">
                  <c:v>20</c:v>
                </c:pt>
                <c:pt idx="113">
                  <c:v>15</c:v>
                </c:pt>
                <c:pt idx="114">
                  <c:v>10</c:v>
                </c:pt>
                <c:pt idx="115">
                  <c:v>5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4</c:v>
                </c:pt>
                <c:pt idx="140">
                  <c:v>8</c:v>
                </c:pt>
                <c:pt idx="141">
                  <c:v>12</c:v>
                </c:pt>
                <c:pt idx="142">
                  <c:v>16</c:v>
                </c:pt>
                <c:pt idx="143">
                  <c:v>20</c:v>
                </c:pt>
                <c:pt idx="144">
                  <c:v>24</c:v>
                </c:pt>
                <c:pt idx="145">
                  <c:v>28</c:v>
                </c:pt>
                <c:pt idx="146">
                  <c:v>32</c:v>
                </c:pt>
                <c:pt idx="147">
                  <c:v>36</c:v>
                </c:pt>
                <c:pt idx="148">
                  <c:v>40</c:v>
                </c:pt>
                <c:pt idx="149">
                  <c:v>44</c:v>
                </c:pt>
                <c:pt idx="150">
                  <c:v>48</c:v>
                </c:pt>
                <c:pt idx="151">
                  <c:v>52</c:v>
                </c:pt>
                <c:pt idx="152">
                  <c:v>56</c:v>
                </c:pt>
                <c:pt idx="153">
                  <c:v>60</c:v>
                </c:pt>
                <c:pt idx="154">
                  <c:v>64</c:v>
                </c:pt>
                <c:pt idx="155">
                  <c:v>68</c:v>
                </c:pt>
                <c:pt idx="156">
                  <c:v>72</c:v>
                </c:pt>
                <c:pt idx="157">
                  <c:v>76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  <c:pt idx="365">
                  <c:v>100</c:v>
                </c:pt>
                <c:pt idx="366">
                  <c:v>100</c:v>
                </c:pt>
                <c:pt idx="367">
                  <c:v>100</c:v>
                </c:pt>
                <c:pt idx="368">
                  <c:v>100</c:v>
                </c:pt>
                <c:pt idx="369">
                  <c:v>100</c:v>
                </c:pt>
                <c:pt idx="370">
                  <c:v>100</c:v>
                </c:pt>
                <c:pt idx="371">
                  <c:v>100</c:v>
                </c:pt>
                <c:pt idx="372">
                  <c:v>100</c:v>
                </c:pt>
                <c:pt idx="373">
                  <c:v>100</c:v>
                </c:pt>
                <c:pt idx="374">
                  <c:v>100</c:v>
                </c:pt>
                <c:pt idx="375">
                  <c:v>100</c:v>
                </c:pt>
                <c:pt idx="376">
                  <c:v>100</c:v>
                </c:pt>
                <c:pt idx="377">
                  <c:v>100</c:v>
                </c:pt>
                <c:pt idx="378">
                  <c:v>100</c:v>
                </c:pt>
                <c:pt idx="379">
                  <c:v>100</c:v>
                </c:pt>
                <c:pt idx="380">
                  <c:v>100</c:v>
                </c:pt>
                <c:pt idx="381">
                  <c:v>100</c:v>
                </c:pt>
                <c:pt idx="382">
                  <c:v>100</c:v>
                </c:pt>
                <c:pt idx="383">
                  <c:v>100</c:v>
                </c:pt>
                <c:pt idx="384">
                  <c:v>100</c:v>
                </c:pt>
                <c:pt idx="385">
                  <c:v>100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76-47D5-836F-F34DED71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56736"/>
        <c:axId val="89958272"/>
      </c:scatterChart>
      <c:scatterChart>
        <c:scatterStyle val="smoothMarker"/>
        <c:varyColors val="0"/>
        <c:ser>
          <c:idx val="6"/>
          <c:order val="1"/>
          <c:tx>
            <c:v>Cycle 3</c:v>
          </c:tx>
          <c:spPr>
            <a:ln>
              <a:solidFill>
                <a:schemeClr val="accent3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Tabelle!$X$18:$X$529</c:f>
              <c:numCache>
                <c:formatCode>General</c:formatCode>
                <c:ptCount val="51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  <c:pt idx="30">
                  <c:v>6</c:v>
                </c:pt>
                <c:pt idx="31">
                  <c:v>6</c:v>
                </c:pt>
                <c:pt idx="32">
                  <c:v>6</c:v>
                </c:pt>
                <c:pt idx="33">
                  <c:v>6</c:v>
                </c:pt>
                <c:pt idx="34">
                  <c:v>6</c:v>
                </c:pt>
                <c:pt idx="35">
                  <c:v>6</c:v>
                </c:pt>
                <c:pt idx="36">
                  <c:v>6</c:v>
                </c:pt>
                <c:pt idx="37">
                  <c:v>6</c:v>
                </c:pt>
                <c:pt idx="38">
                  <c:v>6</c:v>
                </c:pt>
                <c:pt idx="39">
                  <c:v>6</c:v>
                </c:pt>
                <c:pt idx="40">
                  <c:v>6</c:v>
                </c:pt>
                <c:pt idx="41">
                  <c:v>6</c:v>
                </c:pt>
                <c:pt idx="42">
                  <c:v>6</c:v>
                </c:pt>
                <c:pt idx="43">
                  <c:v>6</c:v>
                </c:pt>
                <c:pt idx="44">
                  <c:v>6</c:v>
                </c:pt>
                <c:pt idx="45">
                  <c:v>6</c:v>
                </c:pt>
                <c:pt idx="46">
                  <c:v>6</c:v>
                </c:pt>
                <c:pt idx="47">
                  <c:v>6</c:v>
                </c:pt>
                <c:pt idx="48">
                  <c:v>6</c:v>
                </c:pt>
                <c:pt idx="49">
                  <c:v>6</c:v>
                </c:pt>
                <c:pt idx="50">
                  <c:v>6</c:v>
                </c:pt>
                <c:pt idx="51">
                  <c:v>6</c:v>
                </c:pt>
                <c:pt idx="52">
                  <c:v>6</c:v>
                </c:pt>
                <c:pt idx="53">
                  <c:v>6</c:v>
                </c:pt>
                <c:pt idx="54">
                  <c:v>6</c:v>
                </c:pt>
                <c:pt idx="55">
                  <c:v>6</c:v>
                </c:pt>
                <c:pt idx="56">
                  <c:v>6</c:v>
                </c:pt>
                <c:pt idx="57">
                  <c:v>6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6</c:v>
                </c:pt>
                <c:pt idx="62">
                  <c:v>6</c:v>
                </c:pt>
                <c:pt idx="63">
                  <c:v>6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6</c:v>
                </c:pt>
                <c:pt idx="69">
                  <c:v>6</c:v>
                </c:pt>
                <c:pt idx="70">
                  <c:v>6</c:v>
                </c:pt>
                <c:pt idx="71">
                  <c:v>6</c:v>
                </c:pt>
                <c:pt idx="72">
                  <c:v>6</c:v>
                </c:pt>
                <c:pt idx="73">
                  <c:v>6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6</c:v>
                </c:pt>
                <c:pt idx="78">
                  <c:v>6</c:v>
                </c:pt>
                <c:pt idx="79">
                  <c:v>6</c:v>
                </c:pt>
                <c:pt idx="80">
                  <c:v>6</c:v>
                </c:pt>
                <c:pt idx="81">
                  <c:v>6</c:v>
                </c:pt>
                <c:pt idx="82">
                  <c:v>6</c:v>
                </c:pt>
                <c:pt idx="83">
                  <c:v>6</c:v>
                </c:pt>
                <c:pt idx="84">
                  <c:v>6</c:v>
                </c:pt>
                <c:pt idx="85">
                  <c:v>6</c:v>
                </c:pt>
                <c:pt idx="86">
                  <c:v>6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  <c:pt idx="91">
                  <c:v>6</c:v>
                </c:pt>
                <c:pt idx="92">
                  <c:v>6</c:v>
                </c:pt>
                <c:pt idx="93">
                  <c:v>6</c:v>
                </c:pt>
                <c:pt idx="94">
                  <c:v>6</c:v>
                </c:pt>
                <c:pt idx="95">
                  <c:v>6</c:v>
                </c:pt>
                <c:pt idx="96">
                  <c:v>6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6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</c:v>
                </c:pt>
                <c:pt idx="106">
                  <c:v>6</c:v>
                </c:pt>
                <c:pt idx="107">
                  <c:v>6</c:v>
                </c:pt>
                <c:pt idx="108">
                  <c:v>6</c:v>
                </c:pt>
                <c:pt idx="109">
                  <c:v>6</c:v>
                </c:pt>
                <c:pt idx="110">
                  <c:v>6</c:v>
                </c:pt>
                <c:pt idx="111">
                  <c:v>6</c:v>
                </c:pt>
                <c:pt idx="112">
                  <c:v>6</c:v>
                </c:pt>
                <c:pt idx="113">
                  <c:v>6</c:v>
                </c:pt>
                <c:pt idx="114">
                  <c:v>6</c:v>
                </c:pt>
                <c:pt idx="115">
                  <c:v>6</c:v>
                </c:pt>
                <c:pt idx="116">
                  <c:v>6</c:v>
                </c:pt>
                <c:pt idx="117">
                  <c:v>6</c:v>
                </c:pt>
                <c:pt idx="118">
                  <c:v>6</c:v>
                </c:pt>
                <c:pt idx="119">
                  <c:v>6</c:v>
                </c:pt>
                <c:pt idx="120">
                  <c:v>6</c:v>
                </c:pt>
                <c:pt idx="121">
                  <c:v>6</c:v>
                </c:pt>
                <c:pt idx="122">
                  <c:v>6</c:v>
                </c:pt>
                <c:pt idx="123">
                  <c:v>6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6</c:v>
                </c:pt>
                <c:pt idx="130">
                  <c:v>6</c:v>
                </c:pt>
                <c:pt idx="131">
                  <c:v>6</c:v>
                </c:pt>
                <c:pt idx="132">
                  <c:v>6</c:v>
                </c:pt>
                <c:pt idx="133">
                  <c:v>6</c:v>
                </c:pt>
                <c:pt idx="134">
                  <c:v>6</c:v>
                </c:pt>
                <c:pt idx="135">
                  <c:v>6</c:v>
                </c:pt>
                <c:pt idx="136">
                  <c:v>6</c:v>
                </c:pt>
                <c:pt idx="137">
                  <c:v>6</c:v>
                </c:pt>
                <c:pt idx="138">
                  <c:v>6</c:v>
                </c:pt>
                <c:pt idx="139">
                  <c:v>6</c:v>
                </c:pt>
                <c:pt idx="140">
                  <c:v>6</c:v>
                </c:pt>
                <c:pt idx="141">
                  <c:v>6</c:v>
                </c:pt>
                <c:pt idx="142">
                  <c:v>6</c:v>
                </c:pt>
                <c:pt idx="143">
                  <c:v>6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6</c:v>
                </c:pt>
                <c:pt idx="152">
                  <c:v>6</c:v>
                </c:pt>
                <c:pt idx="153">
                  <c:v>6</c:v>
                </c:pt>
                <c:pt idx="154">
                  <c:v>6</c:v>
                </c:pt>
                <c:pt idx="155">
                  <c:v>6</c:v>
                </c:pt>
                <c:pt idx="156">
                  <c:v>6</c:v>
                </c:pt>
                <c:pt idx="157">
                  <c:v>6</c:v>
                </c:pt>
                <c:pt idx="158">
                  <c:v>6</c:v>
                </c:pt>
                <c:pt idx="159">
                  <c:v>6</c:v>
                </c:pt>
                <c:pt idx="160">
                  <c:v>6</c:v>
                </c:pt>
                <c:pt idx="161">
                  <c:v>6</c:v>
                </c:pt>
                <c:pt idx="162">
                  <c:v>6</c:v>
                </c:pt>
                <c:pt idx="163">
                  <c:v>6</c:v>
                </c:pt>
                <c:pt idx="164">
                  <c:v>6</c:v>
                </c:pt>
                <c:pt idx="165">
                  <c:v>6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6</c:v>
                </c:pt>
                <c:pt idx="172">
                  <c:v>6</c:v>
                </c:pt>
                <c:pt idx="173">
                  <c:v>6</c:v>
                </c:pt>
                <c:pt idx="174">
                  <c:v>6</c:v>
                </c:pt>
                <c:pt idx="175">
                  <c:v>6</c:v>
                </c:pt>
                <c:pt idx="176">
                  <c:v>6</c:v>
                </c:pt>
                <c:pt idx="177">
                  <c:v>6</c:v>
                </c:pt>
                <c:pt idx="178">
                  <c:v>6</c:v>
                </c:pt>
                <c:pt idx="179">
                  <c:v>6</c:v>
                </c:pt>
                <c:pt idx="180">
                  <c:v>6</c:v>
                </c:pt>
                <c:pt idx="181">
                  <c:v>6</c:v>
                </c:pt>
                <c:pt idx="182">
                  <c:v>6</c:v>
                </c:pt>
                <c:pt idx="183">
                  <c:v>6</c:v>
                </c:pt>
                <c:pt idx="184">
                  <c:v>6</c:v>
                </c:pt>
                <c:pt idx="185">
                  <c:v>6</c:v>
                </c:pt>
                <c:pt idx="186">
                  <c:v>6</c:v>
                </c:pt>
                <c:pt idx="187">
                  <c:v>6</c:v>
                </c:pt>
                <c:pt idx="188">
                  <c:v>6</c:v>
                </c:pt>
                <c:pt idx="189">
                  <c:v>6</c:v>
                </c:pt>
                <c:pt idx="190">
                  <c:v>6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</c:v>
                </c:pt>
                <c:pt idx="196">
                  <c:v>6</c:v>
                </c:pt>
                <c:pt idx="197">
                  <c:v>6</c:v>
                </c:pt>
                <c:pt idx="198">
                  <c:v>6</c:v>
                </c:pt>
                <c:pt idx="199">
                  <c:v>6</c:v>
                </c:pt>
                <c:pt idx="200">
                  <c:v>6</c:v>
                </c:pt>
                <c:pt idx="201">
                  <c:v>6</c:v>
                </c:pt>
                <c:pt idx="202">
                  <c:v>6</c:v>
                </c:pt>
                <c:pt idx="203">
                  <c:v>6</c:v>
                </c:pt>
                <c:pt idx="204">
                  <c:v>6</c:v>
                </c:pt>
                <c:pt idx="205">
                  <c:v>6</c:v>
                </c:pt>
                <c:pt idx="206">
                  <c:v>6</c:v>
                </c:pt>
                <c:pt idx="207">
                  <c:v>6</c:v>
                </c:pt>
                <c:pt idx="208">
                  <c:v>6</c:v>
                </c:pt>
                <c:pt idx="209">
                  <c:v>6</c:v>
                </c:pt>
                <c:pt idx="210">
                  <c:v>6</c:v>
                </c:pt>
                <c:pt idx="211">
                  <c:v>6</c:v>
                </c:pt>
                <c:pt idx="212">
                  <c:v>6</c:v>
                </c:pt>
                <c:pt idx="213">
                  <c:v>6</c:v>
                </c:pt>
                <c:pt idx="214">
                  <c:v>6</c:v>
                </c:pt>
                <c:pt idx="215">
                  <c:v>6</c:v>
                </c:pt>
                <c:pt idx="216">
                  <c:v>6</c:v>
                </c:pt>
                <c:pt idx="217">
                  <c:v>6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6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6</c:v>
                </c:pt>
                <c:pt idx="228">
                  <c:v>6</c:v>
                </c:pt>
                <c:pt idx="229">
                  <c:v>6</c:v>
                </c:pt>
                <c:pt idx="230">
                  <c:v>6</c:v>
                </c:pt>
                <c:pt idx="231">
                  <c:v>6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6</c:v>
                </c:pt>
                <c:pt idx="251">
                  <c:v>6</c:v>
                </c:pt>
                <c:pt idx="252">
                  <c:v>6</c:v>
                </c:pt>
                <c:pt idx="253">
                  <c:v>6</c:v>
                </c:pt>
                <c:pt idx="254">
                  <c:v>6</c:v>
                </c:pt>
                <c:pt idx="255">
                  <c:v>6</c:v>
                </c:pt>
                <c:pt idx="256">
                  <c:v>6</c:v>
                </c:pt>
                <c:pt idx="257">
                  <c:v>6</c:v>
                </c:pt>
                <c:pt idx="258">
                  <c:v>6</c:v>
                </c:pt>
                <c:pt idx="259">
                  <c:v>6</c:v>
                </c:pt>
                <c:pt idx="260">
                  <c:v>6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76-47D5-836F-F34DED71FF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65696"/>
        <c:axId val="89959808"/>
      </c:scatterChart>
      <c:valAx>
        <c:axId val="89956736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89958272"/>
        <c:crosses val="autoZero"/>
        <c:crossBetween val="midCat"/>
      </c:valAx>
      <c:valAx>
        <c:axId val="89958272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89956736"/>
        <c:crosses val="autoZero"/>
        <c:crossBetween val="midCat"/>
      </c:valAx>
      <c:valAx>
        <c:axId val="89959808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89965696"/>
        <c:crosses val="max"/>
        <c:crossBetween val="midCat"/>
        <c:majorUnit val="1"/>
        <c:minorUnit val="1"/>
      </c:valAx>
      <c:valAx>
        <c:axId val="899656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89959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4"/>
          <c:order val="0"/>
          <c:tx>
            <c:v>Waveform 4 [%]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Tabelle!$AE$18:$AE$529</c:f>
              <c:numCache>
                <c:formatCode>0.0</c:formatCode>
                <c:ptCount val="51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96</c:v>
                </c:pt>
                <c:pt idx="22">
                  <c:v>92</c:v>
                </c:pt>
                <c:pt idx="23">
                  <c:v>88</c:v>
                </c:pt>
                <c:pt idx="24">
                  <c:v>84</c:v>
                </c:pt>
                <c:pt idx="25">
                  <c:v>80</c:v>
                </c:pt>
                <c:pt idx="26">
                  <c:v>76</c:v>
                </c:pt>
                <c:pt idx="27">
                  <c:v>72</c:v>
                </c:pt>
                <c:pt idx="28">
                  <c:v>68</c:v>
                </c:pt>
                <c:pt idx="29">
                  <c:v>64</c:v>
                </c:pt>
                <c:pt idx="30">
                  <c:v>60</c:v>
                </c:pt>
                <c:pt idx="31">
                  <c:v>56</c:v>
                </c:pt>
                <c:pt idx="32">
                  <c:v>52</c:v>
                </c:pt>
                <c:pt idx="33">
                  <c:v>48</c:v>
                </c:pt>
                <c:pt idx="34">
                  <c:v>44</c:v>
                </c:pt>
                <c:pt idx="35">
                  <c:v>40</c:v>
                </c:pt>
                <c:pt idx="36">
                  <c:v>36</c:v>
                </c:pt>
                <c:pt idx="37">
                  <c:v>32</c:v>
                </c:pt>
                <c:pt idx="38">
                  <c:v>28</c:v>
                </c:pt>
                <c:pt idx="39">
                  <c:v>24</c:v>
                </c:pt>
                <c:pt idx="40">
                  <c:v>20</c:v>
                </c:pt>
                <c:pt idx="41">
                  <c:v>20</c:v>
                </c:pt>
                <c:pt idx="42">
                  <c:v>20</c:v>
                </c:pt>
                <c:pt idx="43">
                  <c:v>20</c:v>
                </c:pt>
                <c:pt idx="44">
                  <c:v>20</c:v>
                </c:pt>
                <c:pt idx="45">
                  <c:v>20</c:v>
                </c:pt>
                <c:pt idx="46">
                  <c:v>20</c:v>
                </c:pt>
                <c:pt idx="47">
                  <c:v>20</c:v>
                </c:pt>
                <c:pt idx="48">
                  <c:v>20</c:v>
                </c:pt>
                <c:pt idx="49">
                  <c:v>20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24</c:v>
                </c:pt>
                <c:pt idx="64">
                  <c:v>28</c:v>
                </c:pt>
                <c:pt idx="65">
                  <c:v>32</c:v>
                </c:pt>
                <c:pt idx="66">
                  <c:v>36</c:v>
                </c:pt>
                <c:pt idx="67">
                  <c:v>40</c:v>
                </c:pt>
                <c:pt idx="68">
                  <c:v>44</c:v>
                </c:pt>
                <c:pt idx="69">
                  <c:v>48</c:v>
                </c:pt>
                <c:pt idx="70">
                  <c:v>52</c:v>
                </c:pt>
                <c:pt idx="71">
                  <c:v>56</c:v>
                </c:pt>
                <c:pt idx="72">
                  <c:v>60</c:v>
                </c:pt>
                <c:pt idx="73">
                  <c:v>64</c:v>
                </c:pt>
                <c:pt idx="74">
                  <c:v>68</c:v>
                </c:pt>
                <c:pt idx="75">
                  <c:v>72</c:v>
                </c:pt>
                <c:pt idx="76">
                  <c:v>76</c:v>
                </c:pt>
                <c:pt idx="77">
                  <c:v>80</c:v>
                </c:pt>
                <c:pt idx="78">
                  <c:v>84</c:v>
                </c:pt>
                <c:pt idx="79">
                  <c:v>88</c:v>
                </c:pt>
                <c:pt idx="80">
                  <c:v>92</c:v>
                </c:pt>
                <c:pt idx="81">
                  <c:v>96</c:v>
                </c:pt>
                <c:pt idx="82">
                  <c:v>100</c:v>
                </c:pt>
                <c:pt idx="83">
                  <c:v>100</c:v>
                </c:pt>
                <c:pt idx="84">
                  <c:v>100</c:v>
                </c:pt>
                <c:pt idx="85">
                  <c:v>100</c:v>
                </c:pt>
                <c:pt idx="86">
                  <c:v>100</c:v>
                </c:pt>
                <c:pt idx="87">
                  <c:v>100</c:v>
                </c:pt>
                <c:pt idx="88">
                  <c:v>100</c:v>
                </c:pt>
                <c:pt idx="89">
                  <c:v>100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96</c:v>
                </c:pt>
                <c:pt idx="98">
                  <c:v>92</c:v>
                </c:pt>
                <c:pt idx="99">
                  <c:v>88</c:v>
                </c:pt>
                <c:pt idx="100">
                  <c:v>84</c:v>
                </c:pt>
                <c:pt idx="101">
                  <c:v>80</c:v>
                </c:pt>
                <c:pt idx="102">
                  <c:v>76</c:v>
                </c:pt>
                <c:pt idx="103">
                  <c:v>72</c:v>
                </c:pt>
                <c:pt idx="104">
                  <c:v>68</c:v>
                </c:pt>
                <c:pt idx="105">
                  <c:v>64</c:v>
                </c:pt>
                <c:pt idx="106">
                  <c:v>60</c:v>
                </c:pt>
                <c:pt idx="107">
                  <c:v>56</c:v>
                </c:pt>
                <c:pt idx="108">
                  <c:v>52</c:v>
                </c:pt>
                <c:pt idx="109">
                  <c:v>48</c:v>
                </c:pt>
                <c:pt idx="110">
                  <c:v>44</c:v>
                </c:pt>
                <c:pt idx="111">
                  <c:v>40</c:v>
                </c:pt>
                <c:pt idx="112">
                  <c:v>36</c:v>
                </c:pt>
                <c:pt idx="113">
                  <c:v>32</c:v>
                </c:pt>
                <c:pt idx="114">
                  <c:v>28</c:v>
                </c:pt>
                <c:pt idx="115">
                  <c:v>24</c:v>
                </c:pt>
                <c:pt idx="116">
                  <c:v>20</c:v>
                </c:pt>
                <c:pt idx="117">
                  <c:v>20</c:v>
                </c:pt>
                <c:pt idx="118">
                  <c:v>20</c:v>
                </c:pt>
                <c:pt idx="119">
                  <c:v>20</c:v>
                </c:pt>
                <c:pt idx="120">
                  <c:v>20</c:v>
                </c:pt>
                <c:pt idx="121">
                  <c:v>20</c:v>
                </c:pt>
                <c:pt idx="122">
                  <c:v>20</c:v>
                </c:pt>
                <c:pt idx="123">
                  <c:v>20</c:v>
                </c:pt>
                <c:pt idx="124">
                  <c:v>20</c:v>
                </c:pt>
                <c:pt idx="125">
                  <c:v>20</c:v>
                </c:pt>
                <c:pt idx="126">
                  <c:v>20</c:v>
                </c:pt>
                <c:pt idx="127">
                  <c:v>20</c:v>
                </c:pt>
                <c:pt idx="128">
                  <c:v>20</c:v>
                </c:pt>
                <c:pt idx="129">
                  <c:v>20</c:v>
                </c:pt>
                <c:pt idx="130">
                  <c:v>20</c:v>
                </c:pt>
                <c:pt idx="131">
                  <c:v>20</c:v>
                </c:pt>
                <c:pt idx="132">
                  <c:v>20</c:v>
                </c:pt>
                <c:pt idx="133">
                  <c:v>20</c:v>
                </c:pt>
                <c:pt idx="134">
                  <c:v>20</c:v>
                </c:pt>
                <c:pt idx="135">
                  <c:v>20</c:v>
                </c:pt>
                <c:pt idx="136">
                  <c:v>20</c:v>
                </c:pt>
                <c:pt idx="137">
                  <c:v>20</c:v>
                </c:pt>
                <c:pt idx="138">
                  <c:v>20</c:v>
                </c:pt>
                <c:pt idx="139">
                  <c:v>23</c:v>
                </c:pt>
                <c:pt idx="140">
                  <c:v>26</c:v>
                </c:pt>
                <c:pt idx="141">
                  <c:v>29</c:v>
                </c:pt>
                <c:pt idx="142">
                  <c:v>32</c:v>
                </c:pt>
                <c:pt idx="143">
                  <c:v>35</c:v>
                </c:pt>
                <c:pt idx="144">
                  <c:v>38</c:v>
                </c:pt>
                <c:pt idx="145">
                  <c:v>41</c:v>
                </c:pt>
                <c:pt idx="146">
                  <c:v>44</c:v>
                </c:pt>
                <c:pt idx="147">
                  <c:v>47</c:v>
                </c:pt>
                <c:pt idx="148">
                  <c:v>50</c:v>
                </c:pt>
                <c:pt idx="149">
                  <c:v>53</c:v>
                </c:pt>
                <c:pt idx="150">
                  <c:v>56</c:v>
                </c:pt>
                <c:pt idx="151">
                  <c:v>59</c:v>
                </c:pt>
                <c:pt idx="152">
                  <c:v>62</c:v>
                </c:pt>
                <c:pt idx="153">
                  <c:v>65</c:v>
                </c:pt>
                <c:pt idx="154">
                  <c:v>68</c:v>
                </c:pt>
                <c:pt idx="155">
                  <c:v>71</c:v>
                </c:pt>
                <c:pt idx="156">
                  <c:v>74</c:v>
                </c:pt>
                <c:pt idx="157">
                  <c:v>77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82</c:v>
                </c:pt>
                <c:pt idx="174">
                  <c:v>84</c:v>
                </c:pt>
                <c:pt idx="175">
                  <c:v>86</c:v>
                </c:pt>
                <c:pt idx="176">
                  <c:v>88</c:v>
                </c:pt>
                <c:pt idx="177">
                  <c:v>90</c:v>
                </c:pt>
                <c:pt idx="178">
                  <c:v>92</c:v>
                </c:pt>
                <c:pt idx="179">
                  <c:v>94</c:v>
                </c:pt>
                <c:pt idx="180">
                  <c:v>96</c:v>
                </c:pt>
                <c:pt idx="181">
                  <c:v>98</c:v>
                </c:pt>
                <c:pt idx="182">
                  <c:v>100</c:v>
                </c:pt>
                <c:pt idx="183">
                  <c:v>102</c:v>
                </c:pt>
                <c:pt idx="184">
                  <c:v>104</c:v>
                </c:pt>
                <c:pt idx="185">
                  <c:v>106</c:v>
                </c:pt>
                <c:pt idx="186">
                  <c:v>108</c:v>
                </c:pt>
                <c:pt idx="187">
                  <c:v>110</c:v>
                </c:pt>
                <c:pt idx="188">
                  <c:v>112</c:v>
                </c:pt>
                <c:pt idx="189">
                  <c:v>114</c:v>
                </c:pt>
                <c:pt idx="190">
                  <c:v>116</c:v>
                </c:pt>
                <c:pt idx="191">
                  <c:v>118</c:v>
                </c:pt>
                <c:pt idx="192">
                  <c:v>120</c:v>
                </c:pt>
                <c:pt idx="193">
                  <c:v>120</c:v>
                </c:pt>
                <c:pt idx="194">
                  <c:v>120</c:v>
                </c:pt>
                <c:pt idx="195">
                  <c:v>120</c:v>
                </c:pt>
                <c:pt idx="196">
                  <c:v>120</c:v>
                </c:pt>
                <c:pt idx="197">
                  <c:v>120</c:v>
                </c:pt>
                <c:pt idx="198">
                  <c:v>120</c:v>
                </c:pt>
                <c:pt idx="199">
                  <c:v>120</c:v>
                </c:pt>
                <c:pt idx="200">
                  <c:v>120</c:v>
                </c:pt>
                <c:pt idx="201">
                  <c:v>120</c:v>
                </c:pt>
                <c:pt idx="202">
                  <c:v>120</c:v>
                </c:pt>
                <c:pt idx="203">
                  <c:v>120</c:v>
                </c:pt>
                <c:pt idx="204">
                  <c:v>120</c:v>
                </c:pt>
                <c:pt idx="205">
                  <c:v>120</c:v>
                </c:pt>
                <c:pt idx="206">
                  <c:v>120</c:v>
                </c:pt>
                <c:pt idx="207">
                  <c:v>120</c:v>
                </c:pt>
                <c:pt idx="208">
                  <c:v>120</c:v>
                </c:pt>
                <c:pt idx="209">
                  <c:v>120</c:v>
                </c:pt>
                <c:pt idx="210">
                  <c:v>120</c:v>
                </c:pt>
                <c:pt idx="211">
                  <c:v>120</c:v>
                </c:pt>
                <c:pt idx="212">
                  <c:v>120</c:v>
                </c:pt>
                <c:pt idx="213">
                  <c:v>120</c:v>
                </c:pt>
                <c:pt idx="214">
                  <c:v>120</c:v>
                </c:pt>
                <c:pt idx="215">
                  <c:v>119</c:v>
                </c:pt>
                <c:pt idx="216">
                  <c:v>118</c:v>
                </c:pt>
                <c:pt idx="217">
                  <c:v>117</c:v>
                </c:pt>
                <c:pt idx="218">
                  <c:v>116</c:v>
                </c:pt>
                <c:pt idx="219">
                  <c:v>115</c:v>
                </c:pt>
                <c:pt idx="220">
                  <c:v>114</c:v>
                </c:pt>
                <c:pt idx="221">
                  <c:v>113</c:v>
                </c:pt>
                <c:pt idx="222">
                  <c:v>112</c:v>
                </c:pt>
                <c:pt idx="223">
                  <c:v>111</c:v>
                </c:pt>
                <c:pt idx="224">
                  <c:v>110</c:v>
                </c:pt>
                <c:pt idx="225">
                  <c:v>109</c:v>
                </c:pt>
                <c:pt idx="226">
                  <c:v>108</c:v>
                </c:pt>
                <c:pt idx="227">
                  <c:v>107</c:v>
                </c:pt>
                <c:pt idx="228">
                  <c:v>106</c:v>
                </c:pt>
                <c:pt idx="229">
                  <c:v>105</c:v>
                </c:pt>
                <c:pt idx="230">
                  <c:v>104</c:v>
                </c:pt>
                <c:pt idx="231">
                  <c:v>103</c:v>
                </c:pt>
                <c:pt idx="232">
                  <c:v>102</c:v>
                </c:pt>
                <c:pt idx="233">
                  <c:v>101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95</c:v>
                </c:pt>
                <c:pt idx="250">
                  <c:v>90</c:v>
                </c:pt>
                <c:pt idx="251">
                  <c:v>85</c:v>
                </c:pt>
                <c:pt idx="252">
                  <c:v>80</c:v>
                </c:pt>
                <c:pt idx="253">
                  <c:v>75</c:v>
                </c:pt>
                <c:pt idx="254">
                  <c:v>70</c:v>
                </c:pt>
                <c:pt idx="255">
                  <c:v>65</c:v>
                </c:pt>
                <c:pt idx="256">
                  <c:v>60</c:v>
                </c:pt>
                <c:pt idx="257">
                  <c:v>55</c:v>
                </c:pt>
                <c:pt idx="258">
                  <c:v>50</c:v>
                </c:pt>
                <c:pt idx="259">
                  <c:v>45</c:v>
                </c:pt>
                <c:pt idx="260">
                  <c:v>40</c:v>
                </c:pt>
                <c:pt idx="261">
                  <c:v>35</c:v>
                </c:pt>
                <c:pt idx="262">
                  <c:v>30</c:v>
                </c:pt>
                <c:pt idx="263">
                  <c:v>25</c:v>
                </c:pt>
                <c:pt idx="264">
                  <c:v>20</c:v>
                </c:pt>
                <c:pt idx="265">
                  <c:v>15</c:v>
                </c:pt>
                <c:pt idx="266">
                  <c:v>10</c:v>
                </c:pt>
                <c:pt idx="267">
                  <c:v>5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5</c:v>
                </c:pt>
                <c:pt idx="292">
                  <c:v>10</c:v>
                </c:pt>
                <c:pt idx="293">
                  <c:v>15</c:v>
                </c:pt>
                <c:pt idx="294">
                  <c:v>20</c:v>
                </c:pt>
                <c:pt idx="295">
                  <c:v>25</c:v>
                </c:pt>
                <c:pt idx="296">
                  <c:v>30</c:v>
                </c:pt>
                <c:pt idx="297">
                  <c:v>35</c:v>
                </c:pt>
                <c:pt idx="298">
                  <c:v>40</c:v>
                </c:pt>
                <c:pt idx="299">
                  <c:v>45</c:v>
                </c:pt>
                <c:pt idx="300">
                  <c:v>50</c:v>
                </c:pt>
                <c:pt idx="301">
                  <c:v>55</c:v>
                </c:pt>
                <c:pt idx="302">
                  <c:v>60</c:v>
                </c:pt>
                <c:pt idx="303">
                  <c:v>65</c:v>
                </c:pt>
                <c:pt idx="304">
                  <c:v>70</c:v>
                </c:pt>
                <c:pt idx="305">
                  <c:v>75</c:v>
                </c:pt>
                <c:pt idx="306">
                  <c:v>80</c:v>
                </c:pt>
                <c:pt idx="307">
                  <c:v>85</c:v>
                </c:pt>
                <c:pt idx="308">
                  <c:v>90</c:v>
                </c:pt>
                <c:pt idx="309">
                  <c:v>95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98.5</c:v>
                </c:pt>
                <c:pt idx="326">
                  <c:v>97</c:v>
                </c:pt>
                <c:pt idx="327">
                  <c:v>95.5</c:v>
                </c:pt>
                <c:pt idx="328">
                  <c:v>94</c:v>
                </c:pt>
                <c:pt idx="329">
                  <c:v>92.5</c:v>
                </c:pt>
                <c:pt idx="330">
                  <c:v>91</c:v>
                </c:pt>
                <c:pt idx="331">
                  <c:v>89.5</c:v>
                </c:pt>
                <c:pt idx="332">
                  <c:v>88</c:v>
                </c:pt>
                <c:pt idx="333">
                  <c:v>86.5</c:v>
                </c:pt>
                <c:pt idx="334">
                  <c:v>85</c:v>
                </c:pt>
                <c:pt idx="335">
                  <c:v>83.5</c:v>
                </c:pt>
                <c:pt idx="336">
                  <c:v>82</c:v>
                </c:pt>
                <c:pt idx="337">
                  <c:v>80.5</c:v>
                </c:pt>
                <c:pt idx="338">
                  <c:v>79</c:v>
                </c:pt>
                <c:pt idx="339">
                  <c:v>77.5</c:v>
                </c:pt>
                <c:pt idx="340">
                  <c:v>76</c:v>
                </c:pt>
                <c:pt idx="341">
                  <c:v>74.5</c:v>
                </c:pt>
                <c:pt idx="342">
                  <c:v>73</c:v>
                </c:pt>
                <c:pt idx="343">
                  <c:v>71.5</c:v>
                </c:pt>
                <c:pt idx="344">
                  <c:v>70</c:v>
                </c:pt>
                <c:pt idx="345">
                  <c:v>70</c:v>
                </c:pt>
                <c:pt idx="346">
                  <c:v>70</c:v>
                </c:pt>
                <c:pt idx="347">
                  <c:v>70</c:v>
                </c:pt>
                <c:pt idx="348">
                  <c:v>70</c:v>
                </c:pt>
                <c:pt idx="349">
                  <c:v>70</c:v>
                </c:pt>
                <c:pt idx="350">
                  <c:v>70</c:v>
                </c:pt>
                <c:pt idx="351">
                  <c:v>70</c:v>
                </c:pt>
                <c:pt idx="352">
                  <c:v>70</c:v>
                </c:pt>
                <c:pt idx="353">
                  <c:v>70</c:v>
                </c:pt>
                <c:pt idx="354">
                  <c:v>70</c:v>
                </c:pt>
                <c:pt idx="355">
                  <c:v>70</c:v>
                </c:pt>
                <c:pt idx="356">
                  <c:v>70</c:v>
                </c:pt>
                <c:pt idx="357">
                  <c:v>70</c:v>
                </c:pt>
                <c:pt idx="358">
                  <c:v>70</c:v>
                </c:pt>
                <c:pt idx="359">
                  <c:v>70</c:v>
                </c:pt>
                <c:pt idx="360">
                  <c:v>70</c:v>
                </c:pt>
                <c:pt idx="361">
                  <c:v>70</c:v>
                </c:pt>
                <c:pt idx="362">
                  <c:v>70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70</c:v>
                </c:pt>
                <c:pt idx="367">
                  <c:v>71.5</c:v>
                </c:pt>
                <c:pt idx="368">
                  <c:v>73</c:v>
                </c:pt>
                <c:pt idx="369">
                  <c:v>74.5</c:v>
                </c:pt>
                <c:pt idx="370">
                  <c:v>76</c:v>
                </c:pt>
                <c:pt idx="371">
                  <c:v>77.5</c:v>
                </c:pt>
                <c:pt idx="372">
                  <c:v>79</c:v>
                </c:pt>
                <c:pt idx="373">
                  <c:v>80.5</c:v>
                </c:pt>
                <c:pt idx="374">
                  <c:v>82</c:v>
                </c:pt>
                <c:pt idx="375">
                  <c:v>83.5</c:v>
                </c:pt>
                <c:pt idx="376">
                  <c:v>85</c:v>
                </c:pt>
                <c:pt idx="377">
                  <c:v>86.5</c:v>
                </c:pt>
                <c:pt idx="378">
                  <c:v>88</c:v>
                </c:pt>
                <c:pt idx="379">
                  <c:v>89.5</c:v>
                </c:pt>
                <c:pt idx="380">
                  <c:v>91</c:v>
                </c:pt>
                <c:pt idx="381">
                  <c:v>92.5</c:v>
                </c:pt>
                <c:pt idx="382">
                  <c:v>94</c:v>
                </c:pt>
                <c:pt idx="383">
                  <c:v>95.5</c:v>
                </c:pt>
                <c:pt idx="384">
                  <c:v>97</c:v>
                </c:pt>
                <c:pt idx="385">
                  <c:v>98.5</c:v>
                </c:pt>
                <c:pt idx="386">
                  <c:v>100</c:v>
                </c:pt>
                <c:pt idx="387">
                  <c:v>100</c:v>
                </c:pt>
                <c:pt idx="388">
                  <c:v>100</c:v>
                </c:pt>
                <c:pt idx="389">
                  <c:v>100</c:v>
                </c:pt>
                <c:pt idx="390">
                  <c:v>100</c:v>
                </c:pt>
                <c:pt idx="391">
                  <c:v>100</c:v>
                </c:pt>
                <c:pt idx="392">
                  <c:v>100</c:v>
                </c:pt>
                <c:pt idx="393">
                  <c:v>100</c:v>
                </c:pt>
                <c:pt idx="394">
                  <c:v>100</c:v>
                </c:pt>
                <c:pt idx="395">
                  <c:v>100</c:v>
                </c:pt>
                <c:pt idx="396">
                  <c:v>100</c:v>
                </c:pt>
                <c:pt idx="397">
                  <c:v>100</c:v>
                </c:pt>
                <c:pt idx="398">
                  <c:v>100</c:v>
                </c:pt>
                <c:pt idx="399">
                  <c:v>100</c:v>
                </c:pt>
                <c:pt idx="400">
                  <c:v>100</c:v>
                </c:pt>
                <c:pt idx="401">
                  <c:v>100</c:v>
                </c:pt>
                <c:pt idx="402">
                  <c:v>100</c:v>
                </c:pt>
                <c:pt idx="403">
                  <c:v>100</c:v>
                </c:pt>
                <c:pt idx="404">
                  <c:v>100</c:v>
                </c:pt>
                <c:pt idx="405">
                  <c:v>100</c:v>
                </c:pt>
                <c:pt idx="406">
                  <c:v>100</c:v>
                </c:pt>
                <c:pt idx="407">
                  <c:v>100</c:v>
                </c:pt>
                <c:pt idx="408">
                  <c:v>100</c:v>
                </c:pt>
                <c:pt idx="409">
                  <c:v>100</c:v>
                </c:pt>
                <c:pt idx="410">
                  <c:v>100</c:v>
                </c:pt>
                <c:pt idx="411">
                  <c:v>100</c:v>
                </c:pt>
                <c:pt idx="412">
                  <c:v>100</c:v>
                </c:pt>
                <c:pt idx="413">
                  <c:v>100</c:v>
                </c:pt>
                <c:pt idx="414">
                  <c:v>100</c:v>
                </c:pt>
                <c:pt idx="415">
                  <c:v>100</c:v>
                </c:pt>
                <c:pt idx="416">
                  <c:v>100</c:v>
                </c:pt>
                <c:pt idx="417">
                  <c:v>100</c:v>
                </c:pt>
                <c:pt idx="418">
                  <c:v>100</c:v>
                </c:pt>
                <c:pt idx="419">
                  <c:v>100</c:v>
                </c:pt>
                <c:pt idx="420">
                  <c:v>100</c:v>
                </c:pt>
                <c:pt idx="421">
                  <c:v>100</c:v>
                </c:pt>
                <c:pt idx="422">
                  <c:v>100</c:v>
                </c:pt>
                <c:pt idx="423">
                  <c:v>100</c:v>
                </c:pt>
                <c:pt idx="424">
                  <c:v>100</c:v>
                </c:pt>
                <c:pt idx="425">
                  <c:v>100</c:v>
                </c:pt>
                <c:pt idx="426">
                  <c:v>100</c:v>
                </c:pt>
                <c:pt idx="427">
                  <c:v>100</c:v>
                </c:pt>
                <c:pt idx="428">
                  <c:v>100</c:v>
                </c:pt>
                <c:pt idx="429">
                  <c:v>100</c:v>
                </c:pt>
                <c:pt idx="430">
                  <c:v>100</c:v>
                </c:pt>
                <c:pt idx="431">
                  <c:v>100</c:v>
                </c:pt>
                <c:pt idx="432">
                  <c:v>100</c:v>
                </c:pt>
                <c:pt idx="433">
                  <c:v>100</c:v>
                </c:pt>
                <c:pt idx="434">
                  <c:v>100</c:v>
                </c:pt>
                <c:pt idx="435">
                  <c:v>100</c:v>
                </c:pt>
                <c:pt idx="436">
                  <c:v>100</c:v>
                </c:pt>
                <c:pt idx="437">
                  <c:v>100</c:v>
                </c:pt>
                <c:pt idx="438">
                  <c:v>100</c:v>
                </c:pt>
                <c:pt idx="439">
                  <c:v>100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100</c:v>
                </c:pt>
                <c:pt idx="447">
                  <c:v>100</c:v>
                </c:pt>
                <c:pt idx="448">
                  <c:v>100</c:v>
                </c:pt>
                <c:pt idx="449">
                  <c:v>100</c:v>
                </c:pt>
                <c:pt idx="450">
                  <c:v>100</c:v>
                </c:pt>
                <c:pt idx="451">
                  <c:v>100</c:v>
                </c:pt>
                <c:pt idx="452">
                  <c:v>100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100</c:v>
                </c:pt>
                <c:pt idx="459">
                  <c:v>100</c:v>
                </c:pt>
                <c:pt idx="460">
                  <c:v>100</c:v>
                </c:pt>
                <c:pt idx="461">
                  <c:v>100</c:v>
                </c:pt>
                <c:pt idx="462">
                  <c:v>100</c:v>
                </c:pt>
                <c:pt idx="463">
                  <c:v>100</c:v>
                </c:pt>
                <c:pt idx="464">
                  <c:v>100</c:v>
                </c:pt>
                <c:pt idx="465">
                  <c:v>100</c:v>
                </c:pt>
                <c:pt idx="466">
                  <c:v>100</c:v>
                </c:pt>
                <c:pt idx="467">
                  <c:v>100</c:v>
                </c:pt>
                <c:pt idx="468">
                  <c:v>100</c:v>
                </c:pt>
                <c:pt idx="469">
                  <c:v>100</c:v>
                </c:pt>
                <c:pt idx="470">
                  <c:v>100</c:v>
                </c:pt>
                <c:pt idx="471">
                  <c:v>100</c:v>
                </c:pt>
                <c:pt idx="472">
                  <c:v>100</c:v>
                </c:pt>
                <c:pt idx="473">
                  <c:v>100</c:v>
                </c:pt>
                <c:pt idx="474">
                  <c:v>100</c:v>
                </c:pt>
                <c:pt idx="475">
                  <c:v>100</c:v>
                </c:pt>
                <c:pt idx="476">
                  <c:v>100</c:v>
                </c:pt>
                <c:pt idx="477">
                  <c:v>100</c:v>
                </c:pt>
                <c:pt idx="478">
                  <c:v>100</c:v>
                </c:pt>
                <c:pt idx="479">
                  <c:v>100</c:v>
                </c:pt>
                <c:pt idx="480">
                  <c:v>100</c:v>
                </c:pt>
                <c:pt idx="481">
                  <c:v>100</c:v>
                </c:pt>
                <c:pt idx="482">
                  <c:v>100</c:v>
                </c:pt>
                <c:pt idx="483">
                  <c:v>100</c:v>
                </c:pt>
                <c:pt idx="484">
                  <c:v>100</c:v>
                </c:pt>
                <c:pt idx="485">
                  <c:v>100</c:v>
                </c:pt>
                <c:pt idx="486">
                  <c:v>100</c:v>
                </c:pt>
                <c:pt idx="487">
                  <c:v>100</c:v>
                </c:pt>
                <c:pt idx="488">
                  <c:v>100</c:v>
                </c:pt>
                <c:pt idx="489">
                  <c:v>100</c:v>
                </c:pt>
                <c:pt idx="490">
                  <c:v>100</c:v>
                </c:pt>
                <c:pt idx="491">
                  <c:v>100</c:v>
                </c:pt>
                <c:pt idx="492">
                  <c:v>100</c:v>
                </c:pt>
                <c:pt idx="493">
                  <c:v>100</c:v>
                </c:pt>
                <c:pt idx="494">
                  <c:v>100</c:v>
                </c:pt>
                <c:pt idx="495">
                  <c:v>100</c:v>
                </c:pt>
                <c:pt idx="496">
                  <c:v>100</c:v>
                </c:pt>
                <c:pt idx="497">
                  <c:v>100</c:v>
                </c:pt>
                <c:pt idx="498">
                  <c:v>100</c:v>
                </c:pt>
                <c:pt idx="499">
                  <c:v>100</c:v>
                </c:pt>
                <c:pt idx="500">
                  <c:v>100</c:v>
                </c:pt>
                <c:pt idx="501">
                  <c:v>100</c:v>
                </c:pt>
                <c:pt idx="502">
                  <c:v>100</c:v>
                </c:pt>
                <c:pt idx="503">
                  <c:v>100</c:v>
                </c:pt>
                <c:pt idx="504">
                  <c:v>100</c:v>
                </c:pt>
                <c:pt idx="505">
                  <c:v>100</c:v>
                </c:pt>
                <c:pt idx="506">
                  <c:v>100</c:v>
                </c:pt>
                <c:pt idx="507">
                  <c:v>100</c:v>
                </c:pt>
                <c:pt idx="508">
                  <c:v>100</c:v>
                </c:pt>
                <c:pt idx="509">
                  <c:v>100</c:v>
                </c:pt>
                <c:pt idx="510">
                  <c:v>100</c:v>
                </c:pt>
                <c:pt idx="51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AC-4F6C-BC69-190075069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59136"/>
        <c:axId val="90060672"/>
      </c:scatterChart>
      <c:scatterChart>
        <c:scatterStyle val="smoothMarker"/>
        <c:varyColors val="0"/>
        <c:ser>
          <c:idx val="7"/>
          <c:order val="1"/>
          <c:tx>
            <c:v>Cycle 4</c:v>
          </c:tx>
          <c:spPr>
            <a:ln>
              <a:solidFill>
                <a:schemeClr val="accent4"/>
              </a:solidFill>
              <a:prstDash val="sysDot"/>
            </a:ln>
          </c:spPr>
          <c:marker>
            <c:symbol val="none"/>
          </c:marker>
          <c:xVal>
            <c:numRef>
              <c:f>Tabelle!$B$18:$B$529</c:f>
              <c:numCache>
                <c:formatCode>General</c:formatCode>
                <c:ptCount val="51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</c:numCache>
            </c:numRef>
          </c:xVal>
          <c:yVal>
            <c:numRef>
              <c:f>Tabelle!$AF$18:$AF$529</c:f>
              <c:numCache>
                <c:formatCode>General</c:formatCode>
                <c:ptCount val="5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12</c:v>
                </c:pt>
                <c:pt idx="20">
                  <c:v>12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12</c:v>
                </c:pt>
                <c:pt idx="25">
                  <c:v>12</c:v>
                </c:pt>
                <c:pt idx="26">
                  <c:v>12</c:v>
                </c:pt>
                <c:pt idx="27">
                  <c:v>12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12</c:v>
                </c:pt>
                <c:pt idx="47">
                  <c:v>12</c:v>
                </c:pt>
                <c:pt idx="48">
                  <c:v>12</c:v>
                </c:pt>
                <c:pt idx="49">
                  <c:v>12</c:v>
                </c:pt>
                <c:pt idx="50">
                  <c:v>12</c:v>
                </c:pt>
                <c:pt idx="51">
                  <c:v>12</c:v>
                </c:pt>
                <c:pt idx="52">
                  <c:v>12</c:v>
                </c:pt>
                <c:pt idx="53">
                  <c:v>12</c:v>
                </c:pt>
                <c:pt idx="54">
                  <c:v>12</c:v>
                </c:pt>
                <c:pt idx="55">
                  <c:v>12</c:v>
                </c:pt>
                <c:pt idx="56">
                  <c:v>12</c:v>
                </c:pt>
                <c:pt idx="57">
                  <c:v>12</c:v>
                </c:pt>
                <c:pt idx="58">
                  <c:v>12</c:v>
                </c:pt>
                <c:pt idx="59">
                  <c:v>12</c:v>
                </c:pt>
                <c:pt idx="60">
                  <c:v>12</c:v>
                </c:pt>
                <c:pt idx="61">
                  <c:v>12</c:v>
                </c:pt>
                <c:pt idx="62">
                  <c:v>12</c:v>
                </c:pt>
                <c:pt idx="63">
                  <c:v>12</c:v>
                </c:pt>
                <c:pt idx="64">
                  <c:v>12</c:v>
                </c:pt>
                <c:pt idx="65">
                  <c:v>12</c:v>
                </c:pt>
                <c:pt idx="66">
                  <c:v>12</c:v>
                </c:pt>
                <c:pt idx="67">
                  <c:v>12</c:v>
                </c:pt>
                <c:pt idx="68">
                  <c:v>12</c:v>
                </c:pt>
                <c:pt idx="69">
                  <c:v>12</c:v>
                </c:pt>
                <c:pt idx="70">
                  <c:v>12</c:v>
                </c:pt>
                <c:pt idx="71">
                  <c:v>12</c:v>
                </c:pt>
                <c:pt idx="72">
                  <c:v>12</c:v>
                </c:pt>
                <c:pt idx="73">
                  <c:v>12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12</c:v>
                </c:pt>
                <c:pt idx="87">
                  <c:v>12</c:v>
                </c:pt>
                <c:pt idx="88">
                  <c:v>12</c:v>
                </c:pt>
                <c:pt idx="89">
                  <c:v>12</c:v>
                </c:pt>
                <c:pt idx="90">
                  <c:v>12</c:v>
                </c:pt>
                <c:pt idx="91">
                  <c:v>12</c:v>
                </c:pt>
                <c:pt idx="92">
                  <c:v>12</c:v>
                </c:pt>
                <c:pt idx="93">
                  <c:v>12</c:v>
                </c:pt>
                <c:pt idx="94">
                  <c:v>8</c:v>
                </c:pt>
                <c:pt idx="95">
                  <c:v>8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8</c:v>
                </c:pt>
                <c:pt idx="100">
                  <c:v>8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8</c:v>
                </c:pt>
                <c:pt idx="115">
                  <c:v>8</c:v>
                </c:pt>
                <c:pt idx="116">
                  <c:v>8</c:v>
                </c:pt>
                <c:pt idx="117">
                  <c:v>8</c:v>
                </c:pt>
                <c:pt idx="118">
                  <c:v>8</c:v>
                </c:pt>
                <c:pt idx="119">
                  <c:v>8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8</c:v>
                </c:pt>
                <c:pt idx="124">
                  <c:v>8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8</c:v>
                </c:pt>
                <c:pt idx="129">
                  <c:v>8</c:v>
                </c:pt>
                <c:pt idx="130">
                  <c:v>8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</c:v>
                </c:pt>
                <c:pt idx="136">
                  <c:v>8</c:v>
                </c:pt>
                <c:pt idx="137">
                  <c:v>8</c:v>
                </c:pt>
                <c:pt idx="138">
                  <c:v>8</c:v>
                </c:pt>
                <c:pt idx="139">
                  <c:v>8</c:v>
                </c:pt>
                <c:pt idx="140">
                  <c:v>8</c:v>
                </c:pt>
                <c:pt idx="141">
                  <c:v>8</c:v>
                </c:pt>
                <c:pt idx="142">
                  <c:v>8</c:v>
                </c:pt>
                <c:pt idx="143">
                  <c:v>8</c:v>
                </c:pt>
                <c:pt idx="144">
                  <c:v>8</c:v>
                </c:pt>
                <c:pt idx="145">
                  <c:v>8</c:v>
                </c:pt>
                <c:pt idx="146">
                  <c:v>8</c:v>
                </c:pt>
                <c:pt idx="147">
                  <c:v>8</c:v>
                </c:pt>
                <c:pt idx="148">
                  <c:v>8</c:v>
                </c:pt>
                <c:pt idx="149">
                  <c:v>8</c:v>
                </c:pt>
                <c:pt idx="150">
                  <c:v>8</c:v>
                </c:pt>
                <c:pt idx="151">
                  <c:v>8</c:v>
                </c:pt>
                <c:pt idx="152">
                  <c:v>8</c:v>
                </c:pt>
                <c:pt idx="153">
                  <c:v>8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8</c:v>
                </c:pt>
                <c:pt idx="158">
                  <c:v>8</c:v>
                </c:pt>
                <c:pt idx="159">
                  <c:v>8</c:v>
                </c:pt>
                <c:pt idx="160">
                  <c:v>8</c:v>
                </c:pt>
                <c:pt idx="161">
                  <c:v>8</c:v>
                </c:pt>
                <c:pt idx="162">
                  <c:v>8</c:v>
                </c:pt>
                <c:pt idx="163">
                  <c:v>8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8</c:v>
                </c:pt>
                <c:pt idx="170">
                  <c:v>8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8</c:v>
                </c:pt>
                <c:pt idx="180">
                  <c:v>8</c:v>
                </c:pt>
                <c:pt idx="181">
                  <c:v>8</c:v>
                </c:pt>
                <c:pt idx="182">
                  <c:v>8</c:v>
                </c:pt>
                <c:pt idx="183">
                  <c:v>8</c:v>
                </c:pt>
                <c:pt idx="184">
                  <c:v>8</c:v>
                </c:pt>
                <c:pt idx="185">
                  <c:v>8</c:v>
                </c:pt>
                <c:pt idx="186">
                  <c:v>8</c:v>
                </c:pt>
                <c:pt idx="187">
                  <c:v>8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8</c:v>
                </c:pt>
                <c:pt idx="195">
                  <c:v>8</c:v>
                </c:pt>
                <c:pt idx="196">
                  <c:v>8</c:v>
                </c:pt>
                <c:pt idx="197">
                  <c:v>8</c:v>
                </c:pt>
                <c:pt idx="198">
                  <c:v>8</c:v>
                </c:pt>
                <c:pt idx="199">
                  <c:v>8</c:v>
                </c:pt>
                <c:pt idx="200">
                  <c:v>8</c:v>
                </c:pt>
                <c:pt idx="201">
                  <c:v>8</c:v>
                </c:pt>
                <c:pt idx="202">
                  <c:v>8</c:v>
                </c:pt>
                <c:pt idx="203">
                  <c:v>8</c:v>
                </c:pt>
                <c:pt idx="204">
                  <c:v>8</c:v>
                </c:pt>
                <c:pt idx="205">
                  <c:v>8</c:v>
                </c:pt>
                <c:pt idx="206">
                  <c:v>8</c:v>
                </c:pt>
                <c:pt idx="207">
                  <c:v>8</c:v>
                </c:pt>
                <c:pt idx="208">
                  <c:v>8</c:v>
                </c:pt>
                <c:pt idx="209">
                  <c:v>8</c:v>
                </c:pt>
                <c:pt idx="210">
                  <c:v>8</c:v>
                </c:pt>
                <c:pt idx="211">
                  <c:v>8</c:v>
                </c:pt>
                <c:pt idx="212">
                  <c:v>8</c:v>
                </c:pt>
                <c:pt idx="213">
                  <c:v>8</c:v>
                </c:pt>
                <c:pt idx="214">
                  <c:v>8</c:v>
                </c:pt>
                <c:pt idx="215">
                  <c:v>8</c:v>
                </c:pt>
                <c:pt idx="216">
                  <c:v>8</c:v>
                </c:pt>
                <c:pt idx="217">
                  <c:v>8</c:v>
                </c:pt>
                <c:pt idx="218">
                  <c:v>8</c:v>
                </c:pt>
                <c:pt idx="219">
                  <c:v>8</c:v>
                </c:pt>
                <c:pt idx="220">
                  <c:v>8</c:v>
                </c:pt>
                <c:pt idx="221">
                  <c:v>8</c:v>
                </c:pt>
                <c:pt idx="222">
                  <c:v>8</c:v>
                </c:pt>
                <c:pt idx="223">
                  <c:v>8</c:v>
                </c:pt>
                <c:pt idx="224">
                  <c:v>8</c:v>
                </c:pt>
                <c:pt idx="225">
                  <c:v>8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8</c:v>
                </c:pt>
                <c:pt idx="231">
                  <c:v>8</c:v>
                </c:pt>
                <c:pt idx="232">
                  <c:v>8</c:v>
                </c:pt>
                <c:pt idx="233">
                  <c:v>8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8</c:v>
                </c:pt>
                <c:pt idx="238">
                  <c:v>8</c:v>
                </c:pt>
                <c:pt idx="239">
                  <c:v>8</c:v>
                </c:pt>
                <c:pt idx="240">
                  <c:v>8</c:v>
                </c:pt>
                <c:pt idx="241">
                  <c:v>8</c:v>
                </c:pt>
                <c:pt idx="242">
                  <c:v>8</c:v>
                </c:pt>
                <c:pt idx="243">
                  <c:v>8</c:v>
                </c:pt>
                <c:pt idx="244">
                  <c:v>8</c:v>
                </c:pt>
                <c:pt idx="245">
                  <c:v>8</c:v>
                </c:pt>
                <c:pt idx="246">
                  <c:v>14</c:v>
                </c:pt>
                <c:pt idx="247">
                  <c:v>14</c:v>
                </c:pt>
                <c:pt idx="248">
                  <c:v>14</c:v>
                </c:pt>
                <c:pt idx="249">
                  <c:v>14</c:v>
                </c:pt>
                <c:pt idx="250">
                  <c:v>14</c:v>
                </c:pt>
                <c:pt idx="251">
                  <c:v>14</c:v>
                </c:pt>
                <c:pt idx="252">
                  <c:v>14</c:v>
                </c:pt>
                <c:pt idx="253">
                  <c:v>14</c:v>
                </c:pt>
                <c:pt idx="254">
                  <c:v>14</c:v>
                </c:pt>
                <c:pt idx="255">
                  <c:v>14</c:v>
                </c:pt>
                <c:pt idx="256">
                  <c:v>14</c:v>
                </c:pt>
                <c:pt idx="257">
                  <c:v>14</c:v>
                </c:pt>
                <c:pt idx="258">
                  <c:v>14</c:v>
                </c:pt>
                <c:pt idx="259">
                  <c:v>14</c:v>
                </c:pt>
                <c:pt idx="260">
                  <c:v>14</c:v>
                </c:pt>
                <c:pt idx="261">
                  <c:v>14</c:v>
                </c:pt>
                <c:pt idx="262">
                  <c:v>14</c:v>
                </c:pt>
                <c:pt idx="263">
                  <c:v>14</c:v>
                </c:pt>
                <c:pt idx="264">
                  <c:v>14</c:v>
                </c:pt>
                <c:pt idx="265">
                  <c:v>14</c:v>
                </c:pt>
                <c:pt idx="266">
                  <c:v>14</c:v>
                </c:pt>
                <c:pt idx="267">
                  <c:v>14</c:v>
                </c:pt>
                <c:pt idx="268">
                  <c:v>14</c:v>
                </c:pt>
                <c:pt idx="269">
                  <c:v>14</c:v>
                </c:pt>
                <c:pt idx="270">
                  <c:v>14</c:v>
                </c:pt>
                <c:pt idx="271">
                  <c:v>14</c:v>
                </c:pt>
                <c:pt idx="272">
                  <c:v>14</c:v>
                </c:pt>
                <c:pt idx="273">
                  <c:v>14</c:v>
                </c:pt>
                <c:pt idx="274">
                  <c:v>14</c:v>
                </c:pt>
                <c:pt idx="275">
                  <c:v>14</c:v>
                </c:pt>
                <c:pt idx="276">
                  <c:v>14</c:v>
                </c:pt>
                <c:pt idx="277">
                  <c:v>14</c:v>
                </c:pt>
                <c:pt idx="278">
                  <c:v>14</c:v>
                </c:pt>
                <c:pt idx="279">
                  <c:v>14</c:v>
                </c:pt>
                <c:pt idx="280">
                  <c:v>14</c:v>
                </c:pt>
                <c:pt idx="281">
                  <c:v>14</c:v>
                </c:pt>
                <c:pt idx="282">
                  <c:v>14</c:v>
                </c:pt>
                <c:pt idx="283">
                  <c:v>14</c:v>
                </c:pt>
                <c:pt idx="284">
                  <c:v>14</c:v>
                </c:pt>
                <c:pt idx="285">
                  <c:v>14</c:v>
                </c:pt>
                <c:pt idx="286">
                  <c:v>14</c:v>
                </c:pt>
                <c:pt idx="287">
                  <c:v>14</c:v>
                </c:pt>
                <c:pt idx="288">
                  <c:v>14</c:v>
                </c:pt>
                <c:pt idx="289">
                  <c:v>14</c:v>
                </c:pt>
                <c:pt idx="290">
                  <c:v>14</c:v>
                </c:pt>
                <c:pt idx="291">
                  <c:v>14</c:v>
                </c:pt>
                <c:pt idx="292">
                  <c:v>14</c:v>
                </c:pt>
                <c:pt idx="293">
                  <c:v>14</c:v>
                </c:pt>
                <c:pt idx="294">
                  <c:v>14</c:v>
                </c:pt>
                <c:pt idx="295">
                  <c:v>14</c:v>
                </c:pt>
                <c:pt idx="296">
                  <c:v>14</c:v>
                </c:pt>
                <c:pt idx="297">
                  <c:v>14</c:v>
                </c:pt>
                <c:pt idx="298">
                  <c:v>14</c:v>
                </c:pt>
                <c:pt idx="299">
                  <c:v>14</c:v>
                </c:pt>
                <c:pt idx="300">
                  <c:v>14</c:v>
                </c:pt>
                <c:pt idx="301">
                  <c:v>14</c:v>
                </c:pt>
                <c:pt idx="302">
                  <c:v>14</c:v>
                </c:pt>
                <c:pt idx="303">
                  <c:v>14</c:v>
                </c:pt>
                <c:pt idx="304">
                  <c:v>14</c:v>
                </c:pt>
                <c:pt idx="305">
                  <c:v>14</c:v>
                </c:pt>
                <c:pt idx="306">
                  <c:v>14</c:v>
                </c:pt>
                <c:pt idx="307">
                  <c:v>14</c:v>
                </c:pt>
                <c:pt idx="308">
                  <c:v>14</c:v>
                </c:pt>
                <c:pt idx="309">
                  <c:v>14</c:v>
                </c:pt>
                <c:pt idx="310">
                  <c:v>14</c:v>
                </c:pt>
                <c:pt idx="311">
                  <c:v>14</c:v>
                </c:pt>
                <c:pt idx="312">
                  <c:v>14</c:v>
                </c:pt>
                <c:pt idx="313">
                  <c:v>14</c:v>
                </c:pt>
                <c:pt idx="314">
                  <c:v>14</c:v>
                </c:pt>
                <c:pt idx="315">
                  <c:v>14</c:v>
                </c:pt>
                <c:pt idx="316">
                  <c:v>14</c:v>
                </c:pt>
                <c:pt idx="317">
                  <c:v>14</c:v>
                </c:pt>
                <c:pt idx="318">
                  <c:v>14</c:v>
                </c:pt>
                <c:pt idx="319">
                  <c:v>14</c:v>
                </c:pt>
                <c:pt idx="320">
                  <c:v>14</c:v>
                </c:pt>
                <c:pt idx="321">
                  <c:v>14</c:v>
                </c:pt>
                <c:pt idx="322">
                  <c:v>14</c:v>
                </c:pt>
                <c:pt idx="323">
                  <c:v>14</c:v>
                </c:pt>
                <c:pt idx="324">
                  <c:v>14</c:v>
                </c:pt>
                <c:pt idx="325">
                  <c:v>14</c:v>
                </c:pt>
                <c:pt idx="326">
                  <c:v>14</c:v>
                </c:pt>
                <c:pt idx="327">
                  <c:v>14</c:v>
                </c:pt>
                <c:pt idx="328">
                  <c:v>14</c:v>
                </c:pt>
                <c:pt idx="329">
                  <c:v>14</c:v>
                </c:pt>
                <c:pt idx="330">
                  <c:v>14</c:v>
                </c:pt>
                <c:pt idx="331">
                  <c:v>14</c:v>
                </c:pt>
                <c:pt idx="332">
                  <c:v>14</c:v>
                </c:pt>
                <c:pt idx="333">
                  <c:v>14</c:v>
                </c:pt>
                <c:pt idx="334">
                  <c:v>14</c:v>
                </c:pt>
                <c:pt idx="335">
                  <c:v>14</c:v>
                </c:pt>
                <c:pt idx="336">
                  <c:v>14</c:v>
                </c:pt>
                <c:pt idx="337">
                  <c:v>14</c:v>
                </c:pt>
                <c:pt idx="338">
                  <c:v>14</c:v>
                </c:pt>
                <c:pt idx="339">
                  <c:v>14</c:v>
                </c:pt>
                <c:pt idx="340">
                  <c:v>14</c:v>
                </c:pt>
                <c:pt idx="341">
                  <c:v>14</c:v>
                </c:pt>
                <c:pt idx="342">
                  <c:v>14</c:v>
                </c:pt>
                <c:pt idx="343">
                  <c:v>14</c:v>
                </c:pt>
                <c:pt idx="344">
                  <c:v>14</c:v>
                </c:pt>
                <c:pt idx="345">
                  <c:v>14</c:v>
                </c:pt>
                <c:pt idx="346">
                  <c:v>14</c:v>
                </c:pt>
                <c:pt idx="347">
                  <c:v>14</c:v>
                </c:pt>
                <c:pt idx="348">
                  <c:v>14</c:v>
                </c:pt>
                <c:pt idx="349">
                  <c:v>14</c:v>
                </c:pt>
                <c:pt idx="350">
                  <c:v>14</c:v>
                </c:pt>
                <c:pt idx="351">
                  <c:v>14</c:v>
                </c:pt>
                <c:pt idx="352">
                  <c:v>14</c:v>
                </c:pt>
                <c:pt idx="353">
                  <c:v>14</c:v>
                </c:pt>
                <c:pt idx="354">
                  <c:v>14</c:v>
                </c:pt>
                <c:pt idx="355">
                  <c:v>14</c:v>
                </c:pt>
                <c:pt idx="356">
                  <c:v>14</c:v>
                </c:pt>
                <c:pt idx="357">
                  <c:v>14</c:v>
                </c:pt>
                <c:pt idx="358">
                  <c:v>14</c:v>
                </c:pt>
                <c:pt idx="359">
                  <c:v>14</c:v>
                </c:pt>
                <c:pt idx="360">
                  <c:v>14</c:v>
                </c:pt>
                <c:pt idx="361">
                  <c:v>14</c:v>
                </c:pt>
                <c:pt idx="362">
                  <c:v>14</c:v>
                </c:pt>
                <c:pt idx="363">
                  <c:v>14</c:v>
                </c:pt>
                <c:pt idx="364">
                  <c:v>14</c:v>
                </c:pt>
                <c:pt idx="365">
                  <c:v>14</c:v>
                </c:pt>
                <c:pt idx="366">
                  <c:v>14</c:v>
                </c:pt>
                <c:pt idx="367">
                  <c:v>14</c:v>
                </c:pt>
                <c:pt idx="368">
                  <c:v>14</c:v>
                </c:pt>
                <c:pt idx="369">
                  <c:v>14</c:v>
                </c:pt>
                <c:pt idx="370">
                  <c:v>14</c:v>
                </c:pt>
                <c:pt idx="371">
                  <c:v>14</c:v>
                </c:pt>
                <c:pt idx="372">
                  <c:v>14</c:v>
                </c:pt>
                <c:pt idx="373">
                  <c:v>14</c:v>
                </c:pt>
                <c:pt idx="374">
                  <c:v>14</c:v>
                </c:pt>
                <c:pt idx="375">
                  <c:v>14</c:v>
                </c:pt>
                <c:pt idx="376">
                  <c:v>14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14</c:v>
                </c:pt>
                <c:pt idx="383">
                  <c:v>14</c:v>
                </c:pt>
                <c:pt idx="384">
                  <c:v>14</c:v>
                </c:pt>
                <c:pt idx="385">
                  <c:v>14</c:v>
                </c:pt>
                <c:pt idx="386">
                  <c:v>14</c:v>
                </c:pt>
                <c:pt idx="387">
                  <c:v>14</c:v>
                </c:pt>
                <c:pt idx="388">
                  <c:v>14</c:v>
                </c:pt>
                <c:pt idx="389">
                  <c:v>14</c:v>
                </c:pt>
                <c:pt idx="390">
                  <c:v>14</c:v>
                </c:pt>
                <c:pt idx="391">
                  <c:v>14</c:v>
                </c:pt>
                <c:pt idx="392">
                  <c:v>14</c:v>
                </c:pt>
                <c:pt idx="393">
                  <c:v>14</c:v>
                </c:pt>
                <c:pt idx="394">
                  <c:v>14</c:v>
                </c:pt>
                <c:pt idx="395">
                  <c:v>14</c:v>
                </c:pt>
                <c:pt idx="396">
                  <c:v>14</c:v>
                </c:pt>
                <c:pt idx="397">
                  <c:v>14</c:v>
                </c:pt>
                <c:pt idx="398">
                  <c:v>14</c:v>
                </c:pt>
                <c:pt idx="399">
                  <c:v>14</c:v>
                </c:pt>
                <c:pt idx="400">
                  <c:v>14</c:v>
                </c:pt>
                <c:pt idx="401">
                  <c:v>14</c:v>
                </c:pt>
                <c:pt idx="402">
                  <c:v>14</c:v>
                </c:pt>
                <c:pt idx="403">
                  <c:v>14</c:v>
                </c:pt>
                <c:pt idx="404">
                  <c:v>14</c:v>
                </c:pt>
                <c:pt idx="405">
                  <c:v>14</c:v>
                </c:pt>
                <c:pt idx="406">
                  <c:v>14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AC-4F6C-BC69-190075069C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0068096"/>
        <c:axId val="90062208"/>
      </c:scatterChart>
      <c:valAx>
        <c:axId val="90059136"/>
        <c:scaling>
          <c:orientation val="minMax"/>
          <c:max val="52"/>
          <c:min val="0"/>
        </c:scaling>
        <c:delete val="0"/>
        <c:axPos val="b"/>
        <c:minorGridlines/>
        <c:numFmt formatCode="General" sourceLinked="1"/>
        <c:majorTickMark val="out"/>
        <c:minorTickMark val="none"/>
        <c:tickLblPos val="nextTo"/>
        <c:crossAx val="90060672"/>
        <c:crosses val="autoZero"/>
        <c:crossBetween val="midCat"/>
      </c:valAx>
      <c:valAx>
        <c:axId val="90060672"/>
        <c:scaling>
          <c:orientation val="minMax"/>
          <c:max val="160"/>
          <c:min val="-10"/>
        </c:scaling>
        <c:delete val="0"/>
        <c:axPos val="l"/>
        <c:minorGridlines/>
        <c:numFmt formatCode="0.0" sourceLinked="1"/>
        <c:majorTickMark val="out"/>
        <c:minorTickMark val="none"/>
        <c:tickLblPos val="nextTo"/>
        <c:crossAx val="90059136"/>
        <c:crosses val="autoZero"/>
        <c:crossBetween val="midCat"/>
      </c:valAx>
      <c:valAx>
        <c:axId val="90062208"/>
        <c:scaling>
          <c:orientation val="minMax"/>
          <c:max val="16"/>
          <c:min val="-1"/>
        </c:scaling>
        <c:delete val="0"/>
        <c:axPos val="r"/>
        <c:numFmt formatCode="General" sourceLinked="0"/>
        <c:majorTickMark val="out"/>
        <c:minorTickMark val="none"/>
        <c:tickLblPos val="nextTo"/>
        <c:crossAx val="90068096"/>
        <c:crosses val="max"/>
        <c:crossBetween val="midCat"/>
        <c:majorUnit val="1"/>
        <c:minorUnit val="1"/>
      </c:valAx>
      <c:valAx>
        <c:axId val="90068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900622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85" workbookViewId="0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115" workbookViewId="0"/>
  </sheetViews>
  <pageMargins left="0.7" right="0.7" top="0.78740157499999996" bottom="0.78740157499999996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Diagramm3"/>
  <sheetViews>
    <sheetView zoomScale="90" workbookViewId="0"/>
  </sheetViews>
  <pageMargins left="0.7" right="0.7" top="0.78740157499999996" bottom="0.78740157499999996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Diagramm4"/>
  <sheetViews>
    <sheetView workbookViewId="0"/>
  </sheetViews>
  <pageMargins left="0.7" right="0.7" top="0.78740157499999996" bottom="0.78740157499999996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Diagramm5"/>
  <sheetViews>
    <sheetView zoomScale="115" workbookViewId="0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0</xdr:row>
          <xdr:rowOff>104775</xdr:rowOff>
        </xdr:from>
        <xdr:to>
          <xdr:col>9</xdr:col>
          <xdr:colOff>342900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CH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Binary File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9525</xdr:colOff>
      <xdr:row>6</xdr:row>
      <xdr:rowOff>19050</xdr:rowOff>
    </xdr:from>
    <xdr:to>
      <xdr:col>13</xdr:col>
      <xdr:colOff>257175</xdr:colOff>
      <xdr:row>6</xdr:row>
      <xdr:rowOff>19050</xdr:rowOff>
    </xdr:to>
    <xdr:cxnSp macro="">
      <xdr:nvCxnSpPr>
        <xdr:cNvPr id="3" name="Straight Arrow Connector 2"/>
        <xdr:cNvCxnSpPr/>
      </xdr:nvCxnSpPr>
      <xdr:spPr>
        <a:xfrm>
          <a:off x="4733925" y="1162050"/>
          <a:ext cx="1152525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5</xdr:row>
      <xdr:rowOff>152400</xdr:rowOff>
    </xdr:from>
    <xdr:to>
      <xdr:col>21</xdr:col>
      <xdr:colOff>266700</xdr:colOff>
      <xdr:row>5</xdr:row>
      <xdr:rowOff>152400</xdr:rowOff>
    </xdr:to>
    <xdr:cxnSp macro="">
      <xdr:nvCxnSpPr>
        <xdr:cNvPr id="5" name="Straight Arrow Connector 4"/>
        <xdr:cNvCxnSpPr/>
      </xdr:nvCxnSpPr>
      <xdr:spPr>
        <a:xfrm>
          <a:off x="8248650" y="1133475"/>
          <a:ext cx="116205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</xdr:colOff>
      <xdr:row>6</xdr:row>
      <xdr:rowOff>9525</xdr:rowOff>
    </xdr:from>
    <xdr:to>
      <xdr:col>30</xdr:col>
      <xdr:colOff>9525</xdr:colOff>
      <xdr:row>6</xdr:row>
      <xdr:rowOff>9525</xdr:rowOff>
    </xdr:to>
    <xdr:cxnSp macro="">
      <xdr:nvCxnSpPr>
        <xdr:cNvPr id="6" name="Straight Arrow Connector 5"/>
        <xdr:cNvCxnSpPr/>
      </xdr:nvCxnSpPr>
      <xdr:spPr>
        <a:xfrm>
          <a:off x="11744325" y="1152525"/>
          <a:ext cx="120015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10</xdr:row>
      <xdr:rowOff>19050</xdr:rowOff>
    </xdr:from>
    <xdr:to>
      <xdr:col>13</xdr:col>
      <xdr:colOff>276225</xdr:colOff>
      <xdr:row>10</xdr:row>
      <xdr:rowOff>19050</xdr:rowOff>
    </xdr:to>
    <xdr:cxnSp macro="">
      <xdr:nvCxnSpPr>
        <xdr:cNvPr id="14" name="Straight Arrow Connector 13"/>
        <xdr:cNvCxnSpPr/>
      </xdr:nvCxnSpPr>
      <xdr:spPr>
        <a:xfrm>
          <a:off x="4733925" y="1828800"/>
          <a:ext cx="1171575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</xdr:colOff>
      <xdr:row>10</xdr:row>
      <xdr:rowOff>0</xdr:rowOff>
    </xdr:from>
    <xdr:to>
      <xdr:col>21</xdr:col>
      <xdr:colOff>266700</xdr:colOff>
      <xdr:row>10</xdr:row>
      <xdr:rowOff>0</xdr:rowOff>
    </xdr:to>
    <xdr:cxnSp macro="">
      <xdr:nvCxnSpPr>
        <xdr:cNvPr id="16" name="Straight Arrow Connector 15"/>
        <xdr:cNvCxnSpPr/>
      </xdr:nvCxnSpPr>
      <xdr:spPr>
        <a:xfrm>
          <a:off x="8248650" y="1809750"/>
          <a:ext cx="1162050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6</xdr:row>
      <xdr:rowOff>0</xdr:rowOff>
    </xdr:from>
    <xdr:to>
      <xdr:col>36</xdr:col>
      <xdr:colOff>142875</xdr:colOff>
      <xdr:row>6</xdr:row>
      <xdr:rowOff>0</xdr:rowOff>
    </xdr:to>
    <xdr:cxnSp macro="">
      <xdr:nvCxnSpPr>
        <xdr:cNvPr id="18" name="Straight Arrow Connector 17"/>
        <xdr:cNvCxnSpPr/>
      </xdr:nvCxnSpPr>
      <xdr:spPr>
        <a:xfrm>
          <a:off x="15240000" y="1143000"/>
          <a:ext cx="1571625" cy="0"/>
        </a:xfrm>
        <a:prstGeom prst="straightConnector1">
          <a:avLst/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71152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AP2065"/>
  <sheetViews>
    <sheetView tabSelected="1" zoomScaleNormal="100" workbookViewId="0">
      <pane ySplit="17" topLeftCell="A18" activePane="bottomLeft" state="frozen"/>
      <selection pane="bottomLeft" activeCell="B13" sqref="B13"/>
    </sheetView>
  </sheetViews>
  <sheetFormatPr defaultColWidth="9.140625" defaultRowHeight="12.75" x14ac:dyDescent="0.2"/>
  <cols>
    <col min="3" max="4" width="4.5703125" customWidth="1"/>
    <col min="5" max="6" width="4.42578125" customWidth="1"/>
    <col min="7" max="7" width="12" customWidth="1"/>
    <col min="8" max="8" width="4.28515625" style="6" customWidth="1"/>
    <col min="10" max="10" width="9.140625" style="6"/>
    <col min="11" max="12" width="4.5703125" customWidth="1"/>
    <col min="13" max="14" width="4.42578125" customWidth="1"/>
    <col min="15" max="15" width="12" customWidth="1"/>
    <col min="16" max="16" width="4.42578125" style="6" customWidth="1"/>
    <col min="18" max="18" width="9.140625" style="6"/>
    <col min="19" max="20" width="4.5703125" customWidth="1"/>
    <col min="21" max="22" width="4.42578125" customWidth="1"/>
    <col min="23" max="23" width="11.85546875" customWidth="1"/>
    <col min="24" max="24" width="4.28515625" style="6" customWidth="1"/>
    <col min="26" max="26" width="9.140625" style="6"/>
    <col min="27" max="28" width="4.5703125" customWidth="1"/>
    <col min="29" max="30" width="4.42578125" customWidth="1"/>
    <col min="31" max="31" width="11.85546875" customWidth="1"/>
    <col min="32" max="32" width="4.42578125" customWidth="1"/>
    <col min="34" max="34" width="9.140625" style="6"/>
    <col min="35" max="35" width="12.28515625" bestFit="1" customWidth="1"/>
    <col min="39" max="39" width="13.42578125" customWidth="1"/>
    <col min="40" max="40" width="16.42578125" customWidth="1"/>
  </cols>
  <sheetData>
    <row r="1" spans="1:42" s="28" customFormat="1" ht="25.5" x14ac:dyDescent="0.35">
      <c r="A1" s="28" t="s">
        <v>36</v>
      </c>
      <c r="B1" s="29"/>
      <c r="C1" s="29"/>
      <c r="I1" s="29"/>
      <c r="J1" s="29"/>
      <c r="K1" s="29"/>
      <c r="L1" s="29"/>
      <c r="M1" s="29"/>
      <c r="N1" s="29"/>
    </row>
    <row r="2" spans="1:42" x14ac:dyDescent="0.2">
      <c r="A2" t="s">
        <v>39</v>
      </c>
      <c r="B2" s="13" t="s">
        <v>37</v>
      </c>
      <c r="C2" s="13"/>
      <c r="D2" s="13"/>
      <c r="E2" s="13"/>
      <c r="F2" s="13"/>
      <c r="G2" s="13"/>
      <c r="H2" s="13"/>
      <c r="I2" s="13"/>
      <c r="K2" s="6"/>
      <c r="L2" s="6"/>
      <c r="M2" s="6"/>
      <c r="N2" s="6"/>
      <c r="O2" s="6"/>
      <c r="Q2" s="6"/>
      <c r="S2" s="6"/>
      <c r="T2" s="6"/>
      <c r="U2" s="6"/>
      <c r="V2" s="6"/>
      <c r="W2" s="6"/>
      <c r="Y2" s="6"/>
      <c r="AA2" s="6"/>
      <c r="AB2" s="6"/>
      <c r="AC2" s="6"/>
      <c r="AD2" s="6"/>
      <c r="AE2" s="6"/>
      <c r="AF2" s="6"/>
      <c r="AG2" s="6"/>
      <c r="AI2" s="6"/>
      <c r="AJ2" s="6"/>
      <c r="AK2" s="6"/>
      <c r="AL2" s="6"/>
      <c r="AM2" s="6"/>
      <c r="AN2" s="6"/>
      <c r="AO2" s="6"/>
      <c r="AP2" s="6"/>
    </row>
    <row r="3" spans="1:42" x14ac:dyDescent="0.2">
      <c r="A3" t="s">
        <v>38</v>
      </c>
      <c r="B3" s="13" t="s">
        <v>40</v>
      </c>
      <c r="C3" s="13"/>
      <c r="D3" s="13"/>
      <c r="E3" s="13"/>
      <c r="F3" s="13"/>
      <c r="G3" s="14"/>
      <c r="H3" s="13"/>
      <c r="I3" s="13"/>
      <c r="J3" s="13"/>
      <c r="AI3" s="6"/>
      <c r="AJ3" s="6"/>
      <c r="AK3" s="6"/>
      <c r="AL3" s="6"/>
      <c r="AM3" s="6"/>
      <c r="AN3" s="6"/>
    </row>
    <row r="4" spans="1:42" x14ac:dyDescent="0.2">
      <c r="B4" s="13"/>
      <c r="C4" s="13"/>
      <c r="D4" s="13"/>
      <c r="E4" s="13"/>
      <c r="F4" s="13"/>
      <c r="G4" s="14"/>
      <c r="H4" s="13"/>
      <c r="I4" s="13"/>
      <c r="J4" s="13"/>
      <c r="Q4" s="6"/>
    </row>
    <row r="5" spans="1:42" ht="13.5" thickBot="1" x14ac:dyDescent="0.25">
      <c r="F5" s="13"/>
      <c r="G5" s="30" t="s">
        <v>50</v>
      </c>
      <c r="H5" s="24"/>
      <c r="I5" s="13"/>
      <c r="J5" s="13"/>
      <c r="K5" s="24"/>
      <c r="O5" s="30" t="s">
        <v>51</v>
      </c>
      <c r="P5" s="24"/>
      <c r="Q5" s="13"/>
      <c r="W5" s="30" t="s">
        <v>61</v>
      </c>
      <c r="X5" s="24"/>
      <c r="Y5" s="13"/>
      <c r="AE5" s="30" t="s">
        <v>60</v>
      </c>
      <c r="AF5" s="24"/>
      <c r="AG5" s="13" t="s">
        <v>70</v>
      </c>
      <c r="AH5" s="6" t="s">
        <v>71</v>
      </c>
    </row>
    <row r="6" spans="1:42" ht="13.5" thickBot="1" x14ac:dyDescent="0.25">
      <c r="A6" s="69" t="s">
        <v>78</v>
      </c>
      <c r="B6" s="69"/>
      <c r="C6" s="69"/>
      <c r="D6" s="69"/>
      <c r="F6" s="13"/>
      <c r="G6" s="35" t="s">
        <v>41</v>
      </c>
      <c r="H6" s="36"/>
      <c r="I6" s="60">
        <v>0</v>
      </c>
      <c r="J6" s="43"/>
      <c r="K6" s="31">
        <f>MAX(MAX(G18:G529)/100*G16,MAX(O18:O529)/100*O16,MAX(W18:W529)/100*W16,MAX(AE18:AE529)/100*AE16)*$I$7+$I$6</f>
        <v>1.5</v>
      </c>
      <c r="L6" s="6"/>
      <c r="M6" s="6"/>
      <c r="N6" s="6"/>
      <c r="O6" s="35" t="s">
        <v>54</v>
      </c>
      <c r="P6" s="39"/>
      <c r="Q6" s="67">
        <v>1</v>
      </c>
      <c r="R6" s="45"/>
      <c r="S6" s="31">
        <f>K6*Q6</f>
        <v>1.5</v>
      </c>
      <c r="T6" s="6"/>
      <c r="U6" s="6"/>
      <c r="V6" s="6"/>
      <c r="W6" s="35" t="s">
        <v>62</v>
      </c>
      <c r="X6" s="39"/>
      <c r="Y6" s="49">
        <f>I10*Q$10/1000+Q$11*0.01</f>
        <v>15.764000000000001</v>
      </c>
      <c r="Z6" s="45" t="s">
        <v>48</v>
      </c>
      <c r="AA6" s="33">
        <f>ROUNDDOWN(PH_FIRE_VOLTAGE_OFFSET + 1023*S6*S10/(PH_FIRE_VOLTAGE_AMPLITUDE*0.01),0)</f>
        <v>926</v>
      </c>
      <c r="AB6" s="34">
        <f>DAC_LIMIT_MAX</f>
        <v>1023</v>
      </c>
      <c r="AC6" s="6"/>
      <c r="AD6" s="6"/>
      <c r="AE6" s="35" t="s">
        <v>44</v>
      </c>
      <c r="AF6" s="39"/>
      <c r="AG6" s="49">
        <f>(ROUNDDOWN(PH_FIRE_VOLTAGE_OFFSET + 1023*S$7*Y6/(PH_FIRE_VOLTAGE_AMPLITUDE*0.01),0))/(DAC_LIMIT_MAX-DAC_LIMIT_MIN+1)*GAIN_PREAMP*GAIN_POWERAMP+OFFSET_AMP</f>
        <v>4.904296875</v>
      </c>
      <c r="AH6" s="57">
        <f>(ROUNDDOWN(PH_FIRE_VOLTAGE_OFFSET + 1023*S$6*Y6/(PH_FIRE_VOLTAGE_AMPLITUDE*0.01),0))/(DAC_LIMIT_MAX-DAC_LIMIT_MIN+1)*GAIN_PREAMP*GAIN_POWERAMP+OFFSET_AMP</f>
        <v>29.044921875</v>
      </c>
      <c r="AI6" s="54">
        <f>AA6/(DAC_LIMIT_MAX-DAC_LIMIT_MIN+1)*GAIN_PREAMP*GAIN_POWERAMP+OFFSET_AMP</f>
        <v>30.12890625</v>
      </c>
      <c r="AJ6" s="55">
        <f>HW_LIMIT_MAX</f>
        <v>30</v>
      </c>
      <c r="AL6" s="6"/>
      <c r="AM6" s="6"/>
      <c r="AN6" s="6"/>
      <c r="AO6" s="6"/>
      <c r="AP6" s="6"/>
    </row>
    <row r="7" spans="1:42" s="6" customFormat="1" ht="13.5" thickBot="1" x14ac:dyDescent="0.25">
      <c r="A7" s="70" t="s">
        <v>77</v>
      </c>
      <c r="B7" s="70"/>
      <c r="C7" s="70"/>
      <c r="D7" s="70"/>
      <c r="F7" s="13"/>
      <c r="G7" s="37" t="s">
        <v>42</v>
      </c>
      <c r="H7" s="38"/>
      <c r="I7" s="61">
        <v>1</v>
      </c>
      <c r="J7" s="44"/>
      <c r="K7" s="31">
        <f>MIN(H18:H529)*I7+I6</f>
        <v>0</v>
      </c>
      <c r="O7" s="37" t="s">
        <v>53</v>
      </c>
      <c r="P7" s="48"/>
      <c r="Q7" s="68">
        <v>1</v>
      </c>
      <c r="R7" s="47"/>
      <c r="S7" s="31">
        <f>K7*Q7</f>
        <v>0</v>
      </c>
      <c r="W7" s="40" t="s">
        <v>63</v>
      </c>
      <c r="X7" s="41"/>
      <c r="Y7" s="50">
        <f>I11*Q$10/1000+Q$11*0.01</f>
        <v>15.9224</v>
      </c>
      <c r="Z7" s="46" t="s">
        <v>48</v>
      </c>
      <c r="AA7" s="33">
        <f>ROUNDDOWN(PH_FIRE_VOLTAGE_OFFSET + 1023*S7*S11/(PH_FIRE_VOLTAGE_AMPLITUDE*0.01),0)</f>
        <v>65</v>
      </c>
      <c r="AB7" s="34">
        <f>DAC_LIMIT_MIN</f>
        <v>0</v>
      </c>
      <c r="AE7" s="40" t="s">
        <v>45</v>
      </c>
      <c r="AF7" s="41"/>
      <c r="AG7" s="50">
        <f>(ROUNDDOWN(PH_FIRE_VOLTAGE_OFFSET + 1023*S$7*Y7/(PH_FIRE_VOLTAGE_AMPLITUDE*0.01),0))/(DAC_LIMIT_MAX-DAC_LIMIT_MIN+1)*GAIN_PREAMP*GAIN_POWERAMP+OFFSET_AMP</f>
        <v>4.904296875</v>
      </c>
      <c r="AH7" s="58">
        <f>(ROUNDDOWN(PH_FIRE_VOLTAGE_OFFSET + 1023*S$6*Y7/(PH_FIRE_VOLTAGE_AMPLITUDE*0.01),0))/(DAC_LIMIT_MAX-DAC_LIMIT_MIN+1)*GAIN_PREAMP*GAIN_POWERAMP+OFFSET_AMP</f>
        <v>29.279296875</v>
      </c>
      <c r="AI7" s="54">
        <f>AA7/(DAC_LIMIT_MAX-DAC_LIMIT_MIN+1)*GAIN_PREAMP*GAIN_POWERAMP+OFFSET_AMP</f>
        <v>4.904296875</v>
      </c>
      <c r="AJ7" s="55">
        <f>HW_LIMIT_MIN</f>
        <v>4</v>
      </c>
      <c r="AL7" s="56"/>
    </row>
    <row r="8" spans="1:42" s="6" customFormat="1" ht="13.5" thickBot="1" x14ac:dyDescent="0.25">
      <c r="A8" s="66" t="s">
        <v>79</v>
      </c>
      <c r="B8" s="66"/>
      <c r="C8" s="66"/>
      <c r="D8" s="66"/>
      <c r="F8" s="13"/>
      <c r="H8" s="13"/>
      <c r="I8" s="13"/>
      <c r="J8" s="13"/>
      <c r="W8" s="40" t="s">
        <v>64</v>
      </c>
      <c r="X8" s="41"/>
      <c r="Y8" s="50">
        <f t="shared" ref="Y8:Y9" si="0">I12*Q$10/1000+Q$11*0.01</f>
        <v>15.843200000000001</v>
      </c>
      <c r="Z8" s="46" t="s">
        <v>48</v>
      </c>
      <c r="AE8" s="40" t="s">
        <v>46</v>
      </c>
      <c r="AF8" s="41"/>
      <c r="AG8" s="50">
        <f>(ROUNDDOWN(PH_FIRE_VOLTAGE_OFFSET + 1023*S$7*Y8/(PH_FIRE_VOLTAGE_AMPLITUDE*0.01),0))/(DAC_LIMIT_MAX-DAC_LIMIT_MIN+1)*GAIN_PREAMP*GAIN_POWERAMP+OFFSET_AMP</f>
        <v>4.904296875</v>
      </c>
      <c r="AH8" s="58">
        <f>(ROUNDDOWN(PH_FIRE_VOLTAGE_OFFSET + 1023*S$6*Y8/(PH_FIRE_VOLTAGE_AMPLITUDE*0.01),0))/(DAC_LIMIT_MAX-DAC_LIMIT_MIN+1)*GAIN_PREAMP*GAIN_POWERAMP+OFFSET_AMP</f>
        <v>29.162109375</v>
      </c>
      <c r="AI8" s="16"/>
      <c r="AJ8" s="15"/>
      <c r="AL8" s="23"/>
    </row>
    <row r="9" spans="1:42" s="6" customFormat="1" ht="13.5" thickBot="1" x14ac:dyDescent="0.25">
      <c r="F9" s="13"/>
      <c r="G9" s="30" t="s">
        <v>43</v>
      </c>
      <c r="H9" s="13"/>
      <c r="I9" s="13"/>
      <c r="J9" s="13"/>
      <c r="O9" s="30" t="s">
        <v>49</v>
      </c>
      <c r="P9" s="24"/>
      <c r="Q9" s="13"/>
      <c r="W9" s="40" t="s">
        <v>65</v>
      </c>
      <c r="X9" s="41"/>
      <c r="Y9" s="50">
        <f t="shared" si="0"/>
        <v>16.476800000000001</v>
      </c>
      <c r="Z9" s="46" t="s">
        <v>48</v>
      </c>
      <c r="AE9" s="37" t="s">
        <v>47</v>
      </c>
      <c r="AF9" s="48"/>
      <c r="AG9" s="53">
        <f>(ROUNDDOWN(PH_FIRE_VOLTAGE_OFFSET + 1023*S$7*Y9/(PH_FIRE_VOLTAGE_AMPLITUDE*0.01),0))/(DAC_LIMIT_MAX-DAC_LIMIT_MIN+1)*GAIN_PREAMP*GAIN_POWERAMP+OFFSET_AMP</f>
        <v>4.904296875</v>
      </c>
      <c r="AH9" s="59">
        <f>(ROUNDDOWN(PH_FIRE_VOLTAGE_OFFSET + 1023*S$6*Y9/(PH_FIRE_VOLTAGE_AMPLITUDE*0.01),0))/(DAC_LIMIT_MAX-DAC_LIMIT_MIN+1)*GAIN_PREAMP*GAIN_POWERAMP+OFFSET_AMP</f>
        <v>30.12890625</v>
      </c>
      <c r="AI9" s="16"/>
      <c r="AJ9" s="15"/>
    </row>
    <row r="10" spans="1:42" x14ac:dyDescent="0.2">
      <c r="F10" s="13"/>
      <c r="G10" s="35" t="s">
        <v>66</v>
      </c>
      <c r="H10" s="39"/>
      <c r="I10" s="63">
        <v>19.5</v>
      </c>
      <c r="J10" s="45" t="s">
        <v>48</v>
      </c>
      <c r="K10" s="32">
        <f>MAX(I10:I13)</f>
        <v>20.399999999999999</v>
      </c>
      <c r="O10" s="35" t="s">
        <v>75</v>
      </c>
      <c r="P10" s="39"/>
      <c r="Q10" s="63">
        <v>792</v>
      </c>
      <c r="R10" s="45" t="s">
        <v>52</v>
      </c>
      <c r="S10" s="51">
        <f>MAX(I10:I13)*Q$10/1000+Q$11*0.01</f>
        <v>16.476800000000001</v>
      </c>
      <c r="W10" s="40"/>
      <c r="X10" s="41"/>
      <c r="Y10" s="41"/>
      <c r="Z10" s="46"/>
    </row>
    <row r="11" spans="1:42" s="6" customFormat="1" ht="13.5" thickBot="1" x14ac:dyDescent="0.25">
      <c r="F11" s="13"/>
      <c r="G11" s="40" t="s">
        <v>67</v>
      </c>
      <c r="H11" s="41"/>
      <c r="I11" s="64">
        <v>19.7</v>
      </c>
      <c r="J11" s="46" t="s">
        <v>48</v>
      </c>
      <c r="K11" s="32">
        <f>MIN(I10:I13)</f>
        <v>19.5</v>
      </c>
      <c r="O11" s="37" t="s">
        <v>76</v>
      </c>
      <c r="P11" s="48"/>
      <c r="Q11" s="65">
        <v>32</v>
      </c>
      <c r="R11" s="47" t="s">
        <v>19</v>
      </c>
      <c r="S11" s="51">
        <f>MIN(I10:I13)*Q$10/1000+Q$11*0.01</f>
        <v>15.764000000000001</v>
      </c>
      <c r="W11" s="40"/>
      <c r="X11" s="41"/>
      <c r="Y11" s="41"/>
      <c r="Z11" s="46"/>
    </row>
    <row r="12" spans="1:42" s="6" customFormat="1" x14ac:dyDescent="0.2">
      <c r="F12" s="13"/>
      <c r="G12" s="40" t="s">
        <v>68</v>
      </c>
      <c r="H12" s="41"/>
      <c r="I12" s="64">
        <v>19.600000000000001</v>
      </c>
      <c r="J12" s="46" t="s">
        <v>48</v>
      </c>
      <c r="S12" s="52"/>
      <c r="W12" s="40"/>
      <c r="X12" s="41"/>
      <c r="Y12" s="41"/>
      <c r="Z12" s="46"/>
    </row>
    <row r="13" spans="1:42" s="6" customFormat="1" ht="13.5" thickBot="1" x14ac:dyDescent="0.25">
      <c r="F13" s="13"/>
      <c r="G13" s="37" t="s">
        <v>69</v>
      </c>
      <c r="H13" s="42"/>
      <c r="I13" s="65">
        <v>20.399999999999999</v>
      </c>
      <c r="J13" s="47" t="s">
        <v>48</v>
      </c>
      <c r="W13" s="37"/>
      <c r="X13" s="48"/>
      <c r="Y13" s="48"/>
      <c r="Z13" s="47"/>
      <c r="AI13" s="16"/>
      <c r="AJ13" s="16"/>
    </row>
    <row r="14" spans="1:42" s="6" customFormat="1" x14ac:dyDescent="0.2">
      <c r="B14" s="24"/>
      <c r="C14" s="13"/>
      <c r="D14" s="13"/>
      <c r="E14" s="13"/>
      <c r="F14" s="13"/>
      <c r="G14" s="24"/>
      <c r="H14" s="18"/>
      <c r="I14" s="13"/>
      <c r="J14" s="13"/>
      <c r="AI14" s="16"/>
      <c r="AJ14" s="16"/>
    </row>
    <row r="15" spans="1:42" x14ac:dyDescent="0.2">
      <c r="H15" s="27" t="s">
        <v>27</v>
      </c>
      <c r="I15" s="22">
        <f>MAX($I$21:$I$529)</f>
        <v>926.4531379897785</v>
      </c>
      <c r="J15" s="20">
        <f>MAX(J21:J529)</f>
        <v>30.142181777044289</v>
      </c>
      <c r="K15" s="21"/>
      <c r="L15" s="21"/>
      <c r="M15" s="21"/>
      <c r="N15" s="21"/>
      <c r="O15" s="21"/>
      <c r="P15" s="26" t="s">
        <v>27</v>
      </c>
      <c r="Q15" s="22">
        <f>MAX($Q$18:$Q$529)</f>
        <v>926.4531379897785</v>
      </c>
      <c r="R15" s="20">
        <f>MAX($R$18:$R$529)</f>
        <v>30.142181777044289</v>
      </c>
      <c r="S15" s="21"/>
      <c r="T15" s="21"/>
      <c r="U15" s="21"/>
      <c r="V15" s="21"/>
      <c r="W15" s="21"/>
      <c r="X15" s="26" t="s">
        <v>27</v>
      </c>
      <c r="Y15" s="22">
        <f>MAX($Y$18:$Y$529)</f>
        <v>754.16251039182271</v>
      </c>
      <c r="Z15" s="20">
        <f>MAX($Z$18:$Z$529)</f>
        <v>25.09460479663543</v>
      </c>
      <c r="AA15" s="21"/>
      <c r="AB15" s="21"/>
      <c r="AC15" s="21"/>
      <c r="AD15" s="21"/>
      <c r="AE15" s="21"/>
      <c r="AF15" s="26" t="s">
        <v>27</v>
      </c>
      <c r="AG15" s="22">
        <f>MAX($AG$18:$AG$529)</f>
        <v>754.16251039182271</v>
      </c>
      <c r="AH15" s="20">
        <f>MAX($AH$18:$AH$529)</f>
        <v>25.09460479663543</v>
      </c>
      <c r="AI15" s="26" t="s">
        <v>27</v>
      </c>
      <c r="AJ15" s="25">
        <f>MAX($AJ$18:$AJ$529)</f>
        <v>1500</v>
      </c>
    </row>
    <row r="16" spans="1:42" s="6" customFormat="1" x14ac:dyDescent="0.2">
      <c r="A16" s="16" t="s">
        <v>23</v>
      </c>
      <c r="B16" s="16"/>
      <c r="C16" s="17" t="s">
        <v>24</v>
      </c>
      <c r="G16" s="62">
        <v>1</v>
      </c>
      <c r="H16" s="27" t="s">
        <v>28</v>
      </c>
      <c r="I16" s="19">
        <f>MIN($I$21:$I$529)</f>
        <v>65</v>
      </c>
      <c r="J16" s="20">
        <f>MIN(J22:J530)</f>
        <v>4.904296875</v>
      </c>
      <c r="K16" s="21"/>
      <c r="L16" s="21"/>
      <c r="M16" s="21"/>
      <c r="N16" s="21"/>
      <c r="O16" s="62">
        <v>1</v>
      </c>
      <c r="P16" s="26" t="s">
        <v>28</v>
      </c>
      <c r="Q16" s="22">
        <f>MIN($Q$18:$Q$529)</f>
        <v>65</v>
      </c>
      <c r="R16" s="20">
        <f>MIN($R$18:$R$529)</f>
        <v>4.904296875</v>
      </c>
      <c r="S16" s="21"/>
      <c r="T16" s="21"/>
      <c r="U16" s="21"/>
      <c r="V16" s="21"/>
      <c r="W16" s="62">
        <v>1</v>
      </c>
      <c r="X16" s="26" t="s">
        <v>28</v>
      </c>
      <c r="Y16" s="22">
        <f>MIN($Y$18:$Y$529)</f>
        <v>65</v>
      </c>
      <c r="Z16" s="20">
        <f>MIN($Z$18:$Z$529)</f>
        <v>4.904296875</v>
      </c>
      <c r="AA16" s="21"/>
      <c r="AB16" s="21"/>
      <c r="AC16" s="21"/>
      <c r="AD16" s="21"/>
      <c r="AE16" s="62">
        <v>1</v>
      </c>
      <c r="AF16" s="26" t="s">
        <v>28</v>
      </c>
      <c r="AG16" s="22">
        <f>MIN($AG$18:$AG$529)</f>
        <v>65</v>
      </c>
      <c r="AH16" s="20">
        <f>MIN($AH$18:$AH$529)</f>
        <v>4.904296875</v>
      </c>
      <c r="AI16" s="26" t="s">
        <v>28</v>
      </c>
      <c r="AJ16" s="25">
        <f>MIN($AJ$18:$AJ$529)</f>
        <v>0</v>
      </c>
      <c r="AM16" s="6" t="s">
        <v>4</v>
      </c>
      <c r="AN16" s="6" t="s">
        <v>5</v>
      </c>
      <c r="AP16" s="6" t="s">
        <v>7</v>
      </c>
    </row>
    <row r="17" spans="1:42" x14ac:dyDescent="0.2">
      <c r="A17" t="s">
        <v>9</v>
      </c>
      <c r="B17" t="s">
        <v>0</v>
      </c>
      <c r="C17" t="s">
        <v>10</v>
      </c>
      <c r="D17" t="s">
        <v>11</v>
      </c>
      <c r="E17" t="s">
        <v>12</v>
      </c>
      <c r="F17" t="s">
        <v>13</v>
      </c>
      <c r="G17" s="3" t="s">
        <v>8</v>
      </c>
      <c r="H17" s="11"/>
      <c r="I17" s="10" t="s">
        <v>21</v>
      </c>
      <c r="J17" s="10" t="s">
        <v>22</v>
      </c>
      <c r="K17" t="s">
        <v>10</v>
      </c>
      <c r="L17" t="s">
        <v>11</v>
      </c>
      <c r="M17" t="s">
        <v>12</v>
      </c>
      <c r="N17" t="s">
        <v>13</v>
      </c>
      <c r="O17" s="3" t="s">
        <v>8</v>
      </c>
      <c r="P17" s="8"/>
      <c r="Q17" s="6" t="s">
        <v>21</v>
      </c>
      <c r="R17" s="10" t="s">
        <v>22</v>
      </c>
      <c r="S17" t="s">
        <v>10</v>
      </c>
      <c r="T17" t="s">
        <v>11</v>
      </c>
      <c r="U17" t="s">
        <v>12</v>
      </c>
      <c r="V17" t="s">
        <v>13</v>
      </c>
      <c r="W17" s="3" t="s">
        <v>8</v>
      </c>
      <c r="X17" s="8"/>
      <c r="Y17" s="6" t="s">
        <v>21</v>
      </c>
      <c r="Z17" s="10" t="s">
        <v>22</v>
      </c>
      <c r="AA17" t="s">
        <v>10</v>
      </c>
      <c r="AB17" t="s">
        <v>11</v>
      </c>
      <c r="AC17" t="s">
        <v>12</v>
      </c>
      <c r="AD17" t="s">
        <v>13</v>
      </c>
      <c r="AE17" s="3" t="s">
        <v>8</v>
      </c>
      <c r="AG17" s="6" t="s">
        <v>21</v>
      </c>
      <c r="AH17" s="10" t="s">
        <v>22</v>
      </c>
      <c r="AJ17" t="s">
        <v>1</v>
      </c>
      <c r="AM17" t="s">
        <v>3</v>
      </c>
      <c r="AN17" t="s">
        <v>2</v>
      </c>
      <c r="AP17" t="s">
        <v>6</v>
      </c>
    </row>
    <row r="18" spans="1:42" x14ac:dyDescent="0.2">
      <c r="A18">
        <v>1</v>
      </c>
      <c r="B18">
        <v>0</v>
      </c>
      <c r="C18" s="6">
        <v>1</v>
      </c>
      <c r="D18" s="6">
        <v>1</v>
      </c>
      <c r="E18" s="6">
        <v>1</v>
      </c>
      <c r="F18" s="7">
        <v>0</v>
      </c>
      <c r="G18" s="9">
        <v>100</v>
      </c>
      <c r="H18" s="10">
        <f>BIN2DEC(C18+10*D18+100*E18+1000*F18)</f>
        <v>7</v>
      </c>
      <c r="I18" s="12">
        <f t="shared" ref="I18:I81" si="1">PH_FIRE_VOLTAGE_OFFSET + 1023*(G18/100*G$16*$I$7+$I$6)*$S$10/(PH_FIRE_VOLTAGE_AMPLITUDE*0.01)</f>
        <v>639.30209199318563</v>
      </c>
      <c r="J18" s="11">
        <f t="shared" ref="J18:J81" si="2">I18/(DAC_LIMIT_MAX-DAC_LIMIT_MIN+1)*GAIN_PREAMP*GAIN_POWERAMP+OFFSET_AMP</f>
        <v>21.729553476362859</v>
      </c>
      <c r="K18" s="6">
        <v>1</v>
      </c>
      <c r="L18" s="6">
        <v>1</v>
      </c>
      <c r="M18">
        <v>1</v>
      </c>
      <c r="N18" s="7">
        <v>0</v>
      </c>
      <c r="O18" s="9">
        <v>100</v>
      </c>
      <c r="P18" s="10">
        <f>BIN2DEC(K18+10*L18+100*M18+1000*N18)</f>
        <v>7</v>
      </c>
      <c r="Q18" s="12">
        <f t="shared" ref="Q18:Q81" si="3">PH_FIRE_VOLTAGE_OFFSET + 1023*(O18/100*O$16*$I$7+$I$6)*$S$10/(PH_FIRE_VOLTAGE_AMPLITUDE*0.01)</f>
        <v>639.30209199318563</v>
      </c>
      <c r="R18" s="11">
        <f t="shared" ref="R18:R81" si="4">Q18/(DAC_LIMIT_MAX-DAC_LIMIT_MIN+1)*GAIN_PREAMP*GAIN_POWERAMP+OFFSET_AMP</f>
        <v>21.729553476362859</v>
      </c>
      <c r="S18" s="6">
        <v>1</v>
      </c>
      <c r="T18" s="6">
        <v>1</v>
      </c>
      <c r="U18" s="6">
        <v>1</v>
      </c>
      <c r="V18" s="7">
        <v>0</v>
      </c>
      <c r="W18" s="9">
        <v>100</v>
      </c>
      <c r="X18" s="10">
        <f>BIN2DEC(S18+10*T18+100*U18+1000*V18)</f>
        <v>7</v>
      </c>
      <c r="Y18" s="12">
        <f t="shared" ref="Y18:Y81" si="5">PH_FIRE_VOLTAGE_OFFSET + 1023*(W18/100*W$16*$I$7+$I$6)*$S$10/(PH_FIRE_VOLTAGE_AMPLITUDE*0.01)</f>
        <v>639.30209199318563</v>
      </c>
      <c r="Z18" s="11">
        <f t="shared" ref="Z18:Z81" si="6">Y18/(DAC_LIMIT_MAX-DAC_LIMIT_MIN+1)*GAIN_PREAMP*GAIN_POWERAMP+OFFSET_AMP</f>
        <v>21.729553476362859</v>
      </c>
      <c r="AA18" s="6">
        <v>1</v>
      </c>
      <c r="AB18" s="6">
        <v>1</v>
      </c>
      <c r="AC18" s="6">
        <v>1</v>
      </c>
      <c r="AD18" s="7">
        <v>1</v>
      </c>
      <c r="AE18" s="9">
        <v>100</v>
      </c>
      <c r="AF18" s="10">
        <f>BIN2DEC(AA18+10*AB18+100*AC18+1000*AD18)</f>
        <v>15</v>
      </c>
      <c r="AG18" s="12">
        <f t="shared" ref="AG18:AG81" si="7">PH_FIRE_VOLTAGE_OFFSET + 1023*(AE18/100*AE$16*$I$7+$I$6)*$S$10/(PH_FIRE_VOLTAGE_AMPLITUDE*0.01)</f>
        <v>639.30209199318563</v>
      </c>
      <c r="AH18" s="11">
        <f t="shared" ref="AH18:AH81" si="8">AG18/(DAC_LIMIT_MAX-DAC_LIMIT_MIN+1)*GAIN_PREAMP*GAIN_POWERAMP+OFFSET_AMP</f>
        <v>21.729553476362859</v>
      </c>
      <c r="AJ18">
        <f>ROUNDDOWN(($G18*$G$16+$I$6*100)*10,0)</f>
        <v>1000</v>
      </c>
      <c r="AK18" s="4">
        <v>1</v>
      </c>
      <c r="AM18" s="2" t="str">
        <f t="shared" ref="AM18:AM81" si="9">BIN2HEX(C18+10*D18+100*E18+1000*F18,1)</f>
        <v>7</v>
      </c>
      <c r="AN18" s="2" t="str">
        <f>DEC2HEX(AJ18,3)</f>
        <v>3E8</v>
      </c>
      <c r="AO18" s="2"/>
      <c r="AP18" s="2" t="str">
        <f>CONCATENATE(AM18,AN18)</f>
        <v>73E8</v>
      </c>
    </row>
    <row r="19" spans="1:42" x14ac:dyDescent="0.2">
      <c r="A19">
        <v>2</v>
      </c>
      <c r="B19">
        <v>0.1</v>
      </c>
      <c r="C19" s="6">
        <v>1</v>
      </c>
      <c r="D19" s="6">
        <v>1</v>
      </c>
      <c r="E19" s="6">
        <v>1</v>
      </c>
      <c r="F19" s="7">
        <v>0</v>
      </c>
      <c r="G19" s="9">
        <v>100</v>
      </c>
      <c r="H19" s="10">
        <f t="shared" ref="H19:H82" si="10">BIN2DEC(C19+10*D19+100*E19+1000*F19)</f>
        <v>7</v>
      </c>
      <c r="I19" s="12">
        <f t="shared" si="1"/>
        <v>639.30209199318563</v>
      </c>
      <c r="J19" s="11">
        <f t="shared" si="2"/>
        <v>21.729553476362859</v>
      </c>
      <c r="K19" s="6">
        <v>1</v>
      </c>
      <c r="L19" s="6">
        <v>1</v>
      </c>
      <c r="M19" s="6">
        <v>1</v>
      </c>
      <c r="N19" s="7">
        <v>0</v>
      </c>
      <c r="O19" s="9">
        <v>100</v>
      </c>
      <c r="P19" s="10">
        <f t="shared" ref="P19:P82" si="11">BIN2DEC(K19+10*L19+100*M19+1000*N19)</f>
        <v>7</v>
      </c>
      <c r="Q19" s="12">
        <f t="shared" si="3"/>
        <v>639.30209199318563</v>
      </c>
      <c r="R19" s="11">
        <f t="shared" si="4"/>
        <v>21.729553476362859</v>
      </c>
      <c r="S19" s="6">
        <v>1</v>
      </c>
      <c r="T19" s="6">
        <v>1</v>
      </c>
      <c r="U19" s="6">
        <v>1</v>
      </c>
      <c r="V19" s="7">
        <v>0</v>
      </c>
      <c r="W19" s="9">
        <v>100</v>
      </c>
      <c r="X19" s="10">
        <f t="shared" ref="X19:X82" si="12">BIN2DEC(S19+10*T19+100*U19+1000*V19)</f>
        <v>7</v>
      </c>
      <c r="Y19" s="12">
        <f t="shared" si="5"/>
        <v>639.30209199318563</v>
      </c>
      <c r="Z19" s="11">
        <f t="shared" si="6"/>
        <v>21.729553476362859</v>
      </c>
      <c r="AA19" s="6">
        <v>1</v>
      </c>
      <c r="AB19" s="6">
        <v>1</v>
      </c>
      <c r="AC19" s="6">
        <v>1</v>
      </c>
      <c r="AD19" s="7">
        <v>1</v>
      </c>
      <c r="AE19" s="9">
        <v>100</v>
      </c>
      <c r="AF19" s="10">
        <f t="shared" ref="AF19:AF82" si="13">BIN2DEC(AA19+10*AB19+100*AC19+1000*AD19)</f>
        <v>15</v>
      </c>
      <c r="AG19" s="12">
        <f t="shared" si="7"/>
        <v>639.30209199318563</v>
      </c>
      <c r="AH19" s="11">
        <f t="shared" si="8"/>
        <v>21.729553476362859</v>
      </c>
      <c r="AJ19" s="6">
        <f t="shared" ref="AJ19:AJ82" si="14">ROUNDDOWN(($G19*$G$16+$I$6*100)*10,0)</f>
        <v>1000</v>
      </c>
      <c r="AK19" s="4">
        <v>2</v>
      </c>
      <c r="AM19" s="2" t="str">
        <f t="shared" si="9"/>
        <v>7</v>
      </c>
      <c r="AN19" s="2" t="str">
        <f t="shared" ref="AN19:AN82" si="15">DEC2HEX(AJ19,3)</f>
        <v>3E8</v>
      </c>
      <c r="AO19" s="2"/>
      <c r="AP19" s="2" t="str">
        <f t="shared" ref="AP19:AP82" si="16">CONCATENATE(AM19,AN19)</f>
        <v>73E8</v>
      </c>
    </row>
    <row r="20" spans="1:42" x14ac:dyDescent="0.2">
      <c r="A20">
        <v>3</v>
      </c>
      <c r="B20">
        <v>0.2</v>
      </c>
      <c r="C20" s="6">
        <v>1</v>
      </c>
      <c r="D20" s="6">
        <v>1</v>
      </c>
      <c r="E20" s="6">
        <v>1</v>
      </c>
      <c r="F20" s="7">
        <v>0</v>
      </c>
      <c r="G20" s="9">
        <v>100</v>
      </c>
      <c r="H20" s="10">
        <f t="shared" si="10"/>
        <v>7</v>
      </c>
      <c r="I20" s="12">
        <f t="shared" si="1"/>
        <v>639.30209199318563</v>
      </c>
      <c r="J20" s="11">
        <f t="shared" si="2"/>
        <v>21.729553476362859</v>
      </c>
      <c r="K20" s="6">
        <v>1</v>
      </c>
      <c r="L20" s="6">
        <v>1</v>
      </c>
      <c r="M20" s="6">
        <v>1</v>
      </c>
      <c r="N20" s="7">
        <v>0</v>
      </c>
      <c r="O20" s="9">
        <v>100</v>
      </c>
      <c r="P20" s="10">
        <f t="shared" si="11"/>
        <v>7</v>
      </c>
      <c r="Q20" s="12">
        <f t="shared" si="3"/>
        <v>639.30209199318563</v>
      </c>
      <c r="R20" s="11">
        <f t="shared" si="4"/>
        <v>21.729553476362859</v>
      </c>
      <c r="S20" s="6">
        <v>1</v>
      </c>
      <c r="T20" s="6">
        <v>1</v>
      </c>
      <c r="U20" s="6">
        <v>1</v>
      </c>
      <c r="V20" s="7">
        <v>0</v>
      </c>
      <c r="W20" s="9">
        <v>100</v>
      </c>
      <c r="X20" s="10">
        <f t="shared" si="12"/>
        <v>7</v>
      </c>
      <c r="Y20" s="12">
        <f t="shared" si="5"/>
        <v>639.30209199318563</v>
      </c>
      <c r="Z20" s="11">
        <f t="shared" si="6"/>
        <v>21.729553476362859</v>
      </c>
      <c r="AA20" s="6">
        <v>1</v>
      </c>
      <c r="AB20" s="6">
        <v>1</v>
      </c>
      <c r="AC20" s="6">
        <v>1</v>
      </c>
      <c r="AD20" s="7">
        <v>1</v>
      </c>
      <c r="AE20" s="9">
        <v>100</v>
      </c>
      <c r="AF20" s="10">
        <f t="shared" si="13"/>
        <v>15</v>
      </c>
      <c r="AG20" s="12">
        <f t="shared" si="7"/>
        <v>639.30209199318563</v>
      </c>
      <c r="AH20" s="11">
        <f t="shared" si="8"/>
        <v>21.729553476362859</v>
      </c>
      <c r="AJ20" s="6">
        <f t="shared" si="14"/>
        <v>1000</v>
      </c>
      <c r="AK20" s="4">
        <v>3</v>
      </c>
      <c r="AM20" s="2" t="str">
        <f t="shared" si="9"/>
        <v>7</v>
      </c>
      <c r="AN20" s="2" t="str">
        <f t="shared" si="15"/>
        <v>3E8</v>
      </c>
      <c r="AO20" s="2"/>
      <c r="AP20" s="2" t="str">
        <f t="shared" si="16"/>
        <v>73E8</v>
      </c>
    </row>
    <row r="21" spans="1:42" x14ac:dyDescent="0.2">
      <c r="A21">
        <v>4</v>
      </c>
      <c r="B21">
        <v>0.3</v>
      </c>
      <c r="C21" s="6">
        <v>1</v>
      </c>
      <c r="D21" s="6">
        <v>1</v>
      </c>
      <c r="E21" s="6">
        <v>1</v>
      </c>
      <c r="F21" s="7">
        <v>0</v>
      </c>
      <c r="G21" s="9">
        <v>100</v>
      </c>
      <c r="H21" s="10">
        <f t="shared" si="10"/>
        <v>7</v>
      </c>
      <c r="I21" s="12">
        <f t="shared" si="1"/>
        <v>639.30209199318563</v>
      </c>
      <c r="J21" s="11">
        <f t="shared" si="2"/>
        <v>21.729553476362859</v>
      </c>
      <c r="K21" s="6">
        <v>1</v>
      </c>
      <c r="L21" s="6">
        <v>1</v>
      </c>
      <c r="M21" s="6">
        <v>1</v>
      </c>
      <c r="N21" s="7">
        <v>0</v>
      </c>
      <c r="O21" s="9">
        <v>100</v>
      </c>
      <c r="P21" s="10">
        <f t="shared" si="11"/>
        <v>7</v>
      </c>
      <c r="Q21" s="12">
        <f t="shared" si="3"/>
        <v>639.30209199318563</v>
      </c>
      <c r="R21" s="11">
        <f t="shared" si="4"/>
        <v>21.729553476362859</v>
      </c>
      <c r="S21" s="6">
        <v>1</v>
      </c>
      <c r="T21" s="6">
        <v>1</v>
      </c>
      <c r="U21" s="6">
        <v>1</v>
      </c>
      <c r="V21" s="7">
        <v>0</v>
      </c>
      <c r="W21" s="9">
        <v>100</v>
      </c>
      <c r="X21" s="10">
        <f t="shared" si="12"/>
        <v>7</v>
      </c>
      <c r="Y21" s="12">
        <f t="shared" si="5"/>
        <v>639.30209199318563</v>
      </c>
      <c r="Z21" s="11">
        <f t="shared" si="6"/>
        <v>21.729553476362859</v>
      </c>
      <c r="AA21" s="6">
        <v>1</v>
      </c>
      <c r="AB21" s="6">
        <v>1</v>
      </c>
      <c r="AC21" s="6">
        <v>1</v>
      </c>
      <c r="AD21" s="7">
        <v>1</v>
      </c>
      <c r="AE21" s="9">
        <v>100</v>
      </c>
      <c r="AF21" s="10">
        <f t="shared" si="13"/>
        <v>15</v>
      </c>
      <c r="AG21" s="12">
        <f t="shared" si="7"/>
        <v>639.30209199318563</v>
      </c>
      <c r="AH21" s="11">
        <f t="shared" si="8"/>
        <v>21.729553476362859</v>
      </c>
      <c r="AJ21" s="6">
        <f t="shared" si="14"/>
        <v>1000</v>
      </c>
      <c r="AK21" s="4">
        <v>4</v>
      </c>
      <c r="AM21" s="2" t="str">
        <f t="shared" si="9"/>
        <v>7</v>
      </c>
      <c r="AN21" s="2" t="str">
        <f t="shared" si="15"/>
        <v>3E8</v>
      </c>
      <c r="AO21" s="2"/>
      <c r="AP21" s="2" t="str">
        <f t="shared" si="16"/>
        <v>73E8</v>
      </c>
    </row>
    <row r="22" spans="1:42" x14ac:dyDescent="0.2">
      <c r="A22">
        <v>5</v>
      </c>
      <c r="B22">
        <v>0.4</v>
      </c>
      <c r="C22" s="6">
        <v>1</v>
      </c>
      <c r="D22" s="6">
        <v>1</v>
      </c>
      <c r="E22" s="6">
        <v>1</v>
      </c>
      <c r="F22" s="7">
        <v>0</v>
      </c>
      <c r="G22" s="9">
        <v>100</v>
      </c>
      <c r="H22" s="10">
        <f t="shared" si="10"/>
        <v>7</v>
      </c>
      <c r="I22" s="12">
        <f t="shared" si="1"/>
        <v>639.30209199318563</v>
      </c>
      <c r="J22" s="11">
        <f t="shared" si="2"/>
        <v>21.729553476362859</v>
      </c>
      <c r="K22" s="6">
        <v>1</v>
      </c>
      <c r="L22" s="6">
        <v>1</v>
      </c>
      <c r="M22" s="6">
        <v>1</v>
      </c>
      <c r="N22" s="7">
        <v>0</v>
      </c>
      <c r="O22" s="9">
        <v>100</v>
      </c>
      <c r="P22" s="10">
        <f t="shared" si="11"/>
        <v>7</v>
      </c>
      <c r="Q22" s="12">
        <f t="shared" si="3"/>
        <v>639.30209199318563</v>
      </c>
      <c r="R22" s="11">
        <f t="shared" si="4"/>
        <v>21.729553476362859</v>
      </c>
      <c r="S22" s="6">
        <v>1</v>
      </c>
      <c r="T22" s="6">
        <v>1</v>
      </c>
      <c r="U22" s="6">
        <v>1</v>
      </c>
      <c r="V22" s="7">
        <v>0</v>
      </c>
      <c r="W22" s="9">
        <v>100</v>
      </c>
      <c r="X22" s="10">
        <f t="shared" si="12"/>
        <v>7</v>
      </c>
      <c r="Y22" s="12">
        <f t="shared" si="5"/>
        <v>639.30209199318563</v>
      </c>
      <c r="Z22" s="11">
        <f t="shared" si="6"/>
        <v>21.729553476362859</v>
      </c>
      <c r="AA22" s="6">
        <v>1</v>
      </c>
      <c r="AB22" s="6">
        <v>1</v>
      </c>
      <c r="AC22" s="6">
        <v>1</v>
      </c>
      <c r="AD22" s="7">
        <v>1</v>
      </c>
      <c r="AE22" s="9">
        <v>100</v>
      </c>
      <c r="AF22" s="10">
        <f t="shared" si="13"/>
        <v>15</v>
      </c>
      <c r="AG22" s="12">
        <f t="shared" si="7"/>
        <v>639.30209199318563</v>
      </c>
      <c r="AH22" s="11">
        <f t="shared" si="8"/>
        <v>21.729553476362859</v>
      </c>
      <c r="AJ22" s="6">
        <f t="shared" si="14"/>
        <v>1000</v>
      </c>
      <c r="AK22" s="4">
        <v>5</v>
      </c>
      <c r="AM22" s="2" t="str">
        <f t="shared" si="9"/>
        <v>7</v>
      </c>
      <c r="AN22" s="2" t="str">
        <f t="shared" si="15"/>
        <v>3E8</v>
      </c>
      <c r="AO22" s="2"/>
      <c r="AP22" s="2" t="str">
        <f t="shared" si="16"/>
        <v>73E8</v>
      </c>
    </row>
    <row r="23" spans="1:42" x14ac:dyDescent="0.2">
      <c r="A23">
        <v>6</v>
      </c>
      <c r="B23">
        <v>0.5</v>
      </c>
      <c r="C23" s="6">
        <v>1</v>
      </c>
      <c r="D23" s="6">
        <v>1</v>
      </c>
      <c r="E23" s="6">
        <v>1</v>
      </c>
      <c r="F23" s="7">
        <v>0</v>
      </c>
      <c r="G23" s="9">
        <v>100</v>
      </c>
      <c r="H23" s="10">
        <f t="shared" si="10"/>
        <v>7</v>
      </c>
      <c r="I23" s="12">
        <f t="shared" si="1"/>
        <v>639.30209199318563</v>
      </c>
      <c r="J23" s="11">
        <f t="shared" si="2"/>
        <v>21.729553476362859</v>
      </c>
      <c r="K23" s="6">
        <v>1</v>
      </c>
      <c r="L23" s="6">
        <v>1</v>
      </c>
      <c r="M23" s="6">
        <v>1</v>
      </c>
      <c r="N23" s="7">
        <v>0</v>
      </c>
      <c r="O23" s="9">
        <v>100</v>
      </c>
      <c r="P23" s="10">
        <f t="shared" si="11"/>
        <v>7</v>
      </c>
      <c r="Q23" s="12">
        <f t="shared" si="3"/>
        <v>639.30209199318563</v>
      </c>
      <c r="R23" s="11">
        <f t="shared" si="4"/>
        <v>21.729553476362859</v>
      </c>
      <c r="S23" s="6">
        <v>1</v>
      </c>
      <c r="T23" s="6">
        <v>1</v>
      </c>
      <c r="U23" s="6">
        <v>1</v>
      </c>
      <c r="V23" s="7">
        <v>0</v>
      </c>
      <c r="W23" s="9">
        <v>100</v>
      </c>
      <c r="X23" s="10">
        <f t="shared" si="12"/>
        <v>7</v>
      </c>
      <c r="Y23" s="12">
        <f t="shared" si="5"/>
        <v>639.30209199318563</v>
      </c>
      <c r="Z23" s="11">
        <f t="shared" si="6"/>
        <v>21.729553476362859</v>
      </c>
      <c r="AA23" s="6">
        <v>1</v>
      </c>
      <c r="AB23" s="6">
        <v>1</v>
      </c>
      <c r="AC23" s="6">
        <v>1</v>
      </c>
      <c r="AD23" s="7">
        <v>1</v>
      </c>
      <c r="AE23" s="9">
        <v>100</v>
      </c>
      <c r="AF23" s="10">
        <f t="shared" si="13"/>
        <v>15</v>
      </c>
      <c r="AG23" s="12">
        <f t="shared" si="7"/>
        <v>639.30209199318563</v>
      </c>
      <c r="AH23" s="11">
        <f t="shared" si="8"/>
        <v>21.729553476362859</v>
      </c>
      <c r="AJ23" s="6">
        <f t="shared" si="14"/>
        <v>1000</v>
      </c>
      <c r="AK23" s="4">
        <v>6</v>
      </c>
      <c r="AM23" s="2" t="str">
        <f t="shared" si="9"/>
        <v>7</v>
      </c>
      <c r="AN23" s="2" t="str">
        <f t="shared" si="15"/>
        <v>3E8</v>
      </c>
      <c r="AO23" s="2"/>
      <c r="AP23" s="2" t="str">
        <f t="shared" si="16"/>
        <v>73E8</v>
      </c>
    </row>
    <row r="24" spans="1:42" x14ac:dyDescent="0.2">
      <c r="A24">
        <v>7</v>
      </c>
      <c r="B24">
        <v>0.6</v>
      </c>
      <c r="C24" s="6">
        <v>1</v>
      </c>
      <c r="D24" s="6">
        <v>1</v>
      </c>
      <c r="E24" s="6">
        <v>1</v>
      </c>
      <c r="F24" s="7">
        <v>0</v>
      </c>
      <c r="G24" s="9">
        <v>100</v>
      </c>
      <c r="H24" s="10">
        <f t="shared" si="10"/>
        <v>7</v>
      </c>
      <c r="I24" s="12">
        <f t="shared" si="1"/>
        <v>639.30209199318563</v>
      </c>
      <c r="J24" s="11">
        <f t="shared" si="2"/>
        <v>21.729553476362859</v>
      </c>
      <c r="K24" s="6">
        <v>1</v>
      </c>
      <c r="L24" s="6">
        <v>1</v>
      </c>
      <c r="M24" s="6">
        <v>1</v>
      </c>
      <c r="N24" s="7">
        <v>0</v>
      </c>
      <c r="O24" s="9">
        <v>100</v>
      </c>
      <c r="P24" s="10">
        <f t="shared" si="11"/>
        <v>7</v>
      </c>
      <c r="Q24" s="12">
        <f t="shared" si="3"/>
        <v>639.30209199318563</v>
      </c>
      <c r="R24" s="11">
        <f t="shared" si="4"/>
        <v>21.729553476362859</v>
      </c>
      <c r="S24" s="6">
        <v>1</v>
      </c>
      <c r="T24" s="6">
        <v>1</v>
      </c>
      <c r="U24" s="6">
        <v>1</v>
      </c>
      <c r="V24" s="7">
        <v>0</v>
      </c>
      <c r="W24" s="9">
        <v>100</v>
      </c>
      <c r="X24" s="10">
        <f t="shared" si="12"/>
        <v>7</v>
      </c>
      <c r="Y24" s="12">
        <f t="shared" si="5"/>
        <v>639.30209199318563</v>
      </c>
      <c r="Z24" s="11">
        <f t="shared" si="6"/>
        <v>21.729553476362859</v>
      </c>
      <c r="AA24" s="6">
        <v>1</v>
      </c>
      <c r="AB24" s="6">
        <v>1</v>
      </c>
      <c r="AC24" s="6">
        <v>1</v>
      </c>
      <c r="AD24" s="7">
        <v>1</v>
      </c>
      <c r="AE24" s="9">
        <v>100</v>
      </c>
      <c r="AF24" s="10">
        <f t="shared" si="13"/>
        <v>15</v>
      </c>
      <c r="AG24" s="12">
        <f t="shared" si="7"/>
        <v>639.30209199318563</v>
      </c>
      <c r="AH24" s="11">
        <f t="shared" si="8"/>
        <v>21.729553476362859</v>
      </c>
      <c r="AJ24" s="6">
        <f t="shared" si="14"/>
        <v>1000</v>
      </c>
      <c r="AK24" s="4">
        <v>7</v>
      </c>
      <c r="AM24" s="2" t="str">
        <f t="shared" si="9"/>
        <v>7</v>
      </c>
      <c r="AN24" s="2" t="str">
        <f t="shared" si="15"/>
        <v>3E8</v>
      </c>
      <c r="AO24" s="2"/>
      <c r="AP24" s="2" t="str">
        <f t="shared" si="16"/>
        <v>73E8</v>
      </c>
    </row>
    <row r="25" spans="1:42" x14ac:dyDescent="0.2">
      <c r="A25">
        <v>8</v>
      </c>
      <c r="B25">
        <v>0.7</v>
      </c>
      <c r="C25" s="6">
        <v>1</v>
      </c>
      <c r="D25" s="6">
        <v>1</v>
      </c>
      <c r="E25" s="6">
        <v>1</v>
      </c>
      <c r="F25" s="7">
        <v>0</v>
      </c>
      <c r="G25" s="9">
        <v>100</v>
      </c>
      <c r="H25" s="10">
        <f t="shared" si="10"/>
        <v>7</v>
      </c>
      <c r="I25" s="12">
        <f t="shared" si="1"/>
        <v>639.30209199318563</v>
      </c>
      <c r="J25" s="11">
        <f t="shared" si="2"/>
        <v>21.729553476362859</v>
      </c>
      <c r="K25" s="6">
        <v>1</v>
      </c>
      <c r="L25" s="6">
        <v>1</v>
      </c>
      <c r="M25" s="6">
        <v>1</v>
      </c>
      <c r="N25" s="7">
        <v>0</v>
      </c>
      <c r="O25" s="9">
        <v>100</v>
      </c>
      <c r="P25" s="10">
        <f t="shared" si="11"/>
        <v>7</v>
      </c>
      <c r="Q25" s="12">
        <f t="shared" si="3"/>
        <v>639.30209199318563</v>
      </c>
      <c r="R25" s="11">
        <f t="shared" si="4"/>
        <v>21.729553476362859</v>
      </c>
      <c r="S25" s="6">
        <v>1</v>
      </c>
      <c r="T25" s="6">
        <v>1</v>
      </c>
      <c r="U25" s="6">
        <v>1</v>
      </c>
      <c r="V25" s="7">
        <v>0</v>
      </c>
      <c r="W25" s="9">
        <v>100</v>
      </c>
      <c r="X25" s="10">
        <f t="shared" si="12"/>
        <v>7</v>
      </c>
      <c r="Y25" s="12">
        <f t="shared" si="5"/>
        <v>639.30209199318563</v>
      </c>
      <c r="Z25" s="11">
        <f t="shared" si="6"/>
        <v>21.729553476362859</v>
      </c>
      <c r="AA25" s="6">
        <v>1</v>
      </c>
      <c r="AB25" s="6">
        <v>1</v>
      </c>
      <c r="AC25" s="6">
        <v>1</v>
      </c>
      <c r="AD25" s="7">
        <v>1</v>
      </c>
      <c r="AE25" s="9">
        <v>100</v>
      </c>
      <c r="AF25" s="10">
        <f t="shared" si="13"/>
        <v>15</v>
      </c>
      <c r="AG25" s="12">
        <f t="shared" si="7"/>
        <v>639.30209199318563</v>
      </c>
      <c r="AH25" s="11">
        <f t="shared" si="8"/>
        <v>21.729553476362859</v>
      </c>
      <c r="AJ25" s="6">
        <f t="shared" si="14"/>
        <v>1000</v>
      </c>
      <c r="AK25" s="4">
        <v>8</v>
      </c>
      <c r="AM25" s="2" t="str">
        <f t="shared" si="9"/>
        <v>7</v>
      </c>
      <c r="AN25" s="2" t="str">
        <f t="shared" si="15"/>
        <v>3E8</v>
      </c>
      <c r="AO25" s="2"/>
      <c r="AP25" s="2" t="str">
        <f t="shared" si="16"/>
        <v>73E8</v>
      </c>
    </row>
    <row r="26" spans="1:42" x14ac:dyDescent="0.2">
      <c r="A26">
        <v>9</v>
      </c>
      <c r="B26">
        <v>0.8</v>
      </c>
      <c r="C26" s="6">
        <v>1</v>
      </c>
      <c r="D26" s="6">
        <v>1</v>
      </c>
      <c r="E26" s="6">
        <v>1</v>
      </c>
      <c r="F26" s="7">
        <v>0</v>
      </c>
      <c r="G26" s="9">
        <v>100</v>
      </c>
      <c r="H26" s="10">
        <f t="shared" si="10"/>
        <v>7</v>
      </c>
      <c r="I26" s="12">
        <f t="shared" si="1"/>
        <v>639.30209199318563</v>
      </c>
      <c r="J26" s="11">
        <f t="shared" si="2"/>
        <v>21.729553476362859</v>
      </c>
      <c r="K26" s="6">
        <v>1</v>
      </c>
      <c r="L26" s="6">
        <v>1</v>
      </c>
      <c r="M26" s="6">
        <v>1</v>
      </c>
      <c r="N26" s="7">
        <v>0</v>
      </c>
      <c r="O26" s="9">
        <v>100</v>
      </c>
      <c r="P26" s="10">
        <f t="shared" si="11"/>
        <v>7</v>
      </c>
      <c r="Q26" s="12">
        <f t="shared" si="3"/>
        <v>639.30209199318563</v>
      </c>
      <c r="R26" s="11">
        <f t="shared" si="4"/>
        <v>21.729553476362859</v>
      </c>
      <c r="S26" s="6">
        <v>1</v>
      </c>
      <c r="T26" s="6">
        <v>1</v>
      </c>
      <c r="U26" s="6">
        <v>1</v>
      </c>
      <c r="V26" s="7">
        <v>0</v>
      </c>
      <c r="W26" s="9">
        <v>100</v>
      </c>
      <c r="X26" s="10">
        <f t="shared" si="12"/>
        <v>7</v>
      </c>
      <c r="Y26" s="12">
        <f t="shared" si="5"/>
        <v>639.30209199318563</v>
      </c>
      <c r="Z26" s="11">
        <f t="shared" si="6"/>
        <v>21.729553476362859</v>
      </c>
      <c r="AA26" s="6">
        <v>1</v>
      </c>
      <c r="AB26" s="6">
        <v>1</v>
      </c>
      <c r="AC26" s="6">
        <v>1</v>
      </c>
      <c r="AD26" s="7">
        <v>1</v>
      </c>
      <c r="AE26" s="9">
        <v>100</v>
      </c>
      <c r="AF26" s="10">
        <f t="shared" si="13"/>
        <v>15</v>
      </c>
      <c r="AG26" s="12">
        <f t="shared" si="7"/>
        <v>639.30209199318563</v>
      </c>
      <c r="AH26" s="11">
        <f t="shared" si="8"/>
        <v>21.729553476362859</v>
      </c>
      <c r="AJ26" s="6">
        <f t="shared" si="14"/>
        <v>1000</v>
      </c>
      <c r="AK26" s="4">
        <v>9</v>
      </c>
      <c r="AM26" s="2" t="str">
        <f t="shared" si="9"/>
        <v>7</v>
      </c>
      <c r="AN26" s="2" t="str">
        <f t="shared" si="15"/>
        <v>3E8</v>
      </c>
      <c r="AO26" s="2"/>
      <c r="AP26" s="2" t="str">
        <f t="shared" si="16"/>
        <v>73E8</v>
      </c>
    </row>
    <row r="27" spans="1:42" x14ac:dyDescent="0.2">
      <c r="A27">
        <v>10</v>
      </c>
      <c r="B27">
        <v>0.9</v>
      </c>
      <c r="C27" s="6">
        <v>1</v>
      </c>
      <c r="D27" s="6">
        <v>1</v>
      </c>
      <c r="E27" s="6">
        <v>1</v>
      </c>
      <c r="F27" s="7">
        <v>0</v>
      </c>
      <c r="G27" s="9">
        <v>100</v>
      </c>
      <c r="H27" s="10">
        <f t="shared" si="10"/>
        <v>7</v>
      </c>
      <c r="I27" s="12">
        <f t="shared" si="1"/>
        <v>639.30209199318563</v>
      </c>
      <c r="J27" s="11">
        <f t="shared" si="2"/>
        <v>21.729553476362859</v>
      </c>
      <c r="K27" s="6">
        <v>1</v>
      </c>
      <c r="L27" s="6">
        <v>1</v>
      </c>
      <c r="M27" s="6">
        <v>1</v>
      </c>
      <c r="N27" s="7">
        <v>0</v>
      </c>
      <c r="O27" s="9">
        <v>100</v>
      </c>
      <c r="P27" s="10">
        <f t="shared" si="11"/>
        <v>7</v>
      </c>
      <c r="Q27" s="12">
        <f t="shared" si="3"/>
        <v>639.30209199318563</v>
      </c>
      <c r="R27" s="11">
        <f t="shared" si="4"/>
        <v>21.729553476362859</v>
      </c>
      <c r="S27" s="6">
        <v>1</v>
      </c>
      <c r="T27" s="6">
        <v>1</v>
      </c>
      <c r="U27" s="6">
        <v>1</v>
      </c>
      <c r="V27" s="7">
        <v>0</v>
      </c>
      <c r="W27" s="9">
        <v>100</v>
      </c>
      <c r="X27" s="10">
        <f t="shared" si="12"/>
        <v>7</v>
      </c>
      <c r="Y27" s="12">
        <f t="shared" si="5"/>
        <v>639.30209199318563</v>
      </c>
      <c r="Z27" s="11">
        <f t="shared" si="6"/>
        <v>21.729553476362859</v>
      </c>
      <c r="AA27" s="6">
        <v>1</v>
      </c>
      <c r="AB27" s="6">
        <v>1</v>
      </c>
      <c r="AC27" s="6">
        <v>1</v>
      </c>
      <c r="AD27" s="7">
        <v>1</v>
      </c>
      <c r="AE27" s="9">
        <v>100</v>
      </c>
      <c r="AF27" s="10">
        <f t="shared" si="13"/>
        <v>15</v>
      </c>
      <c r="AG27" s="12">
        <f t="shared" si="7"/>
        <v>639.30209199318563</v>
      </c>
      <c r="AH27" s="11">
        <f t="shared" si="8"/>
        <v>21.729553476362859</v>
      </c>
      <c r="AJ27" s="6">
        <f t="shared" si="14"/>
        <v>1000</v>
      </c>
      <c r="AK27" s="4">
        <v>10</v>
      </c>
      <c r="AM27" s="2" t="str">
        <f t="shared" si="9"/>
        <v>7</v>
      </c>
      <c r="AN27" s="2" t="str">
        <f t="shared" si="15"/>
        <v>3E8</v>
      </c>
      <c r="AO27" s="2"/>
      <c r="AP27" s="2" t="str">
        <f t="shared" si="16"/>
        <v>73E8</v>
      </c>
    </row>
    <row r="28" spans="1:42" x14ac:dyDescent="0.2">
      <c r="A28">
        <v>11</v>
      </c>
      <c r="B28">
        <v>1</v>
      </c>
      <c r="C28" s="6">
        <v>1</v>
      </c>
      <c r="D28" s="6">
        <v>1</v>
      </c>
      <c r="E28" s="6">
        <v>1</v>
      </c>
      <c r="F28" s="7">
        <v>0</v>
      </c>
      <c r="G28" s="9">
        <v>100</v>
      </c>
      <c r="H28" s="10">
        <f t="shared" si="10"/>
        <v>7</v>
      </c>
      <c r="I28" s="12">
        <f t="shared" si="1"/>
        <v>639.30209199318563</v>
      </c>
      <c r="J28" s="11">
        <f t="shared" si="2"/>
        <v>21.729553476362859</v>
      </c>
      <c r="K28" s="6">
        <v>1</v>
      </c>
      <c r="L28" s="6">
        <v>1</v>
      </c>
      <c r="M28" s="6">
        <v>1</v>
      </c>
      <c r="N28" s="7">
        <v>0</v>
      </c>
      <c r="O28" s="9">
        <v>100</v>
      </c>
      <c r="P28" s="10">
        <f t="shared" si="11"/>
        <v>7</v>
      </c>
      <c r="Q28" s="12">
        <f t="shared" si="3"/>
        <v>639.30209199318563</v>
      </c>
      <c r="R28" s="11">
        <f t="shared" si="4"/>
        <v>21.729553476362859</v>
      </c>
      <c r="S28" s="6">
        <v>1</v>
      </c>
      <c r="T28" s="6">
        <v>1</v>
      </c>
      <c r="U28" s="6">
        <v>1</v>
      </c>
      <c r="V28" s="7">
        <v>0</v>
      </c>
      <c r="W28" s="9">
        <v>100</v>
      </c>
      <c r="X28" s="10">
        <f t="shared" si="12"/>
        <v>7</v>
      </c>
      <c r="Y28" s="12">
        <f t="shared" si="5"/>
        <v>639.30209199318563</v>
      </c>
      <c r="Z28" s="11">
        <f t="shared" si="6"/>
        <v>21.729553476362859</v>
      </c>
      <c r="AA28" s="6">
        <v>1</v>
      </c>
      <c r="AB28" s="6">
        <v>1</v>
      </c>
      <c r="AC28" s="6">
        <v>1</v>
      </c>
      <c r="AD28" s="7">
        <v>1</v>
      </c>
      <c r="AE28" s="9">
        <v>100</v>
      </c>
      <c r="AF28" s="10">
        <f t="shared" si="13"/>
        <v>15</v>
      </c>
      <c r="AG28" s="12">
        <f t="shared" si="7"/>
        <v>639.30209199318563</v>
      </c>
      <c r="AH28" s="11">
        <f t="shared" si="8"/>
        <v>21.729553476362859</v>
      </c>
      <c r="AJ28" s="6">
        <f t="shared" si="14"/>
        <v>1000</v>
      </c>
      <c r="AK28" s="4">
        <v>11</v>
      </c>
      <c r="AM28" s="2" t="str">
        <f t="shared" si="9"/>
        <v>7</v>
      </c>
      <c r="AN28" s="2" t="str">
        <f t="shared" si="15"/>
        <v>3E8</v>
      </c>
      <c r="AO28" s="2"/>
      <c r="AP28" s="2" t="str">
        <f t="shared" si="16"/>
        <v>73E8</v>
      </c>
    </row>
    <row r="29" spans="1:42" x14ac:dyDescent="0.2">
      <c r="A29">
        <v>12</v>
      </c>
      <c r="B29">
        <v>1.1000000000000001</v>
      </c>
      <c r="C29" s="6">
        <v>0</v>
      </c>
      <c r="D29" s="6">
        <v>1</v>
      </c>
      <c r="E29" s="6">
        <v>1</v>
      </c>
      <c r="F29" s="7">
        <v>0</v>
      </c>
      <c r="G29" s="9">
        <v>100</v>
      </c>
      <c r="H29" s="10">
        <f t="shared" si="10"/>
        <v>6</v>
      </c>
      <c r="I29" s="12">
        <f t="shared" si="1"/>
        <v>639.30209199318563</v>
      </c>
      <c r="J29" s="11">
        <f t="shared" si="2"/>
        <v>21.729553476362859</v>
      </c>
      <c r="K29" s="6">
        <v>0</v>
      </c>
      <c r="L29" s="6">
        <v>0</v>
      </c>
      <c r="M29" s="6">
        <v>1</v>
      </c>
      <c r="N29" s="7">
        <v>0</v>
      </c>
      <c r="O29" s="9">
        <v>100</v>
      </c>
      <c r="P29" s="10">
        <f t="shared" si="11"/>
        <v>4</v>
      </c>
      <c r="Q29" s="12">
        <f t="shared" si="3"/>
        <v>639.30209199318563</v>
      </c>
      <c r="R29" s="11">
        <f t="shared" si="4"/>
        <v>21.729553476362859</v>
      </c>
      <c r="S29" s="6">
        <v>0</v>
      </c>
      <c r="T29" s="6">
        <v>1</v>
      </c>
      <c r="U29" s="6">
        <v>1</v>
      </c>
      <c r="V29" s="7">
        <v>0</v>
      </c>
      <c r="W29" s="9">
        <v>100</v>
      </c>
      <c r="X29" s="10">
        <f t="shared" si="12"/>
        <v>6</v>
      </c>
      <c r="Y29" s="12">
        <f t="shared" si="5"/>
        <v>639.30209199318563</v>
      </c>
      <c r="Z29" s="11">
        <f t="shared" si="6"/>
        <v>21.729553476362859</v>
      </c>
      <c r="AA29" s="6">
        <v>0</v>
      </c>
      <c r="AB29" s="6">
        <v>0</v>
      </c>
      <c r="AC29" s="6">
        <v>1</v>
      </c>
      <c r="AD29" s="7">
        <v>1</v>
      </c>
      <c r="AE29" s="9">
        <v>100</v>
      </c>
      <c r="AF29" s="10">
        <f t="shared" si="13"/>
        <v>12</v>
      </c>
      <c r="AG29" s="12">
        <f t="shared" si="7"/>
        <v>639.30209199318563</v>
      </c>
      <c r="AH29" s="11">
        <f t="shared" si="8"/>
        <v>21.729553476362859</v>
      </c>
      <c r="AJ29" s="6">
        <f t="shared" si="14"/>
        <v>1000</v>
      </c>
      <c r="AK29" s="4">
        <v>12</v>
      </c>
      <c r="AM29" s="2" t="str">
        <f t="shared" si="9"/>
        <v>6</v>
      </c>
      <c r="AN29" s="2" t="str">
        <f t="shared" si="15"/>
        <v>3E8</v>
      </c>
      <c r="AO29" s="2"/>
      <c r="AP29" s="2" t="str">
        <f t="shared" si="16"/>
        <v>63E8</v>
      </c>
    </row>
    <row r="30" spans="1:42" x14ac:dyDescent="0.2">
      <c r="A30">
        <v>13</v>
      </c>
      <c r="B30">
        <v>1.2</v>
      </c>
      <c r="C30" s="6">
        <v>0</v>
      </c>
      <c r="D30" s="6">
        <v>1</v>
      </c>
      <c r="E30" s="6">
        <v>1</v>
      </c>
      <c r="F30" s="7">
        <v>0</v>
      </c>
      <c r="G30" s="9">
        <v>100</v>
      </c>
      <c r="H30" s="10">
        <f t="shared" si="10"/>
        <v>6</v>
      </c>
      <c r="I30" s="12">
        <f t="shared" si="1"/>
        <v>639.30209199318563</v>
      </c>
      <c r="J30" s="11">
        <f t="shared" si="2"/>
        <v>21.729553476362859</v>
      </c>
      <c r="K30" s="6">
        <v>0</v>
      </c>
      <c r="L30" s="6">
        <v>0</v>
      </c>
      <c r="M30" s="6">
        <v>1</v>
      </c>
      <c r="N30" s="7">
        <v>0</v>
      </c>
      <c r="O30" s="9">
        <v>100</v>
      </c>
      <c r="P30" s="10">
        <f t="shared" si="11"/>
        <v>4</v>
      </c>
      <c r="Q30" s="12">
        <f t="shared" si="3"/>
        <v>639.30209199318563</v>
      </c>
      <c r="R30" s="11">
        <f t="shared" si="4"/>
        <v>21.729553476362859</v>
      </c>
      <c r="S30" s="6">
        <v>0</v>
      </c>
      <c r="T30" s="6">
        <v>1</v>
      </c>
      <c r="U30" s="6">
        <v>1</v>
      </c>
      <c r="V30" s="7">
        <v>0</v>
      </c>
      <c r="W30" s="9">
        <v>100</v>
      </c>
      <c r="X30" s="10">
        <f t="shared" si="12"/>
        <v>6</v>
      </c>
      <c r="Y30" s="12">
        <f t="shared" si="5"/>
        <v>639.30209199318563</v>
      </c>
      <c r="Z30" s="11">
        <f t="shared" si="6"/>
        <v>21.729553476362859</v>
      </c>
      <c r="AA30" s="6">
        <v>0</v>
      </c>
      <c r="AB30" s="6">
        <v>0</v>
      </c>
      <c r="AC30" s="6">
        <v>1</v>
      </c>
      <c r="AD30" s="7">
        <v>1</v>
      </c>
      <c r="AE30" s="9">
        <v>100</v>
      </c>
      <c r="AF30" s="10">
        <f t="shared" si="13"/>
        <v>12</v>
      </c>
      <c r="AG30" s="12">
        <f t="shared" si="7"/>
        <v>639.30209199318563</v>
      </c>
      <c r="AH30" s="11">
        <f t="shared" si="8"/>
        <v>21.729553476362859</v>
      </c>
      <c r="AJ30" s="6">
        <f t="shared" si="14"/>
        <v>1000</v>
      </c>
      <c r="AK30" s="4">
        <v>13</v>
      </c>
      <c r="AM30" s="2" t="str">
        <f t="shared" si="9"/>
        <v>6</v>
      </c>
      <c r="AN30" s="2" t="str">
        <f t="shared" si="15"/>
        <v>3E8</v>
      </c>
      <c r="AO30" s="2"/>
      <c r="AP30" s="2" t="str">
        <f t="shared" si="16"/>
        <v>63E8</v>
      </c>
    </row>
    <row r="31" spans="1:42" x14ac:dyDescent="0.2">
      <c r="A31">
        <v>14</v>
      </c>
      <c r="B31">
        <v>1.3</v>
      </c>
      <c r="C31" s="6">
        <v>0</v>
      </c>
      <c r="D31" s="6">
        <v>1</v>
      </c>
      <c r="E31" s="6">
        <v>1</v>
      </c>
      <c r="F31" s="7">
        <v>0</v>
      </c>
      <c r="G31" s="9">
        <v>100</v>
      </c>
      <c r="H31" s="10">
        <f t="shared" si="10"/>
        <v>6</v>
      </c>
      <c r="I31" s="12">
        <f t="shared" si="1"/>
        <v>639.30209199318563</v>
      </c>
      <c r="J31" s="11">
        <f t="shared" si="2"/>
        <v>21.729553476362859</v>
      </c>
      <c r="K31" s="6">
        <v>0</v>
      </c>
      <c r="L31" s="6">
        <v>0</v>
      </c>
      <c r="M31" s="6">
        <v>1</v>
      </c>
      <c r="N31" s="7">
        <v>0</v>
      </c>
      <c r="O31" s="9">
        <v>100</v>
      </c>
      <c r="P31" s="10">
        <f t="shared" si="11"/>
        <v>4</v>
      </c>
      <c r="Q31" s="12">
        <f t="shared" si="3"/>
        <v>639.30209199318563</v>
      </c>
      <c r="R31" s="11">
        <f t="shared" si="4"/>
        <v>21.729553476362859</v>
      </c>
      <c r="S31" s="6">
        <v>0</v>
      </c>
      <c r="T31" s="6">
        <v>1</v>
      </c>
      <c r="U31" s="6">
        <v>1</v>
      </c>
      <c r="V31" s="7">
        <v>0</v>
      </c>
      <c r="W31" s="9">
        <v>100</v>
      </c>
      <c r="X31" s="10">
        <f t="shared" si="12"/>
        <v>6</v>
      </c>
      <c r="Y31" s="12">
        <f t="shared" si="5"/>
        <v>639.30209199318563</v>
      </c>
      <c r="Z31" s="11">
        <f t="shared" si="6"/>
        <v>21.729553476362859</v>
      </c>
      <c r="AA31" s="6">
        <v>0</v>
      </c>
      <c r="AB31" s="6">
        <v>0</v>
      </c>
      <c r="AC31" s="6">
        <v>1</v>
      </c>
      <c r="AD31" s="7">
        <v>1</v>
      </c>
      <c r="AE31" s="9">
        <v>100</v>
      </c>
      <c r="AF31" s="10">
        <f t="shared" si="13"/>
        <v>12</v>
      </c>
      <c r="AG31" s="12">
        <f t="shared" si="7"/>
        <v>639.30209199318563</v>
      </c>
      <c r="AH31" s="11">
        <f t="shared" si="8"/>
        <v>21.729553476362859</v>
      </c>
      <c r="AJ31" s="6">
        <f t="shared" si="14"/>
        <v>1000</v>
      </c>
      <c r="AK31" s="4">
        <v>14</v>
      </c>
      <c r="AM31" s="2" t="str">
        <f t="shared" si="9"/>
        <v>6</v>
      </c>
      <c r="AN31" s="2" t="str">
        <f t="shared" si="15"/>
        <v>3E8</v>
      </c>
      <c r="AO31" s="2"/>
      <c r="AP31" s="2" t="str">
        <f t="shared" si="16"/>
        <v>63E8</v>
      </c>
    </row>
    <row r="32" spans="1:42" x14ac:dyDescent="0.2">
      <c r="A32">
        <v>15</v>
      </c>
      <c r="B32">
        <v>1.4</v>
      </c>
      <c r="C32" s="6">
        <v>0</v>
      </c>
      <c r="D32" s="6">
        <v>1</v>
      </c>
      <c r="E32" s="6">
        <v>1</v>
      </c>
      <c r="F32" s="7">
        <v>0</v>
      </c>
      <c r="G32" s="9">
        <v>100</v>
      </c>
      <c r="H32" s="10">
        <f t="shared" si="10"/>
        <v>6</v>
      </c>
      <c r="I32" s="12">
        <f t="shared" si="1"/>
        <v>639.30209199318563</v>
      </c>
      <c r="J32" s="11">
        <f t="shared" si="2"/>
        <v>21.729553476362859</v>
      </c>
      <c r="K32" s="6">
        <v>0</v>
      </c>
      <c r="L32" s="6">
        <v>0</v>
      </c>
      <c r="M32" s="6">
        <v>1</v>
      </c>
      <c r="N32" s="7">
        <v>0</v>
      </c>
      <c r="O32" s="9">
        <v>100</v>
      </c>
      <c r="P32" s="10">
        <f t="shared" si="11"/>
        <v>4</v>
      </c>
      <c r="Q32" s="12">
        <f t="shared" si="3"/>
        <v>639.30209199318563</v>
      </c>
      <c r="R32" s="11">
        <f t="shared" si="4"/>
        <v>21.729553476362859</v>
      </c>
      <c r="S32" s="6">
        <v>0</v>
      </c>
      <c r="T32" s="6">
        <v>1</v>
      </c>
      <c r="U32" s="6">
        <v>1</v>
      </c>
      <c r="V32" s="7">
        <v>0</v>
      </c>
      <c r="W32" s="9">
        <v>100</v>
      </c>
      <c r="X32" s="10">
        <f t="shared" si="12"/>
        <v>6</v>
      </c>
      <c r="Y32" s="12">
        <f t="shared" si="5"/>
        <v>639.30209199318563</v>
      </c>
      <c r="Z32" s="11">
        <f t="shared" si="6"/>
        <v>21.729553476362859</v>
      </c>
      <c r="AA32" s="6">
        <v>0</v>
      </c>
      <c r="AB32" s="6">
        <v>0</v>
      </c>
      <c r="AC32" s="6">
        <v>1</v>
      </c>
      <c r="AD32" s="7">
        <v>1</v>
      </c>
      <c r="AE32" s="9">
        <v>100</v>
      </c>
      <c r="AF32" s="10">
        <f t="shared" si="13"/>
        <v>12</v>
      </c>
      <c r="AG32" s="12">
        <f t="shared" si="7"/>
        <v>639.30209199318563</v>
      </c>
      <c r="AH32" s="11">
        <f t="shared" si="8"/>
        <v>21.729553476362859</v>
      </c>
      <c r="AJ32" s="6">
        <f t="shared" si="14"/>
        <v>1000</v>
      </c>
      <c r="AK32" s="4">
        <v>15</v>
      </c>
      <c r="AM32" s="2" t="str">
        <f t="shared" si="9"/>
        <v>6</v>
      </c>
      <c r="AN32" s="2" t="str">
        <f t="shared" si="15"/>
        <v>3E8</v>
      </c>
      <c r="AO32" s="2"/>
      <c r="AP32" s="2" t="str">
        <f t="shared" si="16"/>
        <v>63E8</v>
      </c>
    </row>
    <row r="33" spans="1:42" x14ac:dyDescent="0.2">
      <c r="A33">
        <v>16</v>
      </c>
      <c r="B33">
        <v>1.5</v>
      </c>
      <c r="C33" s="6">
        <v>0</v>
      </c>
      <c r="D33" s="6">
        <v>1</v>
      </c>
      <c r="E33" s="6">
        <v>1</v>
      </c>
      <c r="F33" s="7">
        <v>0</v>
      </c>
      <c r="G33" s="9">
        <v>100</v>
      </c>
      <c r="H33" s="10">
        <f t="shared" si="10"/>
        <v>6</v>
      </c>
      <c r="I33" s="12">
        <f t="shared" si="1"/>
        <v>639.30209199318563</v>
      </c>
      <c r="J33" s="11">
        <f t="shared" si="2"/>
        <v>21.729553476362859</v>
      </c>
      <c r="K33" s="6">
        <v>0</v>
      </c>
      <c r="L33" s="6">
        <v>0</v>
      </c>
      <c r="M33" s="6">
        <v>1</v>
      </c>
      <c r="N33" s="7">
        <v>0</v>
      </c>
      <c r="O33" s="9">
        <v>100</v>
      </c>
      <c r="P33" s="10">
        <f t="shared" si="11"/>
        <v>4</v>
      </c>
      <c r="Q33" s="12">
        <f t="shared" si="3"/>
        <v>639.30209199318563</v>
      </c>
      <c r="R33" s="11">
        <f t="shared" si="4"/>
        <v>21.729553476362859</v>
      </c>
      <c r="S33" s="6">
        <v>0</v>
      </c>
      <c r="T33" s="6">
        <v>1</v>
      </c>
      <c r="U33" s="6">
        <v>1</v>
      </c>
      <c r="V33" s="7">
        <v>0</v>
      </c>
      <c r="W33" s="9">
        <v>100</v>
      </c>
      <c r="X33" s="10">
        <f t="shared" si="12"/>
        <v>6</v>
      </c>
      <c r="Y33" s="12">
        <f t="shared" si="5"/>
        <v>639.30209199318563</v>
      </c>
      <c r="Z33" s="11">
        <f t="shared" si="6"/>
        <v>21.729553476362859</v>
      </c>
      <c r="AA33" s="6">
        <v>0</v>
      </c>
      <c r="AB33" s="6">
        <v>0</v>
      </c>
      <c r="AC33" s="6">
        <v>1</v>
      </c>
      <c r="AD33" s="7">
        <v>1</v>
      </c>
      <c r="AE33" s="9">
        <v>100</v>
      </c>
      <c r="AF33" s="10">
        <f t="shared" si="13"/>
        <v>12</v>
      </c>
      <c r="AG33" s="12">
        <f t="shared" si="7"/>
        <v>639.30209199318563</v>
      </c>
      <c r="AH33" s="11">
        <f t="shared" si="8"/>
        <v>21.729553476362859</v>
      </c>
      <c r="AJ33" s="6">
        <f t="shared" si="14"/>
        <v>1000</v>
      </c>
      <c r="AK33" s="4">
        <v>16</v>
      </c>
      <c r="AM33" s="2" t="str">
        <f t="shared" si="9"/>
        <v>6</v>
      </c>
      <c r="AN33" s="2" t="str">
        <f t="shared" si="15"/>
        <v>3E8</v>
      </c>
      <c r="AO33" s="2"/>
      <c r="AP33" s="2" t="str">
        <f t="shared" si="16"/>
        <v>63E8</v>
      </c>
    </row>
    <row r="34" spans="1:42" x14ac:dyDescent="0.2">
      <c r="A34">
        <v>17</v>
      </c>
      <c r="B34">
        <v>1.6</v>
      </c>
      <c r="C34" s="6">
        <v>0</v>
      </c>
      <c r="D34" s="6">
        <v>1</v>
      </c>
      <c r="E34" s="6">
        <v>1</v>
      </c>
      <c r="F34" s="7">
        <v>0</v>
      </c>
      <c r="G34" s="9">
        <v>100</v>
      </c>
      <c r="H34" s="10">
        <f t="shared" si="10"/>
        <v>6</v>
      </c>
      <c r="I34" s="12">
        <f t="shared" si="1"/>
        <v>639.30209199318563</v>
      </c>
      <c r="J34" s="11">
        <f t="shared" si="2"/>
        <v>21.729553476362859</v>
      </c>
      <c r="K34" s="6">
        <v>0</v>
      </c>
      <c r="L34" s="6">
        <v>0</v>
      </c>
      <c r="M34" s="6">
        <v>1</v>
      </c>
      <c r="N34" s="7">
        <v>0</v>
      </c>
      <c r="O34" s="9">
        <v>100</v>
      </c>
      <c r="P34" s="10">
        <f t="shared" si="11"/>
        <v>4</v>
      </c>
      <c r="Q34" s="12">
        <f t="shared" si="3"/>
        <v>639.30209199318563</v>
      </c>
      <c r="R34" s="11">
        <f t="shared" si="4"/>
        <v>21.729553476362859</v>
      </c>
      <c r="S34" s="6">
        <v>0</v>
      </c>
      <c r="T34" s="6">
        <v>1</v>
      </c>
      <c r="U34" s="6">
        <v>1</v>
      </c>
      <c r="V34" s="7">
        <v>0</v>
      </c>
      <c r="W34" s="9">
        <v>100</v>
      </c>
      <c r="X34" s="10">
        <f t="shared" si="12"/>
        <v>6</v>
      </c>
      <c r="Y34" s="12">
        <f t="shared" si="5"/>
        <v>639.30209199318563</v>
      </c>
      <c r="Z34" s="11">
        <f t="shared" si="6"/>
        <v>21.729553476362859</v>
      </c>
      <c r="AA34" s="6">
        <v>0</v>
      </c>
      <c r="AB34" s="6">
        <v>0</v>
      </c>
      <c r="AC34" s="6">
        <v>1</v>
      </c>
      <c r="AD34" s="7">
        <v>1</v>
      </c>
      <c r="AE34" s="9">
        <v>100</v>
      </c>
      <c r="AF34" s="10">
        <f t="shared" si="13"/>
        <v>12</v>
      </c>
      <c r="AG34" s="12">
        <f t="shared" si="7"/>
        <v>639.30209199318563</v>
      </c>
      <c r="AH34" s="11">
        <f t="shared" si="8"/>
        <v>21.729553476362859</v>
      </c>
      <c r="AJ34" s="6">
        <f t="shared" si="14"/>
        <v>1000</v>
      </c>
      <c r="AK34" s="4">
        <v>17</v>
      </c>
      <c r="AM34" s="2" t="str">
        <f t="shared" si="9"/>
        <v>6</v>
      </c>
      <c r="AN34" s="2" t="str">
        <f t="shared" si="15"/>
        <v>3E8</v>
      </c>
      <c r="AO34" s="2"/>
      <c r="AP34" s="2" t="str">
        <f t="shared" si="16"/>
        <v>63E8</v>
      </c>
    </row>
    <row r="35" spans="1:42" x14ac:dyDescent="0.2">
      <c r="A35">
        <v>18</v>
      </c>
      <c r="B35">
        <v>1.7</v>
      </c>
      <c r="C35" s="6">
        <v>0</v>
      </c>
      <c r="D35" s="6">
        <v>1</v>
      </c>
      <c r="E35" s="6">
        <v>1</v>
      </c>
      <c r="F35" s="7">
        <v>0</v>
      </c>
      <c r="G35" s="9">
        <v>100</v>
      </c>
      <c r="H35" s="10">
        <f t="shared" si="10"/>
        <v>6</v>
      </c>
      <c r="I35" s="12">
        <f t="shared" si="1"/>
        <v>639.30209199318563</v>
      </c>
      <c r="J35" s="11">
        <f t="shared" si="2"/>
        <v>21.729553476362859</v>
      </c>
      <c r="K35" s="6">
        <v>0</v>
      </c>
      <c r="L35" s="6">
        <v>0</v>
      </c>
      <c r="M35" s="6">
        <v>1</v>
      </c>
      <c r="N35" s="7">
        <v>0</v>
      </c>
      <c r="O35" s="9">
        <v>100</v>
      </c>
      <c r="P35" s="10">
        <f t="shared" si="11"/>
        <v>4</v>
      </c>
      <c r="Q35" s="12">
        <f t="shared" si="3"/>
        <v>639.30209199318563</v>
      </c>
      <c r="R35" s="11">
        <f t="shared" si="4"/>
        <v>21.729553476362859</v>
      </c>
      <c r="S35" s="6">
        <v>0</v>
      </c>
      <c r="T35" s="6">
        <v>1</v>
      </c>
      <c r="U35" s="6">
        <v>1</v>
      </c>
      <c r="V35" s="7">
        <v>0</v>
      </c>
      <c r="W35" s="9">
        <v>100</v>
      </c>
      <c r="X35" s="10">
        <f t="shared" si="12"/>
        <v>6</v>
      </c>
      <c r="Y35" s="12">
        <f t="shared" si="5"/>
        <v>639.30209199318563</v>
      </c>
      <c r="Z35" s="11">
        <f t="shared" si="6"/>
        <v>21.729553476362859</v>
      </c>
      <c r="AA35" s="6">
        <v>0</v>
      </c>
      <c r="AB35" s="6">
        <v>0</v>
      </c>
      <c r="AC35" s="6">
        <v>1</v>
      </c>
      <c r="AD35" s="7">
        <v>1</v>
      </c>
      <c r="AE35" s="9">
        <v>100</v>
      </c>
      <c r="AF35" s="10">
        <f t="shared" si="13"/>
        <v>12</v>
      </c>
      <c r="AG35" s="12">
        <f t="shared" si="7"/>
        <v>639.30209199318563</v>
      </c>
      <c r="AH35" s="11">
        <f t="shared" si="8"/>
        <v>21.729553476362859</v>
      </c>
      <c r="AJ35" s="6">
        <f t="shared" si="14"/>
        <v>1000</v>
      </c>
      <c r="AK35" s="4">
        <v>18</v>
      </c>
      <c r="AM35" s="2" t="str">
        <f t="shared" si="9"/>
        <v>6</v>
      </c>
      <c r="AN35" s="2" t="str">
        <f t="shared" si="15"/>
        <v>3E8</v>
      </c>
      <c r="AO35" s="2"/>
      <c r="AP35" s="2" t="str">
        <f t="shared" si="16"/>
        <v>63E8</v>
      </c>
    </row>
    <row r="36" spans="1:42" x14ac:dyDescent="0.2">
      <c r="A36">
        <v>19</v>
      </c>
      <c r="B36">
        <v>1.8</v>
      </c>
      <c r="C36" s="6">
        <v>0</v>
      </c>
      <c r="D36" s="6">
        <v>1</v>
      </c>
      <c r="E36" s="6">
        <v>1</v>
      </c>
      <c r="F36" s="7">
        <v>0</v>
      </c>
      <c r="G36" s="9">
        <v>100</v>
      </c>
      <c r="H36" s="10">
        <f t="shared" si="10"/>
        <v>6</v>
      </c>
      <c r="I36" s="12">
        <f t="shared" si="1"/>
        <v>639.30209199318563</v>
      </c>
      <c r="J36" s="11">
        <f t="shared" si="2"/>
        <v>21.729553476362859</v>
      </c>
      <c r="K36" s="6">
        <v>0</v>
      </c>
      <c r="L36" s="6">
        <v>0</v>
      </c>
      <c r="M36" s="6">
        <v>1</v>
      </c>
      <c r="N36" s="7">
        <v>0</v>
      </c>
      <c r="O36" s="9">
        <v>100</v>
      </c>
      <c r="P36" s="10">
        <f t="shared" si="11"/>
        <v>4</v>
      </c>
      <c r="Q36" s="12">
        <f t="shared" si="3"/>
        <v>639.30209199318563</v>
      </c>
      <c r="R36" s="11">
        <f t="shared" si="4"/>
        <v>21.729553476362859</v>
      </c>
      <c r="S36" s="6">
        <v>0</v>
      </c>
      <c r="T36" s="6">
        <v>1</v>
      </c>
      <c r="U36" s="6">
        <v>1</v>
      </c>
      <c r="V36" s="7">
        <v>0</v>
      </c>
      <c r="W36" s="9">
        <v>100</v>
      </c>
      <c r="X36" s="10">
        <f t="shared" si="12"/>
        <v>6</v>
      </c>
      <c r="Y36" s="12">
        <f t="shared" si="5"/>
        <v>639.30209199318563</v>
      </c>
      <c r="Z36" s="11">
        <f t="shared" si="6"/>
        <v>21.729553476362859</v>
      </c>
      <c r="AA36" s="6">
        <v>0</v>
      </c>
      <c r="AB36" s="6">
        <v>0</v>
      </c>
      <c r="AC36" s="6">
        <v>1</v>
      </c>
      <c r="AD36" s="7">
        <v>1</v>
      </c>
      <c r="AE36" s="9">
        <v>100</v>
      </c>
      <c r="AF36" s="10">
        <f t="shared" si="13"/>
        <v>12</v>
      </c>
      <c r="AG36" s="12">
        <f t="shared" si="7"/>
        <v>639.30209199318563</v>
      </c>
      <c r="AH36" s="11">
        <f t="shared" si="8"/>
        <v>21.729553476362859</v>
      </c>
      <c r="AJ36" s="6">
        <f t="shared" si="14"/>
        <v>1000</v>
      </c>
      <c r="AK36" s="4">
        <v>19</v>
      </c>
      <c r="AM36" s="2" t="str">
        <f t="shared" si="9"/>
        <v>6</v>
      </c>
      <c r="AN36" s="2" t="str">
        <f t="shared" si="15"/>
        <v>3E8</v>
      </c>
      <c r="AO36" s="2"/>
      <c r="AP36" s="2" t="str">
        <f t="shared" si="16"/>
        <v>63E8</v>
      </c>
    </row>
    <row r="37" spans="1:42" x14ac:dyDescent="0.2">
      <c r="A37">
        <v>20</v>
      </c>
      <c r="B37">
        <v>1.9</v>
      </c>
      <c r="C37" s="6">
        <v>0</v>
      </c>
      <c r="D37" s="6">
        <v>1</v>
      </c>
      <c r="E37" s="6">
        <v>1</v>
      </c>
      <c r="F37" s="7">
        <v>0</v>
      </c>
      <c r="G37" s="9">
        <v>100</v>
      </c>
      <c r="H37" s="10">
        <f t="shared" si="10"/>
        <v>6</v>
      </c>
      <c r="I37" s="12">
        <f t="shared" si="1"/>
        <v>639.30209199318563</v>
      </c>
      <c r="J37" s="11">
        <f t="shared" si="2"/>
        <v>21.729553476362859</v>
      </c>
      <c r="K37" s="6">
        <v>0</v>
      </c>
      <c r="L37" s="6">
        <v>0</v>
      </c>
      <c r="M37" s="6">
        <v>1</v>
      </c>
      <c r="N37" s="7">
        <v>0</v>
      </c>
      <c r="O37" s="9">
        <v>100</v>
      </c>
      <c r="P37" s="10">
        <f t="shared" si="11"/>
        <v>4</v>
      </c>
      <c r="Q37" s="12">
        <f t="shared" si="3"/>
        <v>639.30209199318563</v>
      </c>
      <c r="R37" s="11">
        <f t="shared" si="4"/>
        <v>21.729553476362859</v>
      </c>
      <c r="S37" s="6">
        <v>0</v>
      </c>
      <c r="T37" s="6">
        <v>1</v>
      </c>
      <c r="U37" s="6">
        <v>1</v>
      </c>
      <c r="V37" s="7">
        <v>0</v>
      </c>
      <c r="W37" s="9">
        <v>100</v>
      </c>
      <c r="X37" s="10">
        <f t="shared" si="12"/>
        <v>6</v>
      </c>
      <c r="Y37" s="12">
        <f t="shared" si="5"/>
        <v>639.30209199318563</v>
      </c>
      <c r="Z37" s="11">
        <f t="shared" si="6"/>
        <v>21.729553476362859</v>
      </c>
      <c r="AA37" s="6">
        <v>0</v>
      </c>
      <c r="AB37" s="6">
        <v>0</v>
      </c>
      <c r="AC37" s="6">
        <v>1</v>
      </c>
      <c r="AD37" s="7">
        <v>1</v>
      </c>
      <c r="AE37" s="9">
        <v>100</v>
      </c>
      <c r="AF37" s="10">
        <f t="shared" si="13"/>
        <v>12</v>
      </c>
      <c r="AG37" s="12">
        <f t="shared" si="7"/>
        <v>639.30209199318563</v>
      </c>
      <c r="AH37" s="11">
        <f t="shared" si="8"/>
        <v>21.729553476362859</v>
      </c>
      <c r="AJ37" s="6">
        <f t="shared" si="14"/>
        <v>1000</v>
      </c>
      <c r="AK37" s="4">
        <v>20</v>
      </c>
      <c r="AM37" s="2" t="str">
        <f t="shared" si="9"/>
        <v>6</v>
      </c>
      <c r="AN37" s="2" t="str">
        <f t="shared" si="15"/>
        <v>3E8</v>
      </c>
      <c r="AO37" s="2"/>
      <c r="AP37" s="2" t="str">
        <f t="shared" si="16"/>
        <v>63E8</v>
      </c>
    </row>
    <row r="38" spans="1:42" x14ac:dyDescent="0.2">
      <c r="A38">
        <v>21</v>
      </c>
      <c r="B38">
        <v>2</v>
      </c>
      <c r="C38" s="6">
        <v>0</v>
      </c>
      <c r="D38" s="6">
        <v>1</v>
      </c>
      <c r="E38" s="6">
        <v>1</v>
      </c>
      <c r="F38" s="7">
        <v>0</v>
      </c>
      <c r="G38" s="9">
        <v>100</v>
      </c>
      <c r="H38" s="10">
        <f t="shared" si="10"/>
        <v>6</v>
      </c>
      <c r="I38" s="12">
        <f t="shared" si="1"/>
        <v>639.30209199318563</v>
      </c>
      <c r="J38" s="11">
        <f t="shared" si="2"/>
        <v>21.729553476362859</v>
      </c>
      <c r="K38" s="6">
        <v>0</v>
      </c>
      <c r="L38" s="6">
        <v>0</v>
      </c>
      <c r="M38" s="6">
        <v>1</v>
      </c>
      <c r="N38" s="7">
        <v>0</v>
      </c>
      <c r="O38" s="9">
        <v>100</v>
      </c>
      <c r="P38" s="10">
        <f t="shared" si="11"/>
        <v>4</v>
      </c>
      <c r="Q38" s="12">
        <f t="shared" si="3"/>
        <v>639.30209199318563</v>
      </c>
      <c r="R38" s="11">
        <f t="shared" si="4"/>
        <v>21.729553476362859</v>
      </c>
      <c r="S38" s="6">
        <v>0</v>
      </c>
      <c r="T38" s="6">
        <v>1</v>
      </c>
      <c r="U38" s="6">
        <v>1</v>
      </c>
      <c r="V38" s="7">
        <v>0</v>
      </c>
      <c r="W38" s="9">
        <v>100</v>
      </c>
      <c r="X38" s="10">
        <f t="shared" si="12"/>
        <v>6</v>
      </c>
      <c r="Y38" s="12">
        <f t="shared" si="5"/>
        <v>639.30209199318563</v>
      </c>
      <c r="Z38" s="11">
        <f t="shared" si="6"/>
        <v>21.729553476362859</v>
      </c>
      <c r="AA38" s="6">
        <v>0</v>
      </c>
      <c r="AB38" s="6">
        <v>0</v>
      </c>
      <c r="AC38" s="6">
        <v>1</v>
      </c>
      <c r="AD38" s="7">
        <v>1</v>
      </c>
      <c r="AE38" s="9">
        <v>100</v>
      </c>
      <c r="AF38" s="10">
        <f t="shared" si="13"/>
        <v>12</v>
      </c>
      <c r="AG38" s="12">
        <f t="shared" si="7"/>
        <v>639.30209199318563</v>
      </c>
      <c r="AH38" s="11">
        <f t="shared" si="8"/>
        <v>21.729553476362859</v>
      </c>
      <c r="AJ38" s="6">
        <f t="shared" si="14"/>
        <v>1000</v>
      </c>
      <c r="AK38" s="4">
        <v>21</v>
      </c>
      <c r="AM38" s="2" t="str">
        <f t="shared" si="9"/>
        <v>6</v>
      </c>
      <c r="AN38" s="2" t="str">
        <f t="shared" si="15"/>
        <v>3E8</v>
      </c>
      <c r="AO38" s="2"/>
      <c r="AP38" s="2" t="str">
        <f t="shared" si="16"/>
        <v>63E8</v>
      </c>
    </row>
    <row r="39" spans="1:42" x14ac:dyDescent="0.2">
      <c r="A39">
        <v>22</v>
      </c>
      <c r="B39">
        <v>2.1</v>
      </c>
      <c r="C39" s="6">
        <v>0</v>
      </c>
      <c r="D39" s="6">
        <v>1</v>
      </c>
      <c r="E39" s="6">
        <v>1</v>
      </c>
      <c r="F39" s="7">
        <v>0</v>
      </c>
      <c r="G39" s="9">
        <v>95</v>
      </c>
      <c r="H39" s="10">
        <f t="shared" si="10"/>
        <v>6</v>
      </c>
      <c r="I39" s="12">
        <f t="shared" si="1"/>
        <v>610.58698739352633</v>
      </c>
      <c r="J39" s="11">
        <f t="shared" si="2"/>
        <v>20.888290646294717</v>
      </c>
      <c r="K39" s="6">
        <v>0</v>
      </c>
      <c r="L39" s="6">
        <v>0</v>
      </c>
      <c r="M39" s="6">
        <v>1</v>
      </c>
      <c r="N39" s="7">
        <v>0</v>
      </c>
      <c r="O39" s="9">
        <v>96</v>
      </c>
      <c r="P39" s="10">
        <f t="shared" si="11"/>
        <v>4</v>
      </c>
      <c r="Q39" s="12">
        <f t="shared" si="3"/>
        <v>616.33000831345817</v>
      </c>
      <c r="R39" s="11">
        <f t="shared" si="4"/>
        <v>21.056543212308345</v>
      </c>
      <c r="S39" s="6">
        <v>0</v>
      </c>
      <c r="T39" s="6">
        <v>1</v>
      </c>
      <c r="U39" s="6">
        <v>1</v>
      </c>
      <c r="V39" s="7">
        <v>0</v>
      </c>
      <c r="W39" s="9">
        <f>W38-3.85</f>
        <v>96.15</v>
      </c>
      <c r="X39" s="10">
        <f t="shared" si="12"/>
        <v>6</v>
      </c>
      <c r="Y39" s="12">
        <f t="shared" si="5"/>
        <v>617.19146145144805</v>
      </c>
      <c r="Z39" s="11">
        <f t="shared" si="6"/>
        <v>21.081781097210392</v>
      </c>
      <c r="AA39" s="6">
        <v>0</v>
      </c>
      <c r="AB39" s="6">
        <v>0</v>
      </c>
      <c r="AC39" s="6">
        <v>1</v>
      </c>
      <c r="AD39" s="7">
        <v>1</v>
      </c>
      <c r="AE39" s="9">
        <f>AE38-4</f>
        <v>96</v>
      </c>
      <c r="AF39" s="10">
        <f t="shared" si="13"/>
        <v>12</v>
      </c>
      <c r="AG39" s="12">
        <f t="shared" si="7"/>
        <v>616.33000831345817</v>
      </c>
      <c r="AH39" s="11">
        <f t="shared" si="8"/>
        <v>21.056543212308345</v>
      </c>
      <c r="AJ39" s="6">
        <f t="shared" si="14"/>
        <v>950</v>
      </c>
      <c r="AK39" s="4">
        <v>22</v>
      </c>
      <c r="AM39" s="2" t="str">
        <f t="shared" si="9"/>
        <v>6</v>
      </c>
      <c r="AN39" s="2" t="str">
        <f>DEC2HEX(AJ39,3)</f>
        <v>3B6</v>
      </c>
      <c r="AO39" s="2"/>
      <c r="AP39" s="2" t="str">
        <f t="shared" si="16"/>
        <v>63B6</v>
      </c>
    </row>
    <row r="40" spans="1:42" x14ac:dyDescent="0.2">
      <c r="A40">
        <v>23</v>
      </c>
      <c r="B40">
        <v>2.2000000000000002</v>
      </c>
      <c r="C40" s="6">
        <v>0</v>
      </c>
      <c r="D40" s="6">
        <v>1</v>
      </c>
      <c r="E40" s="6">
        <v>1</v>
      </c>
      <c r="F40" s="7">
        <v>0</v>
      </c>
      <c r="G40" s="9">
        <v>90</v>
      </c>
      <c r="H40" s="10">
        <f t="shared" si="10"/>
        <v>6</v>
      </c>
      <c r="I40" s="12">
        <f t="shared" si="1"/>
        <v>581.87188279386714</v>
      </c>
      <c r="J40" s="11">
        <f t="shared" si="2"/>
        <v>20.047027816226578</v>
      </c>
      <c r="K40" s="6">
        <v>0</v>
      </c>
      <c r="L40" s="6">
        <v>0</v>
      </c>
      <c r="M40" s="6">
        <v>1</v>
      </c>
      <c r="N40" s="7">
        <v>0</v>
      </c>
      <c r="O40" s="9">
        <v>92</v>
      </c>
      <c r="P40" s="10">
        <f t="shared" si="11"/>
        <v>4</v>
      </c>
      <c r="Q40" s="12">
        <f t="shared" si="3"/>
        <v>593.35792463373093</v>
      </c>
      <c r="R40" s="11">
        <f t="shared" si="4"/>
        <v>20.383532948253837</v>
      </c>
      <c r="S40" s="6">
        <v>0</v>
      </c>
      <c r="T40" s="6">
        <v>1</v>
      </c>
      <c r="U40" s="6">
        <v>1</v>
      </c>
      <c r="V40" s="7">
        <v>0</v>
      </c>
      <c r="W40" s="9">
        <f t="shared" ref="W40:W58" si="17">W39-3.85</f>
        <v>92.300000000000011</v>
      </c>
      <c r="X40" s="10">
        <f t="shared" si="12"/>
        <v>6</v>
      </c>
      <c r="Y40" s="12">
        <f t="shared" si="5"/>
        <v>595.08083090971047</v>
      </c>
      <c r="Z40" s="11">
        <f t="shared" si="6"/>
        <v>20.434008718057925</v>
      </c>
      <c r="AA40" s="6">
        <v>0</v>
      </c>
      <c r="AB40" s="6">
        <v>0</v>
      </c>
      <c r="AC40" s="6">
        <v>1</v>
      </c>
      <c r="AD40" s="7">
        <v>1</v>
      </c>
      <c r="AE40" s="9">
        <f t="shared" ref="AE40:AE58" si="18">AE39-4</f>
        <v>92</v>
      </c>
      <c r="AF40" s="10">
        <f t="shared" si="13"/>
        <v>12</v>
      </c>
      <c r="AG40" s="12">
        <f t="shared" si="7"/>
        <v>593.35792463373093</v>
      </c>
      <c r="AH40" s="11">
        <f t="shared" si="8"/>
        <v>20.383532948253837</v>
      </c>
      <c r="AJ40" s="6">
        <f t="shared" si="14"/>
        <v>900</v>
      </c>
      <c r="AK40" s="4">
        <v>23</v>
      </c>
      <c r="AM40" s="2" t="str">
        <f t="shared" si="9"/>
        <v>6</v>
      </c>
      <c r="AN40" s="2" t="str">
        <f t="shared" si="15"/>
        <v>384</v>
      </c>
      <c r="AO40" s="2"/>
      <c r="AP40" s="2" t="str">
        <f t="shared" si="16"/>
        <v>6384</v>
      </c>
    </row>
    <row r="41" spans="1:42" x14ac:dyDescent="0.2">
      <c r="A41">
        <v>24</v>
      </c>
      <c r="B41">
        <v>2.2999999999999998</v>
      </c>
      <c r="C41" s="6">
        <v>0</v>
      </c>
      <c r="D41" s="6">
        <v>1</v>
      </c>
      <c r="E41" s="6">
        <v>1</v>
      </c>
      <c r="F41" s="7">
        <v>0</v>
      </c>
      <c r="G41" s="9">
        <v>85</v>
      </c>
      <c r="H41" s="10">
        <f t="shared" si="10"/>
        <v>6</v>
      </c>
      <c r="I41" s="12">
        <f t="shared" si="1"/>
        <v>553.15677819420785</v>
      </c>
      <c r="J41" s="11">
        <f t="shared" si="2"/>
        <v>19.205764986158432</v>
      </c>
      <c r="K41" s="6">
        <v>0</v>
      </c>
      <c r="L41" s="6">
        <v>0</v>
      </c>
      <c r="M41" s="6">
        <v>1</v>
      </c>
      <c r="N41" s="7">
        <v>0</v>
      </c>
      <c r="O41" s="9">
        <v>88</v>
      </c>
      <c r="P41" s="10">
        <f t="shared" si="11"/>
        <v>4</v>
      </c>
      <c r="Q41" s="12">
        <f t="shared" si="3"/>
        <v>570.38584095400347</v>
      </c>
      <c r="R41" s="11">
        <f t="shared" si="4"/>
        <v>19.710522684199319</v>
      </c>
      <c r="S41" s="6">
        <v>0</v>
      </c>
      <c r="T41" s="6">
        <v>1</v>
      </c>
      <c r="U41" s="6">
        <v>1</v>
      </c>
      <c r="V41" s="7">
        <v>0</v>
      </c>
      <c r="W41" s="9">
        <f t="shared" si="17"/>
        <v>88.450000000000017</v>
      </c>
      <c r="X41" s="10">
        <f t="shared" si="12"/>
        <v>6</v>
      </c>
      <c r="Y41" s="12">
        <f t="shared" si="5"/>
        <v>572.97020036797289</v>
      </c>
      <c r="Z41" s="11">
        <f t="shared" si="6"/>
        <v>19.786236338905457</v>
      </c>
      <c r="AA41" s="6">
        <v>0</v>
      </c>
      <c r="AB41" s="6">
        <v>0</v>
      </c>
      <c r="AC41" s="6">
        <v>1</v>
      </c>
      <c r="AD41" s="7">
        <v>1</v>
      </c>
      <c r="AE41" s="9">
        <f t="shared" si="18"/>
        <v>88</v>
      </c>
      <c r="AF41" s="10">
        <f t="shared" si="13"/>
        <v>12</v>
      </c>
      <c r="AG41" s="12">
        <f t="shared" si="7"/>
        <v>570.38584095400347</v>
      </c>
      <c r="AH41" s="11">
        <f t="shared" si="8"/>
        <v>19.710522684199319</v>
      </c>
      <c r="AJ41" s="6">
        <f t="shared" si="14"/>
        <v>850</v>
      </c>
      <c r="AK41" s="4">
        <v>24</v>
      </c>
      <c r="AM41" s="2" t="str">
        <f t="shared" si="9"/>
        <v>6</v>
      </c>
      <c r="AN41" s="2" t="str">
        <f t="shared" si="15"/>
        <v>352</v>
      </c>
      <c r="AO41" s="2"/>
      <c r="AP41" s="2" t="str">
        <f t="shared" si="16"/>
        <v>6352</v>
      </c>
    </row>
    <row r="42" spans="1:42" x14ac:dyDescent="0.2">
      <c r="A42">
        <v>25</v>
      </c>
      <c r="B42">
        <v>2.4</v>
      </c>
      <c r="C42" s="6">
        <v>0</v>
      </c>
      <c r="D42" s="6">
        <v>1</v>
      </c>
      <c r="E42" s="6">
        <v>1</v>
      </c>
      <c r="F42" s="7">
        <v>0</v>
      </c>
      <c r="G42" s="9">
        <v>80</v>
      </c>
      <c r="H42" s="10">
        <f t="shared" si="10"/>
        <v>6</v>
      </c>
      <c r="I42" s="12">
        <f t="shared" si="1"/>
        <v>524.44167359454855</v>
      </c>
      <c r="J42" s="11">
        <f t="shared" si="2"/>
        <v>18.364502156090289</v>
      </c>
      <c r="K42" s="6">
        <v>0</v>
      </c>
      <c r="L42" s="6">
        <v>0</v>
      </c>
      <c r="M42" s="6">
        <v>1</v>
      </c>
      <c r="N42" s="7">
        <v>0</v>
      </c>
      <c r="O42" s="9">
        <v>84</v>
      </c>
      <c r="P42" s="10">
        <f t="shared" si="11"/>
        <v>4</v>
      </c>
      <c r="Q42" s="12">
        <f t="shared" si="3"/>
        <v>547.41375727427589</v>
      </c>
      <c r="R42" s="11">
        <f t="shared" si="4"/>
        <v>19.0375124201448</v>
      </c>
      <c r="S42" s="6">
        <v>0</v>
      </c>
      <c r="T42" s="6">
        <v>1</v>
      </c>
      <c r="U42" s="6">
        <v>1</v>
      </c>
      <c r="V42" s="7">
        <v>0</v>
      </c>
      <c r="W42" s="9">
        <f t="shared" si="17"/>
        <v>84.600000000000023</v>
      </c>
      <c r="X42" s="10">
        <f t="shared" si="12"/>
        <v>6</v>
      </c>
      <c r="Y42" s="12">
        <f t="shared" si="5"/>
        <v>550.8595698262352</v>
      </c>
      <c r="Z42" s="11">
        <f t="shared" si="6"/>
        <v>19.138463959752983</v>
      </c>
      <c r="AA42" s="6">
        <v>0</v>
      </c>
      <c r="AB42" s="6">
        <v>0</v>
      </c>
      <c r="AC42" s="6">
        <v>1</v>
      </c>
      <c r="AD42" s="7">
        <v>1</v>
      </c>
      <c r="AE42" s="9">
        <f t="shared" si="18"/>
        <v>84</v>
      </c>
      <c r="AF42" s="10">
        <f t="shared" si="13"/>
        <v>12</v>
      </c>
      <c r="AG42" s="12">
        <f t="shared" si="7"/>
        <v>547.41375727427589</v>
      </c>
      <c r="AH42" s="11">
        <f t="shared" si="8"/>
        <v>19.0375124201448</v>
      </c>
      <c r="AJ42" s="6">
        <f t="shared" si="14"/>
        <v>800</v>
      </c>
      <c r="AK42" s="4">
        <v>25</v>
      </c>
      <c r="AM42" s="2" t="str">
        <f t="shared" si="9"/>
        <v>6</v>
      </c>
      <c r="AN42" s="2" t="str">
        <f t="shared" si="15"/>
        <v>320</v>
      </c>
      <c r="AO42" s="2"/>
      <c r="AP42" s="2" t="str">
        <f t="shared" si="16"/>
        <v>6320</v>
      </c>
    </row>
    <row r="43" spans="1:42" x14ac:dyDescent="0.2">
      <c r="A43">
        <v>26</v>
      </c>
      <c r="B43">
        <v>2.5</v>
      </c>
      <c r="C43" s="6">
        <v>0</v>
      </c>
      <c r="D43" s="6">
        <v>1</v>
      </c>
      <c r="E43" s="6">
        <v>1</v>
      </c>
      <c r="F43" s="7">
        <v>0</v>
      </c>
      <c r="G43" s="9">
        <v>75</v>
      </c>
      <c r="H43" s="10">
        <f t="shared" si="10"/>
        <v>6</v>
      </c>
      <c r="I43" s="12">
        <f t="shared" si="1"/>
        <v>495.72656899488925</v>
      </c>
      <c r="J43" s="11">
        <f t="shared" si="2"/>
        <v>17.523239326022143</v>
      </c>
      <c r="K43" s="6">
        <v>0</v>
      </c>
      <c r="L43" s="6">
        <v>0</v>
      </c>
      <c r="M43" s="6">
        <v>1</v>
      </c>
      <c r="N43" s="7">
        <v>0</v>
      </c>
      <c r="O43" s="9">
        <v>80</v>
      </c>
      <c r="P43" s="10">
        <f t="shared" si="11"/>
        <v>4</v>
      </c>
      <c r="Q43" s="12">
        <f t="shared" si="3"/>
        <v>524.44167359454855</v>
      </c>
      <c r="R43" s="11">
        <f t="shared" si="4"/>
        <v>18.364502156090289</v>
      </c>
      <c r="S43" s="6">
        <v>0</v>
      </c>
      <c r="T43" s="6">
        <v>1</v>
      </c>
      <c r="U43" s="6">
        <v>1</v>
      </c>
      <c r="V43" s="7">
        <v>0</v>
      </c>
      <c r="W43" s="9">
        <f t="shared" si="17"/>
        <v>80.750000000000028</v>
      </c>
      <c r="X43" s="10">
        <f t="shared" si="12"/>
        <v>6</v>
      </c>
      <c r="Y43" s="12">
        <f t="shared" si="5"/>
        <v>528.74893928449762</v>
      </c>
      <c r="Z43" s="11">
        <f t="shared" si="6"/>
        <v>18.490691580600519</v>
      </c>
      <c r="AA43" s="6">
        <v>0</v>
      </c>
      <c r="AB43" s="6">
        <v>0</v>
      </c>
      <c r="AC43" s="6">
        <v>1</v>
      </c>
      <c r="AD43" s="7">
        <v>1</v>
      </c>
      <c r="AE43" s="9">
        <f t="shared" si="18"/>
        <v>80</v>
      </c>
      <c r="AF43" s="10">
        <f t="shared" si="13"/>
        <v>12</v>
      </c>
      <c r="AG43" s="12">
        <f t="shared" si="7"/>
        <v>524.44167359454855</v>
      </c>
      <c r="AH43" s="11">
        <f t="shared" si="8"/>
        <v>18.364502156090289</v>
      </c>
      <c r="AJ43" s="6">
        <f t="shared" si="14"/>
        <v>750</v>
      </c>
      <c r="AK43" s="4">
        <v>26</v>
      </c>
      <c r="AM43" s="2" t="str">
        <f t="shared" si="9"/>
        <v>6</v>
      </c>
      <c r="AN43" s="2" t="str">
        <f t="shared" si="15"/>
        <v>2EE</v>
      </c>
      <c r="AO43" s="2"/>
      <c r="AP43" s="2" t="str">
        <f t="shared" si="16"/>
        <v>62EE</v>
      </c>
    </row>
    <row r="44" spans="1:42" x14ac:dyDescent="0.2">
      <c r="A44">
        <v>27</v>
      </c>
      <c r="B44">
        <v>2.6</v>
      </c>
      <c r="C44" s="6">
        <v>0</v>
      </c>
      <c r="D44" s="6">
        <v>1</v>
      </c>
      <c r="E44" s="6">
        <v>1</v>
      </c>
      <c r="F44" s="7">
        <v>0</v>
      </c>
      <c r="G44" s="9">
        <v>70</v>
      </c>
      <c r="H44" s="10">
        <f t="shared" si="10"/>
        <v>6</v>
      </c>
      <c r="I44" s="12">
        <f t="shared" si="1"/>
        <v>467.01146439522995</v>
      </c>
      <c r="J44" s="11">
        <f t="shared" si="2"/>
        <v>16.681976495954004</v>
      </c>
      <c r="K44" s="6">
        <v>0</v>
      </c>
      <c r="L44" s="6">
        <v>0</v>
      </c>
      <c r="M44" s="6">
        <v>1</v>
      </c>
      <c r="N44" s="7">
        <v>0</v>
      </c>
      <c r="O44" s="9">
        <v>76</v>
      </c>
      <c r="P44" s="10">
        <f t="shared" si="11"/>
        <v>4</v>
      </c>
      <c r="Q44" s="12">
        <f t="shared" si="3"/>
        <v>501.46958991482109</v>
      </c>
      <c r="R44" s="11">
        <f t="shared" si="4"/>
        <v>17.691491892035774</v>
      </c>
      <c r="S44" s="6">
        <v>0</v>
      </c>
      <c r="T44" s="6">
        <v>1</v>
      </c>
      <c r="U44" s="6">
        <v>1</v>
      </c>
      <c r="V44" s="7">
        <v>0</v>
      </c>
      <c r="W44" s="9">
        <f t="shared" si="17"/>
        <v>76.900000000000034</v>
      </c>
      <c r="X44" s="10">
        <f t="shared" si="12"/>
        <v>6</v>
      </c>
      <c r="Y44" s="12">
        <f t="shared" si="5"/>
        <v>506.63830874275999</v>
      </c>
      <c r="Z44" s="11">
        <f t="shared" si="6"/>
        <v>17.842919201448048</v>
      </c>
      <c r="AA44" s="6">
        <v>0</v>
      </c>
      <c r="AB44" s="6">
        <v>0</v>
      </c>
      <c r="AC44" s="6">
        <v>1</v>
      </c>
      <c r="AD44" s="7">
        <v>1</v>
      </c>
      <c r="AE44" s="9">
        <f t="shared" si="18"/>
        <v>76</v>
      </c>
      <c r="AF44" s="10">
        <f t="shared" si="13"/>
        <v>12</v>
      </c>
      <c r="AG44" s="12">
        <f t="shared" si="7"/>
        <v>501.46958991482109</v>
      </c>
      <c r="AH44" s="11">
        <f t="shared" si="8"/>
        <v>17.691491892035774</v>
      </c>
      <c r="AJ44" s="6">
        <f t="shared" si="14"/>
        <v>700</v>
      </c>
      <c r="AK44" s="4">
        <v>27</v>
      </c>
      <c r="AM44" s="2" t="str">
        <f t="shared" si="9"/>
        <v>6</v>
      </c>
      <c r="AN44" s="2" t="str">
        <f t="shared" si="15"/>
        <v>2BC</v>
      </c>
      <c r="AO44" s="2"/>
      <c r="AP44" s="2" t="str">
        <f t="shared" si="16"/>
        <v>62BC</v>
      </c>
    </row>
    <row r="45" spans="1:42" x14ac:dyDescent="0.2">
      <c r="A45">
        <v>28</v>
      </c>
      <c r="B45">
        <v>2.7</v>
      </c>
      <c r="C45" s="6">
        <v>0</v>
      </c>
      <c r="D45" s="6">
        <v>1</v>
      </c>
      <c r="E45" s="6">
        <v>1</v>
      </c>
      <c r="F45" s="7">
        <v>0</v>
      </c>
      <c r="G45" s="9">
        <v>65</v>
      </c>
      <c r="H45" s="10">
        <f t="shared" si="10"/>
        <v>6</v>
      </c>
      <c r="I45" s="12">
        <f t="shared" si="1"/>
        <v>438.29635979557071</v>
      </c>
      <c r="J45" s="11">
        <f t="shared" si="2"/>
        <v>15.840713665885861</v>
      </c>
      <c r="K45" s="6">
        <v>0</v>
      </c>
      <c r="L45" s="6">
        <v>0</v>
      </c>
      <c r="M45" s="6">
        <v>1</v>
      </c>
      <c r="N45" s="7">
        <v>0</v>
      </c>
      <c r="O45" s="9">
        <v>72</v>
      </c>
      <c r="P45" s="10">
        <f t="shared" si="11"/>
        <v>4</v>
      </c>
      <c r="Q45" s="12">
        <f t="shared" si="3"/>
        <v>478.49750623509368</v>
      </c>
      <c r="R45" s="11">
        <f t="shared" si="4"/>
        <v>17.018481627981259</v>
      </c>
      <c r="S45" s="6">
        <v>0</v>
      </c>
      <c r="T45" s="6">
        <v>1</v>
      </c>
      <c r="U45" s="6">
        <v>1</v>
      </c>
      <c r="V45" s="7">
        <v>0</v>
      </c>
      <c r="W45" s="9">
        <f t="shared" si="17"/>
        <v>73.05000000000004</v>
      </c>
      <c r="X45" s="10">
        <f t="shared" si="12"/>
        <v>6</v>
      </c>
      <c r="Y45" s="12">
        <f t="shared" si="5"/>
        <v>484.52767820102235</v>
      </c>
      <c r="Z45" s="11">
        <f t="shared" si="6"/>
        <v>17.195146822295577</v>
      </c>
      <c r="AA45" s="6">
        <v>0</v>
      </c>
      <c r="AB45" s="6">
        <v>0</v>
      </c>
      <c r="AC45" s="6">
        <v>1</v>
      </c>
      <c r="AD45" s="7">
        <v>1</v>
      </c>
      <c r="AE45" s="9">
        <f t="shared" si="18"/>
        <v>72</v>
      </c>
      <c r="AF45" s="10">
        <f t="shared" si="13"/>
        <v>12</v>
      </c>
      <c r="AG45" s="12">
        <f t="shared" si="7"/>
        <v>478.49750623509368</v>
      </c>
      <c r="AH45" s="11">
        <f t="shared" si="8"/>
        <v>17.018481627981259</v>
      </c>
      <c r="AJ45" s="6">
        <f t="shared" si="14"/>
        <v>650</v>
      </c>
      <c r="AK45" s="4">
        <v>28</v>
      </c>
      <c r="AM45" s="2" t="str">
        <f t="shared" si="9"/>
        <v>6</v>
      </c>
      <c r="AN45" s="2" t="str">
        <f t="shared" si="15"/>
        <v>28A</v>
      </c>
      <c r="AO45" s="2"/>
      <c r="AP45" s="2" t="str">
        <f t="shared" si="16"/>
        <v>628A</v>
      </c>
    </row>
    <row r="46" spans="1:42" x14ac:dyDescent="0.2">
      <c r="A46">
        <v>29</v>
      </c>
      <c r="B46">
        <v>2.8</v>
      </c>
      <c r="C46" s="6">
        <v>0</v>
      </c>
      <c r="D46" s="6">
        <v>1</v>
      </c>
      <c r="E46" s="6">
        <v>1</v>
      </c>
      <c r="F46" s="7">
        <v>0</v>
      </c>
      <c r="G46" s="9">
        <v>60</v>
      </c>
      <c r="H46" s="10">
        <f t="shared" si="10"/>
        <v>6</v>
      </c>
      <c r="I46" s="12">
        <f t="shared" si="1"/>
        <v>409.58125519591135</v>
      </c>
      <c r="J46" s="11">
        <f t="shared" si="2"/>
        <v>14.999450835817715</v>
      </c>
      <c r="K46" s="6">
        <v>0</v>
      </c>
      <c r="L46" s="6">
        <v>0</v>
      </c>
      <c r="M46" s="6">
        <v>1</v>
      </c>
      <c r="N46" s="7">
        <v>0</v>
      </c>
      <c r="O46" s="9">
        <v>68</v>
      </c>
      <c r="P46" s="10">
        <f t="shared" si="11"/>
        <v>4</v>
      </c>
      <c r="Q46" s="12">
        <f t="shared" si="3"/>
        <v>455.52542255536633</v>
      </c>
      <c r="R46" s="11">
        <f t="shared" si="4"/>
        <v>16.345471363926748</v>
      </c>
      <c r="S46" s="6">
        <v>0</v>
      </c>
      <c r="T46" s="6">
        <v>1</v>
      </c>
      <c r="U46" s="6">
        <v>1</v>
      </c>
      <c r="V46" s="7">
        <v>0</v>
      </c>
      <c r="W46" s="9">
        <f t="shared" si="17"/>
        <v>69.200000000000045</v>
      </c>
      <c r="X46" s="10">
        <f t="shared" si="12"/>
        <v>6</v>
      </c>
      <c r="Y46" s="12">
        <f t="shared" si="5"/>
        <v>462.41704765928483</v>
      </c>
      <c r="Z46" s="11">
        <f t="shared" si="6"/>
        <v>16.547374443143109</v>
      </c>
      <c r="AA46" s="6">
        <v>0</v>
      </c>
      <c r="AB46" s="6">
        <v>0</v>
      </c>
      <c r="AC46" s="6">
        <v>1</v>
      </c>
      <c r="AD46" s="7">
        <v>1</v>
      </c>
      <c r="AE46" s="9">
        <f t="shared" si="18"/>
        <v>68</v>
      </c>
      <c r="AF46" s="10">
        <f t="shared" si="13"/>
        <v>12</v>
      </c>
      <c r="AG46" s="12">
        <f t="shared" si="7"/>
        <v>455.52542255536633</v>
      </c>
      <c r="AH46" s="11">
        <f t="shared" si="8"/>
        <v>16.345471363926748</v>
      </c>
      <c r="AJ46" s="6">
        <f t="shared" si="14"/>
        <v>600</v>
      </c>
      <c r="AK46" s="4">
        <v>29</v>
      </c>
      <c r="AM46" s="2" t="str">
        <f t="shared" si="9"/>
        <v>6</v>
      </c>
      <c r="AN46" s="2" t="str">
        <f t="shared" si="15"/>
        <v>258</v>
      </c>
      <c r="AO46" s="2"/>
      <c r="AP46" s="2" t="str">
        <f t="shared" si="16"/>
        <v>6258</v>
      </c>
    </row>
    <row r="47" spans="1:42" x14ac:dyDescent="0.2">
      <c r="A47">
        <v>30</v>
      </c>
      <c r="B47">
        <v>2.9</v>
      </c>
      <c r="C47" s="6">
        <v>0</v>
      </c>
      <c r="D47" s="6">
        <v>1</v>
      </c>
      <c r="E47" s="6">
        <v>1</v>
      </c>
      <c r="F47" s="7">
        <v>0</v>
      </c>
      <c r="G47" s="9">
        <v>55</v>
      </c>
      <c r="H47" s="10">
        <f t="shared" si="10"/>
        <v>6</v>
      </c>
      <c r="I47" s="12">
        <f t="shared" si="1"/>
        <v>380.86615059625217</v>
      </c>
      <c r="J47" s="11">
        <f t="shared" si="2"/>
        <v>14.158188005749576</v>
      </c>
      <c r="K47" s="6">
        <v>0</v>
      </c>
      <c r="L47" s="6">
        <v>0</v>
      </c>
      <c r="M47" s="6">
        <v>1</v>
      </c>
      <c r="N47" s="7">
        <v>0</v>
      </c>
      <c r="O47" s="9">
        <v>64</v>
      </c>
      <c r="P47" s="10">
        <f t="shared" si="11"/>
        <v>4</v>
      </c>
      <c r="Q47" s="12">
        <f t="shared" si="3"/>
        <v>432.55333887563887</v>
      </c>
      <c r="R47" s="11">
        <f t="shared" si="4"/>
        <v>15.672461099872232</v>
      </c>
      <c r="S47" s="6">
        <v>0</v>
      </c>
      <c r="T47" s="6">
        <v>1</v>
      </c>
      <c r="U47" s="6">
        <v>1</v>
      </c>
      <c r="V47" s="7">
        <v>0</v>
      </c>
      <c r="W47" s="9">
        <f t="shared" si="17"/>
        <v>65.350000000000051</v>
      </c>
      <c r="X47" s="10">
        <f t="shared" si="12"/>
        <v>6</v>
      </c>
      <c r="Y47" s="12">
        <f t="shared" si="5"/>
        <v>440.3064171175472</v>
      </c>
      <c r="Z47" s="11">
        <f t="shared" si="6"/>
        <v>15.899602063990642</v>
      </c>
      <c r="AA47" s="6">
        <v>0</v>
      </c>
      <c r="AB47" s="6">
        <v>0</v>
      </c>
      <c r="AC47" s="6">
        <v>1</v>
      </c>
      <c r="AD47" s="7">
        <v>1</v>
      </c>
      <c r="AE47" s="9">
        <f t="shared" si="18"/>
        <v>64</v>
      </c>
      <c r="AF47" s="10">
        <f t="shared" si="13"/>
        <v>12</v>
      </c>
      <c r="AG47" s="12">
        <f t="shared" si="7"/>
        <v>432.55333887563887</v>
      </c>
      <c r="AH47" s="11">
        <f t="shared" si="8"/>
        <v>15.672461099872232</v>
      </c>
      <c r="AJ47" s="6">
        <f t="shared" si="14"/>
        <v>550</v>
      </c>
      <c r="AK47" s="4">
        <v>30</v>
      </c>
      <c r="AM47" s="2" t="str">
        <f t="shared" si="9"/>
        <v>6</v>
      </c>
      <c r="AN47" s="2" t="str">
        <f t="shared" si="15"/>
        <v>226</v>
      </c>
      <c r="AO47" s="2"/>
      <c r="AP47" s="2" t="str">
        <f t="shared" si="16"/>
        <v>6226</v>
      </c>
    </row>
    <row r="48" spans="1:42" x14ac:dyDescent="0.2">
      <c r="A48">
        <v>31</v>
      </c>
      <c r="B48">
        <v>3</v>
      </c>
      <c r="C48" s="6">
        <v>0</v>
      </c>
      <c r="D48" s="6">
        <v>1</v>
      </c>
      <c r="E48" s="6">
        <v>1</v>
      </c>
      <c r="F48" s="7">
        <v>0</v>
      </c>
      <c r="G48" s="9">
        <v>50</v>
      </c>
      <c r="H48" s="10">
        <f t="shared" si="10"/>
        <v>6</v>
      </c>
      <c r="I48" s="12">
        <f t="shared" si="1"/>
        <v>352.15104599659281</v>
      </c>
      <c r="J48" s="11">
        <f t="shared" si="2"/>
        <v>13.31692517568143</v>
      </c>
      <c r="K48" s="6">
        <v>0</v>
      </c>
      <c r="L48" s="6">
        <v>0</v>
      </c>
      <c r="M48" s="6">
        <v>1</v>
      </c>
      <c r="N48" s="7">
        <v>0</v>
      </c>
      <c r="O48" s="9">
        <v>60</v>
      </c>
      <c r="P48" s="10">
        <f t="shared" si="11"/>
        <v>4</v>
      </c>
      <c r="Q48" s="12">
        <f t="shared" si="3"/>
        <v>409.58125519591135</v>
      </c>
      <c r="R48" s="11">
        <f t="shared" si="4"/>
        <v>14.999450835817715</v>
      </c>
      <c r="S48" s="6">
        <v>0</v>
      </c>
      <c r="T48" s="6">
        <v>1</v>
      </c>
      <c r="U48" s="6">
        <v>1</v>
      </c>
      <c r="V48" s="7">
        <v>0</v>
      </c>
      <c r="W48" s="9">
        <f t="shared" si="17"/>
        <v>61.50000000000005</v>
      </c>
      <c r="X48" s="10">
        <f t="shared" si="12"/>
        <v>6</v>
      </c>
      <c r="Y48" s="12">
        <f t="shared" si="5"/>
        <v>418.19578657580951</v>
      </c>
      <c r="Z48" s="11">
        <f t="shared" si="6"/>
        <v>15.251829684838169</v>
      </c>
      <c r="AA48" s="6">
        <v>0</v>
      </c>
      <c r="AB48" s="6">
        <v>0</v>
      </c>
      <c r="AC48" s="6">
        <v>1</v>
      </c>
      <c r="AD48" s="7">
        <v>1</v>
      </c>
      <c r="AE48" s="9">
        <f t="shared" si="18"/>
        <v>60</v>
      </c>
      <c r="AF48" s="10">
        <f t="shared" si="13"/>
        <v>12</v>
      </c>
      <c r="AG48" s="12">
        <f t="shared" si="7"/>
        <v>409.58125519591135</v>
      </c>
      <c r="AH48" s="11">
        <f t="shared" si="8"/>
        <v>14.999450835817715</v>
      </c>
      <c r="AJ48" s="6">
        <f t="shared" si="14"/>
        <v>500</v>
      </c>
      <c r="AK48" s="4">
        <v>31</v>
      </c>
      <c r="AM48" s="2" t="str">
        <f t="shared" si="9"/>
        <v>6</v>
      </c>
      <c r="AN48" s="2" t="str">
        <f t="shared" si="15"/>
        <v>1F4</v>
      </c>
      <c r="AO48" s="2"/>
      <c r="AP48" s="2" t="str">
        <f t="shared" si="16"/>
        <v>61F4</v>
      </c>
    </row>
    <row r="49" spans="1:42" x14ac:dyDescent="0.2">
      <c r="A49">
        <v>32</v>
      </c>
      <c r="B49">
        <v>3.1</v>
      </c>
      <c r="C49" s="6">
        <v>0</v>
      </c>
      <c r="D49" s="6">
        <v>1</v>
      </c>
      <c r="E49" s="6">
        <v>1</v>
      </c>
      <c r="F49" s="7">
        <v>0</v>
      </c>
      <c r="G49" s="9">
        <v>45</v>
      </c>
      <c r="H49" s="10">
        <f t="shared" si="10"/>
        <v>6</v>
      </c>
      <c r="I49" s="12">
        <f t="shared" si="1"/>
        <v>323.43594139693357</v>
      </c>
      <c r="J49" s="11">
        <f t="shared" si="2"/>
        <v>12.475662345613289</v>
      </c>
      <c r="K49" s="6">
        <v>0</v>
      </c>
      <c r="L49" s="6">
        <v>0</v>
      </c>
      <c r="M49" s="6">
        <v>1</v>
      </c>
      <c r="N49" s="7">
        <v>0</v>
      </c>
      <c r="O49" s="9">
        <v>56</v>
      </c>
      <c r="P49" s="10">
        <f t="shared" si="11"/>
        <v>4</v>
      </c>
      <c r="Q49" s="12">
        <f t="shared" si="3"/>
        <v>386.60917151618401</v>
      </c>
      <c r="R49" s="11">
        <f t="shared" si="4"/>
        <v>14.326440571763204</v>
      </c>
      <c r="S49" s="6">
        <v>0</v>
      </c>
      <c r="T49" s="6">
        <v>1</v>
      </c>
      <c r="U49" s="6">
        <v>1</v>
      </c>
      <c r="V49" s="7">
        <v>0</v>
      </c>
      <c r="W49" s="9">
        <f t="shared" si="17"/>
        <v>57.650000000000048</v>
      </c>
      <c r="X49" s="10">
        <f t="shared" si="12"/>
        <v>6</v>
      </c>
      <c r="Y49" s="12">
        <f t="shared" si="5"/>
        <v>396.08515603407182</v>
      </c>
      <c r="Z49" s="11">
        <f t="shared" si="6"/>
        <v>14.604057305685698</v>
      </c>
      <c r="AA49" s="6">
        <v>0</v>
      </c>
      <c r="AB49" s="6">
        <v>0</v>
      </c>
      <c r="AC49" s="6">
        <v>1</v>
      </c>
      <c r="AD49" s="7">
        <v>1</v>
      </c>
      <c r="AE49" s="9">
        <f t="shared" si="18"/>
        <v>56</v>
      </c>
      <c r="AF49" s="10">
        <f t="shared" si="13"/>
        <v>12</v>
      </c>
      <c r="AG49" s="12">
        <f t="shared" si="7"/>
        <v>386.60917151618401</v>
      </c>
      <c r="AH49" s="11">
        <f t="shared" si="8"/>
        <v>14.326440571763204</v>
      </c>
      <c r="AJ49" s="6">
        <f t="shared" si="14"/>
        <v>450</v>
      </c>
      <c r="AK49" s="4">
        <v>32</v>
      </c>
      <c r="AM49" s="2" t="str">
        <f t="shared" si="9"/>
        <v>6</v>
      </c>
      <c r="AN49" s="2" t="str">
        <f t="shared" si="15"/>
        <v>1C2</v>
      </c>
      <c r="AO49" s="2"/>
      <c r="AP49" s="2" t="str">
        <f t="shared" si="16"/>
        <v>61C2</v>
      </c>
    </row>
    <row r="50" spans="1:42" x14ac:dyDescent="0.2">
      <c r="A50">
        <v>33</v>
      </c>
      <c r="B50">
        <v>3.2</v>
      </c>
      <c r="C50" s="6">
        <v>0</v>
      </c>
      <c r="D50" s="6">
        <v>1</v>
      </c>
      <c r="E50" s="6">
        <v>1</v>
      </c>
      <c r="F50" s="7">
        <v>0</v>
      </c>
      <c r="G50" s="9">
        <v>40</v>
      </c>
      <c r="H50" s="10">
        <f t="shared" si="10"/>
        <v>6</v>
      </c>
      <c r="I50" s="12">
        <f t="shared" si="1"/>
        <v>294.72083679727427</v>
      </c>
      <c r="J50" s="11">
        <f t="shared" si="2"/>
        <v>11.634399515545145</v>
      </c>
      <c r="K50" s="6">
        <v>0</v>
      </c>
      <c r="L50" s="6">
        <v>0</v>
      </c>
      <c r="M50" s="6">
        <v>1</v>
      </c>
      <c r="N50" s="7">
        <v>0</v>
      </c>
      <c r="O50" s="9">
        <v>52</v>
      </c>
      <c r="P50" s="10">
        <f t="shared" si="11"/>
        <v>4</v>
      </c>
      <c r="Q50" s="12">
        <f t="shared" si="3"/>
        <v>363.6370878364566</v>
      </c>
      <c r="R50" s="11">
        <f t="shared" si="4"/>
        <v>13.653430307708689</v>
      </c>
      <c r="S50" s="6">
        <v>0</v>
      </c>
      <c r="T50" s="6">
        <v>1</v>
      </c>
      <c r="U50" s="6">
        <v>1</v>
      </c>
      <c r="V50" s="7">
        <v>0</v>
      </c>
      <c r="W50" s="9">
        <f t="shared" si="17"/>
        <v>53.800000000000047</v>
      </c>
      <c r="X50" s="10">
        <f t="shared" si="12"/>
        <v>6</v>
      </c>
      <c r="Y50" s="12">
        <f t="shared" si="5"/>
        <v>373.97452549233418</v>
      </c>
      <c r="Z50" s="11">
        <f t="shared" si="6"/>
        <v>13.956284926533227</v>
      </c>
      <c r="AA50" s="6">
        <v>0</v>
      </c>
      <c r="AB50" s="6">
        <v>0</v>
      </c>
      <c r="AC50" s="6">
        <v>1</v>
      </c>
      <c r="AD50" s="7">
        <v>1</v>
      </c>
      <c r="AE50" s="9">
        <f t="shared" si="18"/>
        <v>52</v>
      </c>
      <c r="AF50" s="10">
        <f t="shared" si="13"/>
        <v>12</v>
      </c>
      <c r="AG50" s="12">
        <f t="shared" si="7"/>
        <v>363.6370878364566</v>
      </c>
      <c r="AH50" s="11">
        <f t="shared" si="8"/>
        <v>13.653430307708689</v>
      </c>
      <c r="AJ50" s="6">
        <f t="shared" si="14"/>
        <v>400</v>
      </c>
      <c r="AK50" s="4">
        <v>33</v>
      </c>
      <c r="AM50" s="2" t="str">
        <f t="shared" si="9"/>
        <v>6</v>
      </c>
      <c r="AN50" s="2" t="str">
        <f t="shared" si="15"/>
        <v>190</v>
      </c>
      <c r="AO50" s="2"/>
      <c r="AP50" s="2" t="str">
        <f t="shared" si="16"/>
        <v>6190</v>
      </c>
    </row>
    <row r="51" spans="1:42" x14ac:dyDescent="0.2">
      <c r="A51">
        <v>34</v>
      </c>
      <c r="B51">
        <v>3.3</v>
      </c>
      <c r="C51" s="6">
        <v>0</v>
      </c>
      <c r="D51" s="6">
        <v>1</v>
      </c>
      <c r="E51" s="6">
        <v>1</v>
      </c>
      <c r="F51" s="7">
        <v>0</v>
      </c>
      <c r="G51" s="9">
        <v>35</v>
      </c>
      <c r="H51" s="10">
        <f t="shared" si="10"/>
        <v>6</v>
      </c>
      <c r="I51" s="12">
        <f t="shared" si="1"/>
        <v>266.00573219761498</v>
      </c>
      <c r="J51" s="11">
        <f t="shared" si="2"/>
        <v>10.793136685477002</v>
      </c>
      <c r="K51" s="6">
        <v>0</v>
      </c>
      <c r="L51" s="6">
        <v>0</v>
      </c>
      <c r="M51" s="6">
        <v>1</v>
      </c>
      <c r="N51" s="7">
        <v>0</v>
      </c>
      <c r="O51" s="9">
        <v>48</v>
      </c>
      <c r="P51" s="10">
        <f t="shared" si="11"/>
        <v>4</v>
      </c>
      <c r="Q51" s="12">
        <f t="shared" si="3"/>
        <v>340.66500415672908</v>
      </c>
      <c r="R51" s="11">
        <f t="shared" si="4"/>
        <v>12.980420043654172</v>
      </c>
      <c r="S51" s="6">
        <v>0</v>
      </c>
      <c r="T51" s="6">
        <v>1</v>
      </c>
      <c r="U51" s="6">
        <v>1</v>
      </c>
      <c r="V51" s="7">
        <v>0</v>
      </c>
      <c r="W51" s="9">
        <f t="shared" si="17"/>
        <v>49.950000000000045</v>
      </c>
      <c r="X51" s="10">
        <f t="shared" si="12"/>
        <v>6</v>
      </c>
      <c r="Y51" s="12">
        <f t="shared" si="5"/>
        <v>351.86389495059649</v>
      </c>
      <c r="Z51" s="11">
        <f t="shared" si="6"/>
        <v>13.308512547380756</v>
      </c>
      <c r="AA51" s="6">
        <v>0</v>
      </c>
      <c r="AB51" s="6">
        <v>0</v>
      </c>
      <c r="AC51" s="6">
        <v>1</v>
      </c>
      <c r="AD51" s="7">
        <v>1</v>
      </c>
      <c r="AE51" s="9">
        <f t="shared" si="18"/>
        <v>48</v>
      </c>
      <c r="AF51" s="10">
        <f t="shared" si="13"/>
        <v>12</v>
      </c>
      <c r="AG51" s="12">
        <f t="shared" si="7"/>
        <v>340.66500415672908</v>
      </c>
      <c r="AH51" s="11">
        <f t="shared" si="8"/>
        <v>12.980420043654172</v>
      </c>
      <c r="AJ51" s="6">
        <f t="shared" si="14"/>
        <v>350</v>
      </c>
      <c r="AK51" s="4">
        <v>34</v>
      </c>
      <c r="AM51" s="2" t="str">
        <f t="shared" si="9"/>
        <v>6</v>
      </c>
      <c r="AN51" s="2" t="str">
        <f t="shared" si="15"/>
        <v>15E</v>
      </c>
      <c r="AO51" s="2"/>
      <c r="AP51" s="2" t="str">
        <f t="shared" si="16"/>
        <v>615E</v>
      </c>
    </row>
    <row r="52" spans="1:42" x14ac:dyDescent="0.2">
      <c r="A52">
        <v>35</v>
      </c>
      <c r="B52">
        <v>3.4</v>
      </c>
      <c r="C52" s="6">
        <v>0</v>
      </c>
      <c r="D52" s="6">
        <v>1</v>
      </c>
      <c r="E52" s="6">
        <v>1</v>
      </c>
      <c r="F52" s="7">
        <v>0</v>
      </c>
      <c r="G52" s="9">
        <v>30</v>
      </c>
      <c r="H52" s="10">
        <f t="shared" si="10"/>
        <v>6</v>
      </c>
      <c r="I52" s="12">
        <f t="shared" si="1"/>
        <v>237.29062759795568</v>
      </c>
      <c r="J52" s="11">
        <f t="shared" si="2"/>
        <v>9.9518738554088593</v>
      </c>
      <c r="K52" s="6">
        <v>0</v>
      </c>
      <c r="L52" s="6">
        <v>0</v>
      </c>
      <c r="M52" s="6">
        <v>1</v>
      </c>
      <c r="N52" s="7">
        <v>0</v>
      </c>
      <c r="O52" s="9">
        <v>44</v>
      </c>
      <c r="P52" s="10">
        <f t="shared" si="11"/>
        <v>4</v>
      </c>
      <c r="Q52" s="12">
        <f t="shared" si="3"/>
        <v>317.69292047700173</v>
      </c>
      <c r="R52" s="11">
        <f t="shared" si="4"/>
        <v>12.307409779599659</v>
      </c>
      <c r="S52" s="6">
        <v>0</v>
      </c>
      <c r="T52" s="6">
        <v>1</v>
      </c>
      <c r="U52" s="6">
        <v>1</v>
      </c>
      <c r="V52" s="7">
        <v>0</v>
      </c>
      <c r="W52" s="9">
        <f t="shared" si="17"/>
        <v>46.100000000000044</v>
      </c>
      <c r="X52" s="10">
        <f t="shared" si="12"/>
        <v>6</v>
      </c>
      <c r="Y52" s="12">
        <f t="shared" si="5"/>
        <v>329.75326440885885</v>
      </c>
      <c r="Z52" s="11">
        <f t="shared" si="6"/>
        <v>12.660740168228287</v>
      </c>
      <c r="AA52" s="6">
        <v>0</v>
      </c>
      <c r="AB52" s="6">
        <v>0</v>
      </c>
      <c r="AC52" s="6">
        <v>1</v>
      </c>
      <c r="AD52" s="7">
        <v>1</v>
      </c>
      <c r="AE52" s="9">
        <f t="shared" si="18"/>
        <v>44</v>
      </c>
      <c r="AF52" s="10">
        <f t="shared" si="13"/>
        <v>12</v>
      </c>
      <c r="AG52" s="12">
        <f t="shared" si="7"/>
        <v>317.69292047700173</v>
      </c>
      <c r="AH52" s="11">
        <f t="shared" si="8"/>
        <v>12.307409779599659</v>
      </c>
      <c r="AJ52" s="6">
        <f t="shared" si="14"/>
        <v>300</v>
      </c>
      <c r="AK52" s="4">
        <v>35</v>
      </c>
      <c r="AM52" s="2" t="str">
        <f t="shared" si="9"/>
        <v>6</v>
      </c>
      <c r="AN52" s="2" t="str">
        <f t="shared" si="15"/>
        <v>12C</v>
      </c>
      <c r="AO52" s="2"/>
      <c r="AP52" s="2" t="str">
        <f t="shared" si="16"/>
        <v>612C</v>
      </c>
    </row>
    <row r="53" spans="1:42" x14ac:dyDescent="0.2">
      <c r="A53">
        <v>36</v>
      </c>
      <c r="B53">
        <v>3.5</v>
      </c>
      <c r="C53" s="6">
        <v>0</v>
      </c>
      <c r="D53" s="6">
        <v>1</v>
      </c>
      <c r="E53" s="6">
        <v>1</v>
      </c>
      <c r="F53" s="7">
        <v>0</v>
      </c>
      <c r="G53" s="9">
        <v>25</v>
      </c>
      <c r="H53" s="10">
        <f t="shared" si="10"/>
        <v>6</v>
      </c>
      <c r="I53" s="12">
        <f t="shared" si="1"/>
        <v>208.57552299829641</v>
      </c>
      <c r="J53" s="11">
        <f t="shared" si="2"/>
        <v>9.1106110253407149</v>
      </c>
      <c r="K53" s="6">
        <v>0</v>
      </c>
      <c r="L53" s="6">
        <v>0</v>
      </c>
      <c r="M53" s="6">
        <v>1</v>
      </c>
      <c r="N53" s="7">
        <v>0</v>
      </c>
      <c r="O53" s="9">
        <v>40</v>
      </c>
      <c r="P53" s="10">
        <f t="shared" si="11"/>
        <v>4</v>
      </c>
      <c r="Q53" s="12">
        <f t="shared" si="3"/>
        <v>294.72083679727427</v>
      </c>
      <c r="R53" s="11">
        <f t="shared" si="4"/>
        <v>11.634399515545145</v>
      </c>
      <c r="S53" s="6">
        <v>0</v>
      </c>
      <c r="T53" s="6">
        <v>1</v>
      </c>
      <c r="U53" s="6">
        <v>1</v>
      </c>
      <c r="V53" s="7">
        <v>0</v>
      </c>
      <c r="W53" s="9">
        <f t="shared" si="17"/>
        <v>42.250000000000043</v>
      </c>
      <c r="X53" s="10">
        <f t="shared" si="12"/>
        <v>6</v>
      </c>
      <c r="Y53" s="12">
        <f t="shared" si="5"/>
        <v>307.64263386712116</v>
      </c>
      <c r="Z53" s="11">
        <f t="shared" si="6"/>
        <v>12.012967789075816</v>
      </c>
      <c r="AA53" s="6">
        <v>0</v>
      </c>
      <c r="AB53" s="6">
        <v>0</v>
      </c>
      <c r="AC53" s="6">
        <v>1</v>
      </c>
      <c r="AD53" s="7">
        <v>1</v>
      </c>
      <c r="AE53" s="9">
        <f t="shared" si="18"/>
        <v>40</v>
      </c>
      <c r="AF53" s="10">
        <f t="shared" si="13"/>
        <v>12</v>
      </c>
      <c r="AG53" s="12">
        <f t="shared" si="7"/>
        <v>294.72083679727427</v>
      </c>
      <c r="AH53" s="11">
        <f t="shared" si="8"/>
        <v>11.634399515545145</v>
      </c>
      <c r="AJ53" s="6">
        <f t="shared" si="14"/>
        <v>250</v>
      </c>
      <c r="AK53" s="4">
        <v>36</v>
      </c>
      <c r="AM53" s="2" t="str">
        <f t="shared" si="9"/>
        <v>6</v>
      </c>
      <c r="AN53" s="2" t="str">
        <f t="shared" si="15"/>
        <v>0FA</v>
      </c>
      <c r="AO53" s="2"/>
      <c r="AP53" s="2" t="str">
        <f t="shared" si="16"/>
        <v>60FA</v>
      </c>
    </row>
    <row r="54" spans="1:42" x14ac:dyDescent="0.2">
      <c r="A54">
        <v>37</v>
      </c>
      <c r="B54">
        <v>3.6</v>
      </c>
      <c r="C54" s="6">
        <v>0</v>
      </c>
      <c r="D54" s="6">
        <v>1</v>
      </c>
      <c r="E54" s="6">
        <v>1</v>
      </c>
      <c r="F54" s="7">
        <v>0</v>
      </c>
      <c r="G54" s="9">
        <v>20</v>
      </c>
      <c r="H54" s="10">
        <f t="shared" si="10"/>
        <v>6</v>
      </c>
      <c r="I54" s="12">
        <f t="shared" si="1"/>
        <v>179.86041839863714</v>
      </c>
      <c r="J54" s="11">
        <f t="shared" si="2"/>
        <v>8.2693481952725723</v>
      </c>
      <c r="K54" s="6">
        <v>0</v>
      </c>
      <c r="L54" s="6">
        <v>0</v>
      </c>
      <c r="M54" s="6">
        <v>1</v>
      </c>
      <c r="N54" s="7">
        <v>0</v>
      </c>
      <c r="O54" s="9">
        <v>36</v>
      </c>
      <c r="P54" s="10">
        <f t="shared" si="11"/>
        <v>4</v>
      </c>
      <c r="Q54" s="12">
        <f t="shared" si="3"/>
        <v>271.74875311754681</v>
      </c>
      <c r="R54" s="11">
        <f t="shared" si="4"/>
        <v>10.96138925149063</v>
      </c>
      <c r="S54" s="6">
        <v>0</v>
      </c>
      <c r="T54" s="6">
        <v>1</v>
      </c>
      <c r="U54" s="6">
        <v>1</v>
      </c>
      <c r="V54" s="7">
        <v>0</v>
      </c>
      <c r="W54" s="9">
        <f t="shared" si="17"/>
        <v>38.400000000000041</v>
      </c>
      <c r="X54" s="10">
        <f t="shared" si="12"/>
        <v>6</v>
      </c>
      <c r="Y54" s="12">
        <f t="shared" si="5"/>
        <v>285.53200332538353</v>
      </c>
      <c r="Z54" s="11">
        <f t="shared" si="6"/>
        <v>11.365195409923345</v>
      </c>
      <c r="AA54" s="6">
        <v>0</v>
      </c>
      <c r="AB54" s="6">
        <v>0</v>
      </c>
      <c r="AC54" s="6">
        <v>1</v>
      </c>
      <c r="AD54" s="7">
        <v>1</v>
      </c>
      <c r="AE54" s="9">
        <f t="shared" si="18"/>
        <v>36</v>
      </c>
      <c r="AF54" s="10">
        <f t="shared" si="13"/>
        <v>12</v>
      </c>
      <c r="AG54" s="12">
        <f t="shared" si="7"/>
        <v>271.74875311754681</v>
      </c>
      <c r="AH54" s="11">
        <f t="shared" si="8"/>
        <v>10.96138925149063</v>
      </c>
      <c r="AJ54" s="6">
        <f t="shared" si="14"/>
        <v>200</v>
      </c>
      <c r="AK54" s="4">
        <v>37</v>
      </c>
      <c r="AM54" s="2" t="str">
        <f t="shared" si="9"/>
        <v>6</v>
      </c>
      <c r="AN54" s="2" t="str">
        <f t="shared" si="15"/>
        <v>0C8</v>
      </c>
      <c r="AO54" s="2"/>
      <c r="AP54" s="2" t="str">
        <f t="shared" si="16"/>
        <v>60C8</v>
      </c>
    </row>
    <row r="55" spans="1:42" x14ac:dyDescent="0.2">
      <c r="A55">
        <v>38</v>
      </c>
      <c r="B55">
        <v>3.7</v>
      </c>
      <c r="C55" s="6">
        <v>0</v>
      </c>
      <c r="D55" s="6">
        <v>1</v>
      </c>
      <c r="E55" s="6">
        <v>1</v>
      </c>
      <c r="F55" s="7">
        <v>0</v>
      </c>
      <c r="G55" s="9">
        <v>15</v>
      </c>
      <c r="H55" s="10">
        <f t="shared" si="10"/>
        <v>6</v>
      </c>
      <c r="I55" s="12">
        <f t="shared" si="1"/>
        <v>151.14531379897784</v>
      </c>
      <c r="J55" s="11">
        <f t="shared" si="2"/>
        <v>7.4280853652044296</v>
      </c>
      <c r="K55" s="6">
        <v>0</v>
      </c>
      <c r="L55" s="6">
        <v>0</v>
      </c>
      <c r="M55" s="6">
        <v>1</v>
      </c>
      <c r="N55" s="7">
        <v>0</v>
      </c>
      <c r="O55" s="9">
        <v>32</v>
      </c>
      <c r="P55" s="10">
        <f t="shared" si="11"/>
        <v>4</v>
      </c>
      <c r="Q55" s="12">
        <f t="shared" si="3"/>
        <v>248.77666943781944</v>
      </c>
      <c r="R55" s="11">
        <f t="shared" si="4"/>
        <v>10.288378987436115</v>
      </c>
      <c r="S55" s="6">
        <v>0</v>
      </c>
      <c r="T55" s="6">
        <v>1</v>
      </c>
      <c r="U55" s="6">
        <v>1</v>
      </c>
      <c r="V55" s="7">
        <v>0</v>
      </c>
      <c r="W55" s="9">
        <f t="shared" si="17"/>
        <v>34.55000000000004</v>
      </c>
      <c r="X55" s="10">
        <f t="shared" si="12"/>
        <v>6</v>
      </c>
      <c r="Y55" s="12">
        <f t="shared" si="5"/>
        <v>263.42137278364589</v>
      </c>
      <c r="Z55" s="11">
        <f t="shared" si="6"/>
        <v>10.717423030770876</v>
      </c>
      <c r="AA55" s="6">
        <v>0</v>
      </c>
      <c r="AB55" s="6">
        <v>0</v>
      </c>
      <c r="AC55" s="6">
        <v>1</v>
      </c>
      <c r="AD55" s="7">
        <v>1</v>
      </c>
      <c r="AE55" s="9">
        <f t="shared" si="18"/>
        <v>32</v>
      </c>
      <c r="AF55" s="10">
        <f t="shared" si="13"/>
        <v>12</v>
      </c>
      <c r="AG55" s="12">
        <f t="shared" si="7"/>
        <v>248.77666943781944</v>
      </c>
      <c r="AH55" s="11">
        <f t="shared" si="8"/>
        <v>10.288378987436115</v>
      </c>
      <c r="AJ55" s="6">
        <f t="shared" si="14"/>
        <v>150</v>
      </c>
      <c r="AK55" s="4">
        <v>38</v>
      </c>
      <c r="AM55" s="2" t="str">
        <f t="shared" si="9"/>
        <v>6</v>
      </c>
      <c r="AN55" s="2" t="str">
        <f t="shared" si="15"/>
        <v>096</v>
      </c>
      <c r="AO55" s="2"/>
      <c r="AP55" s="2" t="str">
        <f t="shared" si="16"/>
        <v>6096</v>
      </c>
    </row>
    <row r="56" spans="1:42" x14ac:dyDescent="0.2">
      <c r="A56">
        <v>39</v>
      </c>
      <c r="B56">
        <v>3.8</v>
      </c>
      <c r="C56" s="6">
        <v>0</v>
      </c>
      <c r="D56" s="6">
        <v>1</v>
      </c>
      <c r="E56" s="6">
        <v>1</v>
      </c>
      <c r="F56" s="7">
        <v>0</v>
      </c>
      <c r="G56" s="9">
        <v>10</v>
      </c>
      <c r="H56" s="10">
        <f t="shared" si="10"/>
        <v>6</v>
      </c>
      <c r="I56" s="12">
        <f t="shared" si="1"/>
        <v>122.43020919931857</v>
      </c>
      <c r="J56" s="11">
        <f t="shared" si="2"/>
        <v>6.5868225351362861</v>
      </c>
      <c r="K56" s="6">
        <v>0</v>
      </c>
      <c r="L56" s="6">
        <v>0</v>
      </c>
      <c r="M56" s="6">
        <v>1</v>
      </c>
      <c r="N56" s="7">
        <v>0</v>
      </c>
      <c r="O56" s="9">
        <v>28</v>
      </c>
      <c r="P56" s="10">
        <f t="shared" si="11"/>
        <v>4</v>
      </c>
      <c r="Q56" s="12">
        <f t="shared" si="3"/>
        <v>225.804585758092</v>
      </c>
      <c r="R56" s="11">
        <f t="shared" si="4"/>
        <v>9.6153687233816001</v>
      </c>
      <c r="S56" s="6">
        <v>0</v>
      </c>
      <c r="T56" s="6">
        <v>1</v>
      </c>
      <c r="U56" s="6">
        <v>1</v>
      </c>
      <c r="V56" s="7">
        <v>0</v>
      </c>
      <c r="W56" s="9">
        <f t="shared" si="17"/>
        <v>30.700000000000038</v>
      </c>
      <c r="X56" s="10">
        <f t="shared" si="12"/>
        <v>6</v>
      </c>
      <c r="Y56" s="12">
        <f t="shared" si="5"/>
        <v>241.3107422419082</v>
      </c>
      <c r="Z56" s="11">
        <f t="shared" si="6"/>
        <v>10.069650651618405</v>
      </c>
      <c r="AA56" s="6">
        <v>0</v>
      </c>
      <c r="AB56" s="6">
        <v>0</v>
      </c>
      <c r="AC56" s="6">
        <v>1</v>
      </c>
      <c r="AD56" s="7">
        <v>1</v>
      </c>
      <c r="AE56" s="9">
        <f t="shared" si="18"/>
        <v>28</v>
      </c>
      <c r="AF56" s="10">
        <f t="shared" si="13"/>
        <v>12</v>
      </c>
      <c r="AG56" s="12">
        <f t="shared" si="7"/>
        <v>225.804585758092</v>
      </c>
      <c r="AH56" s="11">
        <f t="shared" si="8"/>
        <v>9.6153687233816001</v>
      </c>
      <c r="AJ56" s="6">
        <f t="shared" si="14"/>
        <v>100</v>
      </c>
      <c r="AK56" s="4">
        <v>39</v>
      </c>
      <c r="AM56" s="2" t="str">
        <f t="shared" si="9"/>
        <v>6</v>
      </c>
      <c r="AN56" s="2" t="str">
        <f t="shared" si="15"/>
        <v>064</v>
      </c>
      <c r="AO56" s="2"/>
      <c r="AP56" s="2" t="str">
        <f t="shared" si="16"/>
        <v>6064</v>
      </c>
    </row>
    <row r="57" spans="1:42" x14ac:dyDescent="0.2">
      <c r="A57">
        <v>40</v>
      </c>
      <c r="B57">
        <v>3.9</v>
      </c>
      <c r="C57" s="6">
        <v>0</v>
      </c>
      <c r="D57" s="6">
        <v>1</v>
      </c>
      <c r="E57" s="6">
        <v>1</v>
      </c>
      <c r="F57" s="7">
        <v>0</v>
      </c>
      <c r="G57" s="9">
        <v>5</v>
      </c>
      <c r="H57" s="10">
        <f t="shared" si="10"/>
        <v>6</v>
      </c>
      <c r="I57" s="12">
        <f t="shared" si="1"/>
        <v>93.715104599659284</v>
      </c>
      <c r="J57" s="11">
        <f t="shared" si="2"/>
        <v>5.7455597050681426</v>
      </c>
      <c r="K57" s="6">
        <v>0</v>
      </c>
      <c r="L57" s="6">
        <v>0</v>
      </c>
      <c r="M57" s="6">
        <v>1</v>
      </c>
      <c r="N57" s="7">
        <v>0</v>
      </c>
      <c r="O57" s="9">
        <v>24</v>
      </c>
      <c r="P57" s="10">
        <f t="shared" si="11"/>
        <v>4</v>
      </c>
      <c r="Q57" s="12">
        <f t="shared" si="3"/>
        <v>202.83250207836454</v>
      </c>
      <c r="R57" s="11">
        <f t="shared" si="4"/>
        <v>8.9423584593270853</v>
      </c>
      <c r="S57" s="6">
        <v>0</v>
      </c>
      <c r="T57" s="6">
        <v>1</v>
      </c>
      <c r="U57" s="6">
        <v>1</v>
      </c>
      <c r="V57" s="7">
        <v>0</v>
      </c>
      <c r="W57" s="9">
        <f t="shared" si="17"/>
        <v>26.850000000000037</v>
      </c>
      <c r="X57" s="10">
        <f t="shared" si="12"/>
        <v>6</v>
      </c>
      <c r="Y57" s="12">
        <f t="shared" si="5"/>
        <v>219.20011170017054</v>
      </c>
      <c r="Z57" s="11">
        <f t="shared" si="6"/>
        <v>9.4218782724659338</v>
      </c>
      <c r="AA57" s="6">
        <v>0</v>
      </c>
      <c r="AB57" s="6">
        <v>0</v>
      </c>
      <c r="AC57" s="6">
        <v>1</v>
      </c>
      <c r="AD57" s="7">
        <v>1</v>
      </c>
      <c r="AE57" s="9">
        <f t="shared" si="18"/>
        <v>24</v>
      </c>
      <c r="AF57" s="10">
        <f t="shared" si="13"/>
        <v>12</v>
      </c>
      <c r="AG57" s="12">
        <f t="shared" si="7"/>
        <v>202.83250207836454</v>
      </c>
      <c r="AH57" s="11">
        <f t="shared" si="8"/>
        <v>8.9423584593270853</v>
      </c>
      <c r="AJ57" s="6">
        <f t="shared" si="14"/>
        <v>50</v>
      </c>
      <c r="AK57" s="4">
        <v>40</v>
      </c>
      <c r="AM57" s="2" t="str">
        <f t="shared" si="9"/>
        <v>6</v>
      </c>
      <c r="AN57" s="2" t="str">
        <f t="shared" si="15"/>
        <v>032</v>
      </c>
      <c r="AO57" s="2"/>
      <c r="AP57" s="2" t="str">
        <f t="shared" si="16"/>
        <v>6032</v>
      </c>
    </row>
    <row r="58" spans="1:42" x14ac:dyDescent="0.2">
      <c r="A58">
        <v>41</v>
      </c>
      <c r="B58">
        <v>4</v>
      </c>
      <c r="C58" s="6">
        <v>0</v>
      </c>
      <c r="D58" s="6">
        <v>1</v>
      </c>
      <c r="E58" s="6">
        <v>1</v>
      </c>
      <c r="F58" s="7">
        <v>0</v>
      </c>
      <c r="G58" s="9">
        <v>0</v>
      </c>
      <c r="H58" s="10">
        <f t="shared" si="10"/>
        <v>6</v>
      </c>
      <c r="I58" s="12">
        <f t="shared" si="1"/>
        <v>65</v>
      </c>
      <c r="J58" s="11">
        <f t="shared" si="2"/>
        <v>4.904296875</v>
      </c>
      <c r="K58" s="6">
        <v>0</v>
      </c>
      <c r="L58" s="6">
        <v>0</v>
      </c>
      <c r="M58" s="6">
        <v>1</v>
      </c>
      <c r="N58" s="7">
        <v>0</v>
      </c>
      <c r="O58" s="9">
        <v>20</v>
      </c>
      <c r="P58" s="10">
        <f t="shared" si="11"/>
        <v>4</v>
      </c>
      <c r="Q58" s="12">
        <f t="shared" si="3"/>
        <v>179.86041839863714</v>
      </c>
      <c r="R58" s="11">
        <f t="shared" si="4"/>
        <v>8.2693481952725723</v>
      </c>
      <c r="S58" s="6">
        <v>0</v>
      </c>
      <c r="T58" s="6">
        <v>1</v>
      </c>
      <c r="U58" s="6">
        <v>1</v>
      </c>
      <c r="V58" s="7">
        <v>0</v>
      </c>
      <c r="W58" s="9">
        <f t="shared" si="17"/>
        <v>23.000000000000036</v>
      </c>
      <c r="X58" s="10">
        <f t="shared" si="12"/>
        <v>6</v>
      </c>
      <c r="Y58" s="12">
        <f t="shared" si="5"/>
        <v>197.0894811584329</v>
      </c>
      <c r="Z58" s="11">
        <f t="shared" si="6"/>
        <v>8.7741058933134646</v>
      </c>
      <c r="AA58" s="6">
        <v>0</v>
      </c>
      <c r="AB58" s="6">
        <v>0</v>
      </c>
      <c r="AC58" s="6">
        <v>1</v>
      </c>
      <c r="AD58" s="7">
        <v>1</v>
      </c>
      <c r="AE58" s="9">
        <f t="shared" si="18"/>
        <v>20</v>
      </c>
      <c r="AF58" s="10">
        <f t="shared" si="13"/>
        <v>12</v>
      </c>
      <c r="AG58" s="12">
        <f t="shared" si="7"/>
        <v>179.86041839863714</v>
      </c>
      <c r="AH58" s="11">
        <f t="shared" si="8"/>
        <v>8.2693481952725723</v>
      </c>
      <c r="AJ58" s="6">
        <f t="shared" si="14"/>
        <v>0</v>
      </c>
      <c r="AK58" s="4">
        <v>41</v>
      </c>
      <c r="AM58" s="2" t="str">
        <f t="shared" si="9"/>
        <v>6</v>
      </c>
      <c r="AN58" s="2" t="str">
        <f t="shared" si="15"/>
        <v>000</v>
      </c>
      <c r="AO58" s="2"/>
      <c r="AP58" s="2" t="str">
        <f t="shared" si="16"/>
        <v>6000</v>
      </c>
    </row>
    <row r="59" spans="1:42" x14ac:dyDescent="0.2">
      <c r="A59">
        <v>42</v>
      </c>
      <c r="B59">
        <v>4.0999999999999996</v>
      </c>
      <c r="C59" s="6">
        <v>0</v>
      </c>
      <c r="D59" s="6">
        <v>1</v>
      </c>
      <c r="E59" s="6">
        <v>1</v>
      </c>
      <c r="F59" s="7">
        <v>0</v>
      </c>
      <c r="G59" s="9">
        <v>0</v>
      </c>
      <c r="H59" s="10">
        <f t="shared" si="10"/>
        <v>6</v>
      </c>
      <c r="I59" s="12">
        <f t="shared" si="1"/>
        <v>65</v>
      </c>
      <c r="J59" s="11">
        <f t="shared" si="2"/>
        <v>4.904296875</v>
      </c>
      <c r="K59" s="6">
        <v>0</v>
      </c>
      <c r="L59" s="6">
        <v>0</v>
      </c>
      <c r="M59" s="6">
        <v>1</v>
      </c>
      <c r="N59" s="7">
        <v>0</v>
      </c>
      <c r="O59" s="9">
        <v>20</v>
      </c>
      <c r="P59" s="10">
        <f t="shared" si="11"/>
        <v>4</v>
      </c>
      <c r="Q59" s="12">
        <f t="shared" si="3"/>
        <v>179.86041839863714</v>
      </c>
      <c r="R59" s="11">
        <f t="shared" si="4"/>
        <v>8.2693481952725723</v>
      </c>
      <c r="S59" s="6">
        <v>0</v>
      </c>
      <c r="T59" s="6">
        <v>1</v>
      </c>
      <c r="U59" s="6">
        <v>1</v>
      </c>
      <c r="V59" s="7">
        <v>0</v>
      </c>
      <c r="W59" s="9">
        <v>23</v>
      </c>
      <c r="X59" s="10">
        <f t="shared" si="12"/>
        <v>6</v>
      </c>
      <c r="Y59" s="12">
        <f t="shared" si="5"/>
        <v>197.08948115843273</v>
      </c>
      <c r="Z59" s="11">
        <f t="shared" si="6"/>
        <v>8.7741058933134592</v>
      </c>
      <c r="AA59" s="6">
        <v>0</v>
      </c>
      <c r="AB59" s="6">
        <v>0</v>
      </c>
      <c r="AC59" s="6">
        <v>1</v>
      </c>
      <c r="AD59" s="7">
        <v>1</v>
      </c>
      <c r="AE59" s="9">
        <v>20</v>
      </c>
      <c r="AF59" s="10">
        <f t="shared" si="13"/>
        <v>12</v>
      </c>
      <c r="AG59" s="12">
        <f t="shared" si="7"/>
        <v>179.86041839863714</v>
      </c>
      <c r="AH59" s="11">
        <f t="shared" si="8"/>
        <v>8.2693481952725723</v>
      </c>
      <c r="AJ59" s="6">
        <f t="shared" si="14"/>
        <v>0</v>
      </c>
      <c r="AK59" s="4">
        <v>42</v>
      </c>
      <c r="AM59" s="2" t="str">
        <f t="shared" si="9"/>
        <v>6</v>
      </c>
      <c r="AN59" s="2" t="str">
        <f t="shared" si="15"/>
        <v>000</v>
      </c>
      <c r="AO59" s="2"/>
      <c r="AP59" s="2" t="str">
        <f t="shared" si="16"/>
        <v>6000</v>
      </c>
    </row>
    <row r="60" spans="1:42" x14ac:dyDescent="0.2">
      <c r="A60">
        <v>43</v>
      </c>
      <c r="B60">
        <v>4.2</v>
      </c>
      <c r="C60" s="6">
        <v>0</v>
      </c>
      <c r="D60" s="6">
        <v>1</v>
      </c>
      <c r="E60" s="6">
        <v>1</v>
      </c>
      <c r="F60" s="7">
        <v>0</v>
      </c>
      <c r="G60" s="9">
        <v>0</v>
      </c>
      <c r="H60" s="10">
        <f t="shared" si="10"/>
        <v>6</v>
      </c>
      <c r="I60" s="12">
        <f t="shared" si="1"/>
        <v>65</v>
      </c>
      <c r="J60" s="11">
        <f t="shared" si="2"/>
        <v>4.904296875</v>
      </c>
      <c r="K60" s="6">
        <v>0</v>
      </c>
      <c r="L60" s="6">
        <v>0</v>
      </c>
      <c r="M60" s="6">
        <v>1</v>
      </c>
      <c r="N60" s="7">
        <v>0</v>
      </c>
      <c r="O60" s="9">
        <v>20</v>
      </c>
      <c r="P60" s="10">
        <f t="shared" si="11"/>
        <v>4</v>
      </c>
      <c r="Q60" s="12">
        <f t="shared" si="3"/>
        <v>179.86041839863714</v>
      </c>
      <c r="R60" s="11">
        <f t="shared" si="4"/>
        <v>8.2693481952725723</v>
      </c>
      <c r="S60" s="6">
        <v>0</v>
      </c>
      <c r="T60" s="6">
        <v>1</v>
      </c>
      <c r="U60" s="6">
        <v>1</v>
      </c>
      <c r="V60" s="7">
        <v>0</v>
      </c>
      <c r="W60" s="9">
        <v>23</v>
      </c>
      <c r="X60" s="10">
        <f t="shared" si="12"/>
        <v>6</v>
      </c>
      <c r="Y60" s="12">
        <f t="shared" si="5"/>
        <v>197.08948115843273</v>
      </c>
      <c r="Z60" s="11">
        <f t="shared" si="6"/>
        <v>8.7741058933134592</v>
      </c>
      <c r="AA60" s="6">
        <v>0</v>
      </c>
      <c r="AB60" s="6">
        <v>0</v>
      </c>
      <c r="AC60" s="6">
        <v>1</v>
      </c>
      <c r="AD60" s="7">
        <v>1</v>
      </c>
      <c r="AE60" s="9">
        <v>20</v>
      </c>
      <c r="AF60" s="10">
        <f t="shared" si="13"/>
        <v>12</v>
      </c>
      <c r="AG60" s="12">
        <f t="shared" si="7"/>
        <v>179.86041839863714</v>
      </c>
      <c r="AH60" s="11">
        <f t="shared" si="8"/>
        <v>8.2693481952725723</v>
      </c>
      <c r="AJ60" s="6">
        <f t="shared" si="14"/>
        <v>0</v>
      </c>
      <c r="AK60" s="4">
        <v>43</v>
      </c>
      <c r="AM60" s="2" t="str">
        <f t="shared" si="9"/>
        <v>6</v>
      </c>
      <c r="AN60" s="2" t="str">
        <f t="shared" si="15"/>
        <v>000</v>
      </c>
      <c r="AO60" s="2"/>
      <c r="AP60" s="2" t="str">
        <f t="shared" si="16"/>
        <v>6000</v>
      </c>
    </row>
    <row r="61" spans="1:42" x14ac:dyDescent="0.2">
      <c r="A61">
        <v>44</v>
      </c>
      <c r="B61">
        <v>4.3</v>
      </c>
      <c r="C61" s="6">
        <v>0</v>
      </c>
      <c r="D61" s="6">
        <v>1</v>
      </c>
      <c r="E61" s="6">
        <v>1</v>
      </c>
      <c r="F61" s="7">
        <v>0</v>
      </c>
      <c r="G61" s="9">
        <v>0</v>
      </c>
      <c r="H61" s="10">
        <f t="shared" si="10"/>
        <v>6</v>
      </c>
      <c r="I61" s="12">
        <f t="shared" si="1"/>
        <v>65</v>
      </c>
      <c r="J61" s="11">
        <f t="shared" si="2"/>
        <v>4.904296875</v>
      </c>
      <c r="K61" s="6">
        <v>0</v>
      </c>
      <c r="L61" s="6">
        <v>0</v>
      </c>
      <c r="M61" s="6">
        <v>1</v>
      </c>
      <c r="N61" s="7">
        <v>0</v>
      </c>
      <c r="O61" s="9">
        <v>20</v>
      </c>
      <c r="P61" s="10">
        <f t="shared" si="11"/>
        <v>4</v>
      </c>
      <c r="Q61" s="12">
        <f t="shared" si="3"/>
        <v>179.86041839863714</v>
      </c>
      <c r="R61" s="11">
        <f t="shared" si="4"/>
        <v>8.2693481952725723</v>
      </c>
      <c r="S61" s="6">
        <v>0</v>
      </c>
      <c r="T61" s="6">
        <v>1</v>
      </c>
      <c r="U61" s="6">
        <v>1</v>
      </c>
      <c r="V61" s="7">
        <v>0</v>
      </c>
      <c r="W61" s="9">
        <v>23</v>
      </c>
      <c r="X61" s="10">
        <f t="shared" si="12"/>
        <v>6</v>
      </c>
      <c r="Y61" s="12">
        <f t="shared" si="5"/>
        <v>197.08948115843273</v>
      </c>
      <c r="Z61" s="11">
        <f t="shared" si="6"/>
        <v>8.7741058933134592</v>
      </c>
      <c r="AA61" s="6">
        <v>0</v>
      </c>
      <c r="AB61" s="6">
        <v>0</v>
      </c>
      <c r="AC61" s="6">
        <v>1</v>
      </c>
      <c r="AD61" s="7">
        <v>1</v>
      </c>
      <c r="AE61" s="9">
        <v>20</v>
      </c>
      <c r="AF61" s="10">
        <f t="shared" si="13"/>
        <v>12</v>
      </c>
      <c r="AG61" s="12">
        <f t="shared" si="7"/>
        <v>179.86041839863714</v>
      </c>
      <c r="AH61" s="11">
        <f t="shared" si="8"/>
        <v>8.2693481952725723</v>
      </c>
      <c r="AJ61" s="6">
        <f t="shared" si="14"/>
        <v>0</v>
      </c>
      <c r="AK61" s="4">
        <v>44</v>
      </c>
      <c r="AM61" s="2" t="str">
        <f t="shared" si="9"/>
        <v>6</v>
      </c>
      <c r="AN61" s="2" t="str">
        <f t="shared" si="15"/>
        <v>000</v>
      </c>
      <c r="AO61" s="2"/>
      <c r="AP61" s="2" t="str">
        <f t="shared" si="16"/>
        <v>6000</v>
      </c>
    </row>
    <row r="62" spans="1:42" x14ac:dyDescent="0.2">
      <c r="A62">
        <v>45</v>
      </c>
      <c r="B62">
        <v>4.4000000000000004</v>
      </c>
      <c r="C62" s="6">
        <v>0</v>
      </c>
      <c r="D62" s="6">
        <v>1</v>
      </c>
      <c r="E62" s="6">
        <v>1</v>
      </c>
      <c r="F62" s="7">
        <v>0</v>
      </c>
      <c r="G62" s="9">
        <v>0</v>
      </c>
      <c r="H62" s="10">
        <f t="shared" si="10"/>
        <v>6</v>
      </c>
      <c r="I62" s="12">
        <f t="shared" si="1"/>
        <v>65</v>
      </c>
      <c r="J62" s="11">
        <f t="shared" si="2"/>
        <v>4.904296875</v>
      </c>
      <c r="K62" s="6">
        <v>0</v>
      </c>
      <c r="L62" s="6">
        <v>0</v>
      </c>
      <c r="M62" s="6">
        <v>1</v>
      </c>
      <c r="N62" s="7">
        <v>0</v>
      </c>
      <c r="O62" s="9">
        <v>20</v>
      </c>
      <c r="P62" s="10">
        <f t="shared" si="11"/>
        <v>4</v>
      </c>
      <c r="Q62" s="12">
        <f t="shared" si="3"/>
        <v>179.86041839863714</v>
      </c>
      <c r="R62" s="11">
        <f t="shared" si="4"/>
        <v>8.2693481952725723</v>
      </c>
      <c r="S62" s="6">
        <v>0</v>
      </c>
      <c r="T62" s="6">
        <v>1</v>
      </c>
      <c r="U62" s="6">
        <v>1</v>
      </c>
      <c r="V62" s="7">
        <v>0</v>
      </c>
      <c r="W62" s="9">
        <v>23</v>
      </c>
      <c r="X62" s="10">
        <f t="shared" si="12"/>
        <v>6</v>
      </c>
      <c r="Y62" s="12">
        <f t="shared" si="5"/>
        <v>197.08948115843273</v>
      </c>
      <c r="Z62" s="11">
        <f t="shared" si="6"/>
        <v>8.7741058933134592</v>
      </c>
      <c r="AA62" s="6">
        <v>0</v>
      </c>
      <c r="AB62" s="6">
        <v>0</v>
      </c>
      <c r="AC62" s="6">
        <v>1</v>
      </c>
      <c r="AD62" s="7">
        <v>1</v>
      </c>
      <c r="AE62" s="9">
        <v>20</v>
      </c>
      <c r="AF62" s="10">
        <f t="shared" si="13"/>
        <v>12</v>
      </c>
      <c r="AG62" s="12">
        <f t="shared" si="7"/>
        <v>179.86041839863714</v>
      </c>
      <c r="AH62" s="11">
        <f t="shared" si="8"/>
        <v>8.2693481952725723</v>
      </c>
      <c r="AJ62" s="6">
        <f t="shared" si="14"/>
        <v>0</v>
      </c>
      <c r="AK62" s="4">
        <v>45</v>
      </c>
      <c r="AM62" s="2" t="str">
        <f t="shared" si="9"/>
        <v>6</v>
      </c>
      <c r="AN62" s="2" t="str">
        <f t="shared" si="15"/>
        <v>000</v>
      </c>
      <c r="AO62" s="2"/>
      <c r="AP62" s="2" t="str">
        <f t="shared" si="16"/>
        <v>6000</v>
      </c>
    </row>
    <row r="63" spans="1:42" x14ac:dyDescent="0.2">
      <c r="A63">
        <v>46</v>
      </c>
      <c r="B63">
        <v>4.5</v>
      </c>
      <c r="C63" s="6">
        <v>0</v>
      </c>
      <c r="D63" s="6">
        <v>1</v>
      </c>
      <c r="E63" s="6">
        <v>1</v>
      </c>
      <c r="F63" s="7">
        <v>0</v>
      </c>
      <c r="G63" s="9">
        <v>0</v>
      </c>
      <c r="H63" s="10">
        <f t="shared" si="10"/>
        <v>6</v>
      </c>
      <c r="I63" s="12">
        <f t="shared" si="1"/>
        <v>65</v>
      </c>
      <c r="J63" s="11">
        <f t="shared" si="2"/>
        <v>4.904296875</v>
      </c>
      <c r="K63" s="6">
        <v>0</v>
      </c>
      <c r="L63" s="6">
        <v>0</v>
      </c>
      <c r="M63" s="6">
        <v>1</v>
      </c>
      <c r="N63" s="7">
        <v>0</v>
      </c>
      <c r="O63" s="9">
        <v>20</v>
      </c>
      <c r="P63" s="10">
        <f t="shared" si="11"/>
        <v>4</v>
      </c>
      <c r="Q63" s="12">
        <f t="shared" si="3"/>
        <v>179.86041839863714</v>
      </c>
      <c r="R63" s="11">
        <f t="shared" si="4"/>
        <v>8.2693481952725723</v>
      </c>
      <c r="S63" s="6">
        <v>0</v>
      </c>
      <c r="T63" s="6">
        <v>1</v>
      </c>
      <c r="U63" s="6">
        <v>1</v>
      </c>
      <c r="V63" s="7">
        <v>0</v>
      </c>
      <c r="W63" s="9">
        <v>23</v>
      </c>
      <c r="X63" s="10">
        <f t="shared" si="12"/>
        <v>6</v>
      </c>
      <c r="Y63" s="12">
        <f t="shared" si="5"/>
        <v>197.08948115843273</v>
      </c>
      <c r="Z63" s="11">
        <f t="shared" si="6"/>
        <v>8.7741058933134592</v>
      </c>
      <c r="AA63" s="6">
        <v>0</v>
      </c>
      <c r="AB63" s="6">
        <v>0</v>
      </c>
      <c r="AC63" s="6">
        <v>1</v>
      </c>
      <c r="AD63" s="7">
        <v>1</v>
      </c>
      <c r="AE63" s="9">
        <v>20</v>
      </c>
      <c r="AF63" s="10">
        <f t="shared" si="13"/>
        <v>12</v>
      </c>
      <c r="AG63" s="12">
        <f t="shared" si="7"/>
        <v>179.86041839863714</v>
      </c>
      <c r="AH63" s="11">
        <f t="shared" si="8"/>
        <v>8.2693481952725723</v>
      </c>
      <c r="AJ63" s="6">
        <f t="shared" si="14"/>
        <v>0</v>
      </c>
      <c r="AK63" s="4">
        <v>46</v>
      </c>
      <c r="AM63" s="2" t="str">
        <f t="shared" si="9"/>
        <v>6</v>
      </c>
      <c r="AN63" s="2" t="str">
        <f t="shared" si="15"/>
        <v>000</v>
      </c>
      <c r="AO63" s="2"/>
      <c r="AP63" s="2" t="str">
        <f t="shared" si="16"/>
        <v>6000</v>
      </c>
    </row>
    <row r="64" spans="1:42" x14ac:dyDescent="0.2">
      <c r="A64">
        <v>47</v>
      </c>
      <c r="B64">
        <v>4.5999999999999996</v>
      </c>
      <c r="C64" s="6">
        <v>0</v>
      </c>
      <c r="D64" s="6">
        <v>1</v>
      </c>
      <c r="E64" s="6">
        <v>1</v>
      </c>
      <c r="F64" s="7">
        <v>0</v>
      </c>
      <c r="G64" s="9">
        <v>0</v>
      </c>
      <c r="H64" s="10">
        <f t="shared" si="10"/>
        <v>6</v>
      </c>
      <c r="I64" s="12">
        <f t="shared" si="1"/>
        <v>65</v>
      </c>
      <c r="J64" s="11">
        <f t="shared" si="2"/>
        <v>4.904296875</v>
      </c>
      <c r="K64" s="6">
        <v>0</v>
      </c>
      <c r="L64" s="6">
        <v>0</v>
      </c>
      <c r="M64" s="6">
        <v>1</v>
      </c>
      <c r="N64" s="7">
        <v>0</v>
      </c>
      <c r="O64" s="9">
        <v>20</v>
      </c>
      <c r="P64" s="10">
        <f t="shared" si="11"/>
        <v>4</v>
      </c>
      <c r="Q64" s="12">
        <f t="shared" si="3"/>
        <v>179.86041839863714</v>
      </c>
      <c r="R64" s="11">
        <f t="shared" si="4"/>
        <v>8.2693481952725723</v>
      </c>
      <c r="S64" s="6">
        <v>0</v>
      </c>
      <c r="T64" s="6">
        <v>1</v>
      </c>
      <c r="U64" s="6">
        <v>1</v>
      </c>
      <c r="V64" s="7">
        <v>0</v>
      </c>
      <c r="W64" s="9">
        <v>23</v>
      </c>
      <c r="X64" s="10">
        <f t="shared" si="12"/>
        <v>6</v>
      </c>
      <c r="Y64" s="12">
        <f t="shared" si="5"/>
        <v>197.08948115843273</v>
      </c>
      <c r="Z64" s="11">
        <f t="shared" si="6"/>
        <v>8.7741058933134592</v>
      </c>
      <c r="AA64" s="6">
        <v>0</v>
      </c>
      <c r="AB64" s="6">
        <v>0</v>
      </c>
      <c r="AC64" s="6">
        <v>1</v>
      </c>
      <c r="AD64" s="7">
        <v>1</v>
      </c>
      <c r="AE64" s="9">
        <v>20</v>
      </c>
      <c r="AF64" s="10">
        <f t="shared" si="13"/>
        <v>12</v>
      </c>
      <c r="AG64" s="12">
        <f t="shared" si="7"/>
        <v>179.86041839863714</v>
      </c>
      <c r="AH64" s="11">
        <f t="shared" si="8"/>
        <v>8.2693481952725723</v>
      </c>
      <c r="AJ64" s="6">
        <f t="shared" si="14"/>
        <v>0</v>
      </c>
      <c r="AK64" s="4">
        <v>47</v>
      </c>
      <c r="AM64" s="2" t="str">
        <f t="shared" si="9"/>
        <v>6</v>
      </c>
      <c r="AN64" s="2" t="str">
        <f t="shared" si="15"/>
        <v>000</v>
      </c>
      <c r="AO64" s="2"/>
      <c r="AP64" s="2" t="str">
        <f t="shared" si="16"/>
        <v>6000</v>
      </c>
    </row>
    <row r="65" spans="1:42" x14ac:dyDescent="0.2">
      <c r="A65">
        <v>48</v>
      </c>
      <c r="B65">
        <v>4.7</v>
      </c>
      <c r="C65" s="6">
        <v>0</v>
      </c>
      <c r="D65" s="6">
        <v>1</v>
      </c>
      <c r="E65" s="6">
        <v>1</v>
      </c>
      <c r="F65" s="7">
        <v>0</v>
      </c>
      <c r="G65" s="9">
        <v>0</v>
      </c>
      <c r="H65" s="10">
        <f t="shared" si="10"/>
        <v>6</v>
      </c>
      <c r="I65" s="12">
        <f t="shared" si="1"/>
        <v>65</v>
      </c>
      <c r="J65" s="11">
        <f t="shared" si="2"/>
        <v>4.904296875</v>
      </c>
      <c r="K65" s="6">
        <v>0</v>
      </c>
      <c r="L65" s="6">
        <v>0</v>
      </c>
      <c r="M65" s="6">
        <v>1</v>
      </c>
      <c r="N65" s="7">
        <v>0</v>
      </c>
      <c r="O65" s="9">
        <v>20</v>
      </c>
      <c r="P65" s="10">
        <f t="shared" si="11"/>
        <v>4</v>
      </c>
      <c r="Q65" s="12">
        <f t="shared" si="3"/>
        <v>179.86041839863714</v>
      </c>
      <c r="R65" s="11">
        <f t="shared" si="4"/>
        <v>8.2693481952725723</v>
      </c>
      <c r="S65" s="6">
        <v>0</v>
      </c>
      <c r="T65" s="6">
        <v>1</v>
      </c>
      <c r="U65" s="6">
        <v>1</v>
      </c>
      <c r="V65" s="7">
        <v>0</v>
      </c>
      <c r="W65" s="9">
        <v>23</v>
      </c>
      <c r="X65" s="10">
        <f t="shared" si="12"/>
        <v>6</v>
      </c>
      <c r="Y65" s="12">
        <f t="shared" si="5"/>
        <v>197.08948115843273</v>
      </c>
      <c r="Z65" s="11">
        <f t="shared" si="6"/>
        <v>8.7741058933134592</v>
      </c>
      <c r="AA65" s="6">
        <v>0</v>
      </c>
      <c r="AB65" s="6">
        <v>0</v>
      </c>
      <c r="AC65" s="6">
        <v>1</v>
      </c>
      <c r="AD65" s="7">
        <v>1</v>
      </c>
      <c r="AE65" s="9">
        <v>20</v>
      </c>
      <c r="AF65" s="10">
        <f t="shared" si="13"/>
        <v>12</v>
      </c>
      <c r="AG65" s="12">
        <f t="shared" si="7"/>
        <v>179.86041839863714</v>
      </c>
      <c r="AH65" s="11">
        <f t="shared" si="8"/>
        <v>8.2693481952725723</v>
      </c>
      <c r="AJ65" s="6">
        <f t="shared" si="14"/>
        <v>0</v>
      </c>
      <c r="AK65" s="4">
        <v>48</v>
      </c>
      <c r="AM65" s="2" t="str">
        <f t="shared" si="9"/>
        <v>6</v>
      </c>
      <c r="AN65" s="2" t="str">
        <f t="shared" si="15"/>
        <v>000</v>
      </c>
      <c r="AO65" s="2"/>
      <c r="AP65" s="2" t="str">
        <f t="shared" si="16"/>
        <v>6000</v>
      </c>
    </row>
    <row r="66" spans="1:42" x14ac:dyDescent="0.2">
      <c r="A66">
        <v>49</v>
      </c>
      <c r="B66">
        <v>4.8</v>
      </c>
      <c r="C66" s="6">
        <v>0</v>
      </c>
      <c r="D66" s="6">
        <v>1</v>
      </c>
      <c r="E66" s="6">
        <v>1</v>
      </c>
      <c r="F66" s="7">
        <v>0</v>
      </c>
      <c r="G66" s="9">
        <v>0</v>
      </c>
      <c r="H66" s="10">
        <f t="shared" si="10"/>
        <v>6</v>
      </c>
      <c r="I66" s="12">
        <f t="shared" si="1"/>
        <v>65</v>
      </c>
      <c r="J66" s="11">
        <f t="shared" si="2"/>
        <v>4.904296875</v>
      </c>
      <c r="K66" s="6">
        <v>0</v>
      </c>
      <c r="L66" s="6">
        <v>0</v>
      </c>
      <c r="M66" s="6">
        <v>1</v>
      </c>
      <c r="N66" s="7">
        <v>0</v>
      </c>
      <c r="O66" s="9">
        <v>20</v>
      </c>
      <c r="P66" s="10">
        <f t="shared" si="11"/>
        <v>4</v>
      </c>
      <c r="Q66" s="12">
        <f t="shared" si="3"/>
        <v>179.86041839863714</v>
      </c>
      <c r="R66" s="11">
        <f t="shared" si="4"/>
        <v>8.2693481952725723</v>
      </c>
      <c r="S66" s="6">
        <v>0</v>
      </c>
      <c r="T66" s="6">
        <v>1</v>
      </c>
      <c r="U66" s="6">
        <v>1</v>
      </c>
      <c r="V66" s="7">
        <v>0</v>
      </c>
      <c r="W66" s="9">
        <v>23</v>
      </c>
      <c r="X66" s="10">
        <f t="shared" si="12"/>
        <v>6</v>
      </c>
      <c r="Y66" s="12">
        <f t="shared" si="5"/>
        <v>197.08948115843273</v>
      </c>
      <c r="Z66" s="11">
        <f t="shared" si="6"/>
        <v>8.7741058933134592</v>
      </c>
      <c r="AA66" s="6">
        <v>0</v>
      </c>
      <c r="AB66" s="6">
        <v>0</v>
      </c>
      <c r="AC66" s="6">
        <v>1</v>
      </c>
      <c r="AD66" s="7">
        <v>1</v>
      </c>
      <c r="AE66" s="9">
        <v>20</v>
      </c>
      <c r="AF66" s="10">
        <f t="shared" si="13"/>
        <v>12</v>
      </c>
      <c r="AG66" s="12">
        <f t="shared" si="7"/>
        <v>179.86041839863714</v>
      </c>
      <c r="AH66" s="11">
        <f t="shared" si="8"/>
        <v>8.2693481952725723</v>
      </c>
      <c r="AJ66" s="6">
        <f t="shared" si="14"/>
        <v>0</v>
      </c>
      <c r="AK66" s="4">
        <v>49</v>
      </c>
      <c r="AM66" s="2" t="str">
        <f t="shared" si="9"/>
        <v>6</v>
      </c>
      <c r="AN66" s="2" t="str">
        <f t="shared" si="15"/>
        <v>000</v>
      </c>
      <c r="AO66" s="2"/>
      <c r="AP66" s="2" t="str">
        <f t="shared" si="16"/>
        <v>6000</v>
      </c>
    </row>
    <row r="67" spans="1:42" x14ac:dyDescent="0.2">
      <c r="A67">
        <v>50</v>
      </c>
      <c r="B67">
        <v>4.9000000000000004</v>
      </c>
      <c r="C67" s="6">
        <v>0</v>
      </c>
      <c r="D67" s="6">
        <v>1</v>
      </c>
      <c r="E67" s="6">
        <v>1</v>
      </c>
      <c r="F67" s="7">
        <v>0</v>
      </c>
      <c r="G67" s="9">
        <v>0</v>
      </c>
      <c r="H67" s="10">
        <f t="shared" si="10"/>
        <v>6</v>
      </c>
      <c r="I67" s="12">
        <f t="shared" si="1"/>
        <v>65</v>
      </c>
      <c r="J67" s="11">
        <f t="shared" si="2"/>
        <v>4.904296875</v>
      </c>
      <c r="K67" s="6">
        <v>0</v>
      </c>
      <c r="L67" s="6">
        <v>0</v>
      </c>
      <c r="M67" s="6">
        <v>1</v>
      </c>
      <c r="N67" s="7">
        <v>0</v>
      </c>
      <c r="O67" s="9">
        <v>20</v>
      </c>
      <c r="P67" s="10">
        <f t="shared" si="11"/>
        <v>4</v>
      </c>
      <c r="Q67" s="12">
        <f t="shared" si="3"/>
        <v>179.86041839863714</v>
      </c>
      <c r="R67" s="11">
        <f t="shared" si="4"/>
        <v>8.2693481952725723</v>
      </c>
      <c r="S67" s="6">
        <v>0</v>
      </c>
      <c r="T67" s="6">
        <v>1</v>
      </c>
      <c r="U67" s="6">
        <v>1</v>
      </c>
      <c r="V67" s="7">
        <v>0</v>
      </c>
      <c r="W67" s="9">
        <v>23</v>
      </c>
      <c r="X67" s="10">
        <f t="shared" si="12"/>
        <v>6</v>
      </c>
      <c r="Y67" s="12">
        <f t="shared" si="5"/>
        <v>197.08948115843273</v>
      </c>
      <c r="Z67" s="11">
        <f t="shared" si="6"/>
        <v>8.7741058933134592</v>
      </c>
      <c r="AA67" s="6">
        <v>0</v>
      </c>
      <c r="AB67" s="6">
        <v>0</v>
      </c>
      <c r="AC67" s="6">
        <v>1</v>
      </c>
      <c r="AD67" s="7">
        <v>1</v>
      </c>
      <c r="AE67" s="9">
        <v>20</v>
      </c>
      <c r="AF67" s="10">
        <f t="shared" si="13"/>
        <v>12</v>
      </c>
      <c r="AG67" s="12">
        <f t="shared" si="7"/>
        <v>179.86041839863714</v>
      </c>
      <c r="AH67" s="11">
        <f t="shared" si="8"/>
        <v>8.2693481952725723</v>
      </c>
      <c r="AJ67" s="6">
        <f t="shared" si="14"/>
        <v>0</v>
      </c>
      <c r="AK67" s="4">
        <v>50</v>
      </c>
      <c r="AM67" s="2" t="str">
        <f t="shared" si="9"/>
        <v>6</v>
      </c>
      <c r="AN67" s="2" t="str">
        <f t="shared" si="15"/>
        <v>000</v>
      </c>
      <c r="AO67" s="2"/>
      <c r="AP67" s="2" t="str">
        <f t="shared" si="16"/>
        <v>6000</v>
      </c>
    </row>
    <row r="68" spans="1:42" x14ac:dyDescent="0.2">
      <c r="A68">
        <v>51</v>
      </c>
      <c r="B68">
        <v>5</v>
      </c>
      <c r="C68" s="6">
        <v>0</v>
      </c>
      <c r="D68" s="6">
        <v>1</v>
      </c>
      <c r="E68" s="6">
        <v>1</v>
      </c>
      <c r="F68" s="7">
        <v>0</v>
      </c>
      <c r="G68" s="9">
        <v>0</v>
      </c>
      <c r="H68" s="10">
        <f t="shared" si="10"/>
        <v>6</v>
      </c>
      <c r="I68" s="12">
        <f t="shared" si="1"/>
        <v>65</v>
      </c>
      <c r="J68" s="11">
        <f t="shared" si="2"/>
        <v>4.904296875</v>
      </c>
      <c r="K68" s="6">
        <v>0</v>
      </c>
      <c r="L68" s="6">
        <v>0</v>
      </c>
      <c r="M68" s="6">
        <v>1</v>
      </c>
      <c r="N68" s="7">
        <v>0</v>
      </c>
      <c r="O68" s="9">
        <v>20</v>
      </c>
      <c r="P68" s="10">
        <f t="shared" si="11"/>
        <v>4</v>
      </c>
      <c r="Q68" s="12">
        <f t="shared" si="3"/>
        <v>179.86041839863714</v>
      </c>
      <c r="R68" s="11">
        <f t="shared" si="4"/>
        <v>8.2693481952725723</v>
      </c>
      <c r="S68" s="6">
        <v>0</v>
      </c>
      <c r="T68" s="6">
        <v>1</v>
      </c>
      <c r="U68" s="6">
        <v>1</v>
      </c>
      <c r="V68" s="7">
        <v>0</v>
      </c>
      <c r="W68" s="9">
        <v>23</v>
      </c>
      <c r="X68" s="10">
        <f t="shared" si="12"/>
        <v>6</v>
      </c>
      <c r="Y68" s="12">
        <f t="shared" si="5"/>
        <v>197.08948115843273</v>
      </c>
      <c r="Z68" s="11">
        <f t="shared" si="6"/>
        <v>8.7741058933134592</v>
      </c>
      <c r="AA68" s="6">
        <v>0</v>
      </c>
      <c r="AB68" s="6">
        <v>0</v>
      </c>
      <c r="AC68" s="6">
        <v>1</v>
      </c>
      <c r="AD68" s="7">
        <v>1</v>
      </c>
      <c r="AE68" s="9">
        <v>20</v>
      </c>
      <c r="AF68" s="10">
        <f t="shared" si="13"/>
        <v>12</v>
      </c>
      <c r="AG68" s="12">
        <f t="shared" si="7"/>
        <v>179.86041839863714</v>
      </c>
      <c r="AH68" s="11">
        <f t="shared" si="8"/>
        <v>8.2693481952725723</v>
      </c>
      <c r="AJ68" s="6">
        <f t="shared" si="14"/>
        <v>0</v>
      </c>
      <c r="AK68" s="4">
        <v>51</v>
      </c>
      <c r="AM68" s="2" t="str">
        <f t="shared" si="9"/>
        <v>6</v>
      </c>
      <c r="AN68" s="2" t="str">
        <f t="shared" si="15"/>
        <v>000</v>
      </c>
      <c r="AO68" s="2"/>
      <c r="AP68" s="2" t="str">
        <f t="shared" si="16"/>
        <v>6000</v>
      </c>
    </row>
    <row r="69" spans="1:42" x14ac:dyDescent="0.2">
      <c r="A69">
        <v>52</v>
      </c>
      <c r="B69">
        <v>5.0999999999999996</v>
      </c>
      <c r="C69" s="6">
        <v>0</v>
      </c>
      <c r="D69" s="6">
        <v>1</v>
      </c>
      <c r="E69" s="6">
        <v>1</v>
      </c>
      <c r="F69" s="7">
        <v>0</v>
      </c>
      <c r="G69" s="9">
        <v>0</v>
      </c>
      <c r="H69" s="10">
        <f t="shared" si="10"/>
        <v>6</v>
      </c>
      <c r="I69" s="12">
        <f t="shared" si="1"/>
        <v>65</v>
      </c>
      <c r="J69" s="11">
        <f t="shared" si="2"/>
        <v>4.904296875</v>
      </c>
      <c r="K69" s="6">
        <v>0</v>
      </c>
      <c r="L69" s="6">
        <v>0</v>
      </c>
      <c r="M69" s="6">
        <v>1</v>
      </c>
      <c r="N69" s="7">
        <v>0</v>
      </c>
      <c r="O69" s="9">
        <v>20</v>
      </c>
      <c r="P69" s="10">
        <f t="shared" si="11"/>
        <v>4</v>
      </c>
      <c r="Q69" s="12">
        <f t="shared" si="3"/>
        <v>179.86041839863714</v>
      </c>
      <c r="R69" s="11">
        <f t="shared" si="4"/>
        <v>8.2693481952725723</v>
      </c>
      <c r="S69" s="6">
        <v>0</v>
      </c>
      <c r="T69" s="6">
        <v>1</v>
      </c>
      <c r="U69" s="6">
        <v>1</v>
      </c>
      <c r="V69" s="7">
        <v>0</v>
      </c>
      <c r="W69" s="9">
        <v>23</v>
      </c>
      <c r="X69" s="10">
        <f t="shared" si="12"/>
        <v>6</v>
      </c>
      <c r="Y69" s="12">
        <f t="shared" si="5"/>
        <v>197.08948115843273</v>
      </c>
      <c r="Z69" s="11">
        <f t="shared" si="6"/>
        <v>8.7741058933134592</v>
      </c>
      <c r="AA69" s="6">
        <v>0</v>
      </c>
      <c r="AB69" s="6">
        <v>0</v>
      </c>
      <c r="AC69" s="6">
        <v>1</v>
      </c>
      <c r="AD69" s="7">
        <v>1</v>
      </c>
      <c r="AE69" s="9">
        <v>20</v>
      </c>
      <c r="AF69" s="10">
        <f t="shared" si="13"/>
        <v>12</v>
      </c>
      <c r="AG69" s="12">
        <f t="shared" si="7"/>
        <v>179.86041839863714</v>
      </c>
      <c r="AH69" s="11">
        <f t="shared" si="8"/>
        <v>8.2693481952725723</v>
      </c>
      <c r="AJ69" s="6">
        <f t="shared" si="14"/>
        <v>0</v>
      </c>
      <c r="AK69" s="4">
        <v>52</v>
      </c>
      <c r="AM69" s="2" t="str">
        <f t="shared" si="9"/>
        <v>6</v>
      </c>
      <c r="AN69" s="2" t="str">
        <f t="shared" si="15"/>
        <v>000</v>
      </c>
      <c r="AO69" s="2"/>
      <c r="AP69" s="2" t="str">
        <f t="shared" si="16"/>
        <v>6000</v>
      </c>
    </row>
    <row r="70" spans="1:42" x14ac:dyDescent="0.2">
      <c r="A70">
        <v>53</v>
      </c>
      <c r="B70">
        <v>5.2</v>
      </c>
      <c r="C70" s="6">
        <v>0</v>
      </c>
      <c r="D70" s="6">
        <v>1</v>
      </c>
      <c r="E70" s="6">
        <v>1</v>
      </c>
      <c r="F70" s="7">
        <v>0</v>
      </c>
      <c r="G70" s="9">
        <v>0</v>
      </c>
      <c r="H70" s="10">
        <f t="shared" si="10"/>
        <v>6</v>
      </c>
      <c r="I70" s="12">
        <f t="shared" si="1"/>
        <v>65</v>
      </c>
      <c r="J70" s="11">
        <f t="shared" si="2"/>
        <v>4.904296875</v>
      </c>
      <c r="K70" s="6">
        <v>0</v>
      </c>
      <c r="L70" s="6">
        <v>0</v>
      </c>
      <c r="M70" s="6">
        <v>1</v>
      </c>
      <c r="N70" s="7">
        <v>0</v>
      </c>
      <c r="O70" s="9">
        <v>20</v>
      </c>
      <c r="P70" s="10">
        <f t="shared" si="11"/>
        <v>4</v>
      </c>
      <c r="Q70" s="12">
        <f t="shared" si="3"/>
        <v>179.86041839863714</v>
      </c>
      <c r="R70" s="11">
        <f t="shared" si="4"/>
        <v>8.2693481952725723</v>
      </c>
      <c r="S70" s="6">
        <v>0</v>
      </c>
      <c r="T70" s="6">
        <v>1</v>
      </c>
      <c r="U70" s="6">
        <v>1</v>
      </c>
      <c r="V70" s="7">
        <v>0</v>
      </c>
      <c r="W70" s="9">
        <v>23</v>
      </c>
      <c r="X70" s="10">
        <f t="shared" si="12"/>
        <v>6</v>
      </c>
      <c r="Y70" s="12">
        <f t="shared" si="5"/>
        <v>197.08948115843273</v>
      </c>
      <c r="Z70" s="11">
        <f t="shared" si="6"/>
        <v>8.7741058933134592</v>
      </c>
      <c r="AA70" s="6">
        <v>0</v>
      </c>
      <c r="AB70" s="6">
        <v>0</v>
      </c>
      <c r="AC70" s="6">
        <v>1</v>
      </c>
      <c r="AD70" s="7">
        <v>1</v>
      </c>
      <c r="AE70" s="9">
        <v>20</v>
      </c>
      <c r="AF70" s="10">
        <f t="shared" si="13"/>
        <v>12</v>
      </c>
      <c r="AG70" s="12">
        <f t="shared" si="7"/>
        <v>179.86041839863714</v>
      </c>
      <c r="AH70" s="11">
        <f t="shared" si="8"/>
        <v>8.2693481952725723</v>
      </c>
      <c r="AJ70" s="6">
        <f t="shared" si="14"/>
        <v>0</v>
      </c>
      <c r="AK70" s="4">
        <v>53</v>
      </c>
      <c r="AM70" s="2" t="str">
        <f t="shared" si="9"/>
        <v>6</v>
      </c>
      <c r="AN70" s="2" t="str">
        <f t="shared" si="15"/>
        <v>000</v>
      </c>
      <c r="AO70" s="2"/>
      <c r="AP70" s="2" t="str">
        <f t="shared" si="16"/>
        <v>6000</v>
      </c>
    </row>
    <row r="71" spans="1:42" x14ac:dyDescent="0.2">
      <c r="A71">
        <v>54</v>
      </c>
      <c r="B71">
        <v>5.3</v>
      </c>
      <c r="C71" s="6">
        <v>0</v>
      </c>
      <c r="D71" s="6">
        <v>1</v>
      </c>
      <c r="E71" s="6">
        <v>1</v>
      </c>
      <c r="F71" s="7">
        <v>0</v>
      </c>
      <c r="G71" s="9">
        <v>0</v>
      </c>
      <c r="H71" s="10">
        <f t="shared" si="10"/>
        <v>6</v>
      </c>
      <c r="I71" s="12">
        <f t="shared" si="1"/>
        <v>65</v>
      </c>
      <c r="J71" s="11">
        <f t="shared" si="2"/>
        <v>4.904296875</v>
      </c>
      <c r="K71" s="6">
        <v>0</v>
      </c>
      <c r="L71" s="6">
        <v>0</v>
      </c>
      <c r="M71" s="6">
        <v>1</v>
      </c>
      <c r="N71" s="7">
        <v>0</v>
      </c>
      <c r="O71" s="9">
        <v>20</v>
      </c>
      <c r="P71" s="10">
        <f t="shared" si="11"/>
        <v>4</v>
      </c>
      <c r="Q71" s="12">
        <f t="shared" si="3"/>
        <v>179.86041839863714</v>
      </c>
      <c r="R71" s="11">
        <f t="shared" si="4"/>
        <v>8.2693481952725723</v>
      </c>
      <c r="S71" s="6">
        <v>0</v>
      </c>
      <c r="T71" s="6">
        <v>1</v>
      </c>
      <c r="U71" s="6">
        <v>1</v>
      </c>
      <c r="V71" s="7">
        <v>0</v>
      </c>
      <c r="W71" s="9">
        <v>23</v>
      </c>
      <c r="X71" s="10">
        <f t="shared" si="12"/>
        <v>6</v>
      </c>
      <c r="Y71" s="12">
        <f t="shared" si="5"/>
        <v>197.08948115843273</v>
      </c>
      <c r="Z71" s="11">
        <f t="shared" si="6"/>
        <v>8.7741058933134592</v>
      </c>
      <c r="AA71" s="6">
        <v>0</v>
      </c>
      <c r="AB71" s="6">
        <v>0</v>
      </c>
      <c r="AC71" s="6">
        <v>1</v>
      </c>
      <c r="AD71" s="7">
        <v>1</v>
      </c>
      <c r="AE71" s="9">
        <v>20</v>
      </c>
      <c r="AF71" s="10">
        <f t="shared" si="13"/>
        <v>12</v>
      </c>
      <c r="AG71" s="12">
        <f t="shared" si="7"/>
        <v>179.86041839863714</v>
      </c>
      <c r="AH71" s="11">
        <f t="shared" si="8"/>
        <v>8.2693481952725723</v>
      </c>
      <c r="AJ71" s="6">
        <f t="shared" si="14"/>
        <v>0</v>
      </c>
      <c r="AK71" s="4">
        <v>54</v>
      </c>
      <c r="AM71" s="2" t="str">
        <f t="shared" si="9"/>
        <v>6</v>
      </c>
      <c r="AN71" s="2" t="str">
        <f t="shared" si="15"/>
        <v>000</v>
      </c>
      <c r="AO71" s="2"/>
      <c r="AP71" s="2" t="str">
        <f t="shared" si="16"/>
        <v>6000</v>
      </c>
    </row>
    <row r="72" spans="1:42" x14ac:dyDescent="0.2">
      <c r="A72">
        <v>55</v>
      </c>
      <c r="B72">
        <v>5.4</v>
      </c>
      <c r="C72" s="6">
        <v>0</v>
      </c>
      <c r="D72" s="6">
        <v>1</v>
      </c>
      <c r="E72" s="6">
        <v>1</v>
      </c>
      <c r="F72" s="7">
        <v>0</v>
      </c>
      <c r="G72" s="9">
        <v>0</v>
      </c>
      <c r="H72" s="10">
        <f t="shared" si="10"/>
        <v>6</v>
      </c>
      <c r="I72" s="12">
        <f t="shared" si="1"/>
        <v>65</v>
      </c>
      <c r="J72" s="11">
        <f t="shared" si="2"/>
        <v>4.904296875</v>
      </c>
      <c r="K72" s="6">
        <v>0</v>
      </c>
      <c r="L72" s="6">
        <v>0</v>
      </c>
      <c r="M72" s="6">
        <v>1</v>
      </c>
      <c r="N72" s="7">
        <v>0</v>
      </c>
      <c r="O72" s="9">
        <v>20</v>
      </c>
      <c r="P72" s="10">
        <f t="shared" si="11"/>
        <v>4</v>
      </c>
      <c r="Q72" s="12">
        <f t="shared" si="3"/>
        <v>179.86041839863714</v>
      </c>
      <c r="R72" s="11">
        <f t="shared" si="4"/>
        <v>8.2693481952725723</v>
      </c>
      <c r="S72" s="6">
        <v>0</v>
      </c>
      <c r="T72" s="6">
        <v>1</v>
      </c>
      <c r="U72" s="6">
        <v>1</v>
      </c>
      <c r="V72" s="7">
        <v>0</v>
      </c>
      <c r="W72" s="9">
        <v>23</v>
      </c>
      <c r="X72" s="10">
        <f t="shared" si="12"/>
        <v>6</v>
      </c>
      <c r="Y72" s="12">
        <f t="shared" si="5"/>
        <v>197.08948115843273</v>
      </c>
      <c r="Z72" s="11">
        <f t="shared" si="6"/>
        <v>8.7741058933134592</v>
      </c>
      <c r="AA72" s="6">
        <v>0</v>
      </c>
      <c r="AB72" s="6">
        <v>0</v>
      </c>
      <c r="AC72" s="6">
        <v>1</v>
      </c>
      <c r="AD72" s="7">
        <v>1</v>
      </c>
      <c r="AE72" s="9">
        <v>20</v>
      </c>
      <c r="AF72" s="10">
        <f t="shared" si="13"/>
        <v>12</v>
      </c>
      <c r="AG72" s="12">
        <f t="shared" si="7"/>
        <v>179.86041839863714</v>
      </c>
      <c r="AH72" s="11">
        <f t="shared" si="8"/>
        <v>8.2693481952725723</v>
      </c>
      <c r="AJ72" s="6">
        <f t="shared" si="14"/>
        <v>0</v>
      </c>
      <c r="AK72" s="4">
        <v>55</v>
      </c>
      <c r="AM72" s="2" t="str">
        <f t="shared" si="9"/>
        <v>6</v>
      </c>
      <c r="AN72" s="2" t="str">
        <f t="shared" si="15"/>
        <v>000</v>
      </c>
      <c r="AO72" s="2"/>
      <c r="AP72" s="2" t="str">
        <f t="shared" si="16"/>
        <v>6000</v>
      </c>
    </row>
    <row r="73" spans="1:42" x14ac:dyDescent="0.2">
      <c r="A73">
        <v>56</v>
      </c>
      <c r="B73">
        <v>5.5</v>
      </c>
      <c r="C73" s="6">
        <v>0</v>
      </c>
      <c r="D73" s="6">
        <v>1</v>
      </c>
      <c r="E73" s="6">
        <v>1</v>
      </c>
      <c r="F73" s="7">
        <v>0</v>
      </c>
      <c r="G73" s="9">
        <v>0</v>
      </c>
      <c r="H73" s="10">
        <f t="shared" si="10"/>
        <v>6</v>
      </c>
      <c r="I73" s="12">
        <f t="shared" si="1"/>
        <v>65</v>
      </c>
      <c r="J73" s="11">
        <f t="shared" si="2"/>
        <v>4.904296875</v>
      </c>
      <c r="K73" s="6">
        <v>0</v>
      </c>
      <c r="L73" s="6">
        <v>0</v>
      </c>
      <c r="M73" s="6">
        <v>1</v>
      </c>
      <c r="N73" s="7">
        <v>0</v>
      </c>
      <c r="O73" s="9">
        <v>20</v>
      </c>
      <c r="P73" s="10">
        <f t="shared" si="11"/>
        <v>4</v>
      </c>
      <c r="Q73" s="12">
        <f t="shared" si="3"/>
        <v>179.86041839863714</v>
      </c>
      <c r="R73" s="11">
        <f t="shared" si="4"/>
        <v>8.2693481952725723</v>
      </c>
      <c r="S73" s="6">
        <v>0</v>
      </c>
      <c r="T73" s="6">
        <v>1</v>
      </c>
      <c r="U73" s="6">
        <v>1</v>
      </c>
      <c r="V73" s="7">
        <v>0</v>
      </c>
      <c r="W73" s="9">
        <v>23</v>
      </c>
      <c r="X73" s="10">
        <f t="shared" si="12"/>
        <v>6</v>
      </c>
      <c r="Y73" s="12">
        <f t="shared" si="5"/>
        <v>197.08948115843273</v>
      </c>
      <c r="Z73" s="11">
        <f t="shared" si="6"/>
        <v>8.7741058933134592</v>
      </c>
      <c r="AA73" s="6">
        <v>0</v>
      </c>
      <c r="AB73" s="6">
        <v>0</v>
      </c>
      <c r="AC73" s="6">
        <v>1</v>
      </c>
      <c r="AD73" s="7">
        <v>1</v>
      </c>
      <c r="AE73" s="9">
        <v>20</v>
      </c>
      <c r="AF73" s="10">
        <f t="shared" si="13"/>
        <v>12</v>
      </c>
      <c r="AG73" s="12">
        <f t="shared" si="7"/>
        <v>179.86041839863714</v>
      </c>
      <c r="AH73" s="11">
        <f t="shared" si="8"/>
        <v>8.2693481952725723</v>
      </c>
      <c r="AJ73" s="6">
        <f t="shared" si="14"/>
        <v>0</v>
      </c>
      <c r="AK73" s="4">
        <v>56</v>
      </c>
      <c r="AM73" s="2" t="str">
        <f t="shared" si="9"/>
        <v>6</v>
      </c>
      <c r="AN73" s="2" t="str">
        <f t="shared" si="15"/>
        <v>000</v>
      </c>
      <c r="AO73" s="2"/>
      <c r="AP73" s="2" t="str">
        <f t="shared" si="16"/>
        <v>6000</v>
      </c>
    </row>
    <row r="74" spans="1:42" x14ac:dyDescent="0.2">
      <c r="A74">
        <v>57</v>
      </c>
      <c r="B74">
        <v>5.6</v>
      </c>
      <c r="C74" s="6">
        <v>0</v>
      </c>
      <c r="D74" s="6">
        <v>1</v>
      </c>
      <c r="E74" s="6">
        <v>1</v>
      </c>
      <c r="F74" s="7">
        <v>0</v>
      </c>
      <c r="G74" s="9">
        <v>0</v>
      </c>
      <c r="H74" s="10">
        <f t="shared" si="10"/>
        <v>6</v>
      </c>
      <c r="I74" s="12">
        <f t="shared" si="1"/>
        <v>65</v>
      </c>
      <c r="J74" s="11">
        <f t="shared" si="2"/>
        <v>4.904296875</v>
      </c>
      <c r="K74" s="6">
        <v>0</v>
      </c>
      <c r="L74" s="6">
        <v>0</v>
      </c>
      <c r="M74" s="6">
        <v>1</v>
      </c>
      <c r="N74" s="7">
        <v>0</v>
      </c>
      <c r="O74" s="9">
        <v>20</v>
      </c>
      <c r="P74" s="10">
        <f t="shared" si="11"/>
        <v>4</v>
      </c>
      <c r="Q74" s="12">
        <f t="shared" si="3"/>
        <v>179.86041839863714</v>
      </c>
      <c r="R74" s="11">
        <f t="shared" si="4"/>
        <v>8.2693481952725723</v>
      </c>
      <c r="S74" s="6">
        <v>0</v>
      </c>
      <c r="T74" s="6">
        <v>1</v>
      </c>
      <c r="U74" s="6">
        <v>1</v>
      </c>
      <c r="V74" s="7">
        <v>0</v>
      </c>
      <c r="W74" s="9">
        <v>23</v>
      </c>
      <c r="X74" s="10">
        <f t="shared" si="12"/>
        <v>6</v>
      </c>
      <c r="Y74" s="12">
        <f t="shared" si="5"/>
        <v>197.08948115843273</v>
      </c>
      <c r="Z74" s="11">
        <f t="shared" si="6"/>
        <v>8.7741058933134592</v>
      </c>
      <c r="AA74" s="6">
        <v>0</v>
      </c>
      <c r="AB74" s="6">
        <v>0</v>
      </c>
      <c r="AC74" s="6">
        <v>1</v>
      </c>
      <c r="AD74" s="7">
        <v>1</v>
      </c>
      <c r="AE74" s="9">
        <v>20</v>
      </c>
      <c r="AF74" s="10">
        <f t="shared" si="13"/>
        <v>12</v>
      </c>
      <c r="AG74" s="12">
        <f t="shared" si="7"/>
        <v>179.86041839863714</v>
      </c>
      <c r="AH74" s="11">
        <f t="shared" si="8"/>
        <v>8.2693481952725723</v>
      </c>
      <c r="AJ74" s="6">
        <f t="shared" si="14"/>
        <v>0</v>
      </c>
      <c r="AK74" s="4">
        <v>57</v>
      </c>
      <c r="AM74" s="2" t="str">
        <f t="shared" si="9"/>
        <v>6</v>
      </c>
      <c r="AN74" s="2" t="str">
        <f t="shared" si="15"/>
        <v>000</v>
      </c>
      <c r="AO74" s="2"/>
      <c r="AP74" s="2" t="str">
        <f t="shared" si="16"/>
        <v>6000</v>
      </c>
    </row>
    <row r="75" spans="1:42" x14ac:dyDescent="0.2">
      <c r="A75">
        <v>58</v>
      </c>
      <c r="B75">
        <v>5.7</v>
      </c>
      <c r="C75" s="6">
        <v>0</v>
      </c>
      <c r="D75" s="6">
        <v>1</v>
      </c>
      <c r="E75" s="6">
        <v>1</v>
      </c>
      <c r="F75" s="7">
        <v>0</v>
      </c>
      <c r="G75" s="9">
        <v>0</v>
      </c>
      <c r="H75" s="10">
        <f t="shared" si="10"/>
        <v>6</v>
      </c>
      <c r="I75" s="12">
        <f t="shared" si="1"/>
        <v>65</v>
      </c>
      <c r="J75" s="11">
        <f t="shared" si="2"/>
        <v>4.904296875</v>
      </c>
      <c r="K75" s="6">
        <v>0</v>
      </c>
      <c r="L75" s="6">
        <v>0</v>
      </c>
      <c r="M75" s="6">
        <v>1</v>
      </c>
      <c r="N75" s="7">
        <v>0</v>
      </c>
      <c r="O75" s="9">
        <v>20</v>
      </c>
      <c r="P75" s="10">
        <f t="shared" si="11"/>
        <v>4</v>
      </c>
      <c r="Q75" s="12">
        <f t="shared" si="3"/>
        <v>179.86041839863714</v>
      </c>
      <c r="R75" s="11">
        <f t="shared" si="4"/>
        <v>8.2693481952725723</v>
      </c>
      <c r="S75" s="6">
        <v>0</v>
      </c>
      <c r="T75" s="6">
        <v>1</v>
      </c>
      <c r="U75" s="6">
        <v>1</v>
      </c>
      <c r="V75" s="7">
        <v>0</v>
      </c>
      <c r="W75" s="9">
        <v>23</v>
      </c>
      <c r="X75" s="10">
        <f t="shared" si="12"/>
        <v>6</v>
      </c>
      <c r="Y75" s="12">
        <f t="shared" si="5"/>
        <v>197.08948115843273</v>
      </c>
      <c r="Z75" s="11">
        <f t="shared" si="6"/>
        <v>8.7741058933134592</v>
      </c>
      <c r="AA75" s="6">
        <v>0</v>
      </c>
      <c r="AB75" s="6">
        <v>0</v>
      </c>
      <c r="AC75" s="6">
        <v>1</v>
      </c>
      <c r="AD75" s="7">
        <v>1</v>
      </c>
      <c r="AE75" s="9">
        <v>20</v>
      </c>
      <c r="AF75" s="10">
        <f t="shared" si="13"/>
        <v>12</v>
      </c>
      <c r="AG75" s="12">
        <f t="shared" si="7"/>
        <v>179.86041839863714</v>
      </c>
      <c r="AH75" s="11">
        <f t="shared" si="8"/>
        <v>8.2693481952725723</v>
      </c>
      <c r="AJ75" s="6">
        <f t="shared" si="14"/>
        <v>0</v>
      </c>
      <c r="AK75" s="4">
        <v>58</v>
      </c>
      <c r="AM75" s="2" t="str">
        <f t="shared" si="9"/>
        <v>6</v>
      </c>
      <c r="AN75" s="2" t="str">
        <f t="shared" si="15"/>
        <v>000</v>
      </c>
      <c r="AO75" s="2"/>
      <c r="AP75" s="2" t="str">
        <f t="shared" si="16"/>
        <v>6000</v>
      </c>
    </row>
    <row r="76" spans="1:42" x14ac:dyDescent="0.2">
      <c r="A76">
        <v>59</v>
      </c>
      <c r="B76">
        <v>5.8</v>
      </c>
      <c r="C76" s="6">
        <v>0</v>
      </c>
      <c r="D76" s="6">
        <v>1</v>
      </c>
      <c r="E76" s="6">
        <v>1</v>
      </c>
      <c r="F76" s="7">
        <v>0</v>
      </c>
      <c r="G76" s="9">
        <v>0</v>
      </c>
      <c r="H76" s="10">
        <f t="shared" si="10"/>
        <v>6</v>
      </c>
      <c r="I76" s="12">
        <f t="shared" si="1"/>
        <v>65</v>
      </c>
      <c r="J76" s="11">
        <f t="shared" si="2"/>
        <v>4.904296875</v>
      </c>
      <c r="K76" s="6">
        <v>0</v>
      </c>
      <c r="L76" s="6">
        <v>0</v>
      </c>
      <c r="M76" s="6">
        <v>1</v>
      </c>
      <c r="N76" s="7">
        <v>0</v>
      </c>
      <c r="O76" s="9">
        <v>20</v>
      </c>
      <c r="P76" s="10">
        <f t="shared" si="11"/>
        <v>4</v>
      </c>
      <c r="Q76" s="12">
        <f t="shared" si="3"/>
        <v>179.86041839863714</v>
      </c>
      <c r="R76" s="11">
        <f t="shared" si="4"/>
        <v>8.2693481952725723</v>
      </c>
      <c r="S76" s="6">
        <v>0</v>
      </c>
      <c r="T76" s="6">
        <v>1</v>
      </c>
      <c r="U76" s="6">
        <v>1</v>
      </c>
      <c r="V76" s="7">
        <v>0</v>
      </c>
      <c r="W76" s="9">
        <v>23</v>
      </c>
      <c r="X76" s="10">
        <f t="shared" si="12"/>
        <v>6</v>
      </c>
      <c r="Y76" s="12">
        <f t="shared" si="5"/>
        <v>197.08948115843273</v>
      </c>
      <c r="Z76" s="11">
        <f t="shared" si="6"/>
        <v>8.7741058933134592</v>
      </c>
      <c r="AA76" s="6">
        <v>0</v>
      </c>
      <c r="AB76" s="6">
        <v>0</v>
      </c>
      <c r="AC76" s="6">
        <v>1</v>
      </c>
      <c r="AD76" s="7">
        <v>1</v>
      </c>
      <c r="AE76" s="9">
        <v>20</v>
      </c>
      <c r="AF76" s="10">
        <f t="shared" si="13"/>
        <v>12</v>
      </c>
      <c r="AG76" s="12">
        <f t="shared" si="7"/>
        <v>179.86041839863714</v>
      </c>
      <c r="AH76" s="11">
        <f t="shared" si="8"/>
        <v>8.2693481952725723</v>
      </c>
      <c r="AJ76" s="6">
        <f t="shared" si="14"/>
        <v>0</v>
      </c>
      <c r="AK76" s="4">
        <v>59</v>
      </c>
      <c r="AM76" s="2" t="str">
        <f t="shared" si="9"/>
        <v>6</v>
      </c>
      <c r="AN76" s="2" t="str">
        <f t="shared" si="15"/>
        <v>000</v>
      </c>
      <c r="AO76" s="2"/>
      <c r="AP76" s="2" t="str">
        <f t="shared" si="16"/>
        <v>6000</v>
      </c>
    </row>
    <row r="77" spans="1:42" x14ac:dyDescent="0.2">
      <c r="A77">
        <v>60</v>
      </c>
      <c r="B77">
        <v>5.9</v>
      </c>
      <c r="C77" s="6">
        <v>0</v>
      </c>
      <c r="D77" s="6">
        <v>1</v>
      </c>
      <c r="E77" s="6">
        <v>1</v>
      </c>
      <c r="F77" s="7">
        <v>0</v>
      </c>
      <c r="G77" s="9">
        <v>0</v>
      </c>
      <c r="H77" s="10">
        <f t="shared" si="10"/>
        <v>6</v>
      </c>
      <c r="I77" s="12">
        <f t="shared" si="1"/>
        <v>65</v>
      </c>
      <c r="J77" s="11">
        <f t="shared" si="2"/>
        <v>4.904296875</v>
      </c>
      <c r="K77" s="6">
        <v>0</v>
      </c>
      <c r="L77" s="6">
        <v>0</v>
      </c>
      <c r="M77" s="6">
        <v>1</v>
      </c>
      <c r="N77" s="7">
        <v>0</v>
      </c>
      <c r="O77" s="9">
        <v>20</v>
      </c>
      <c r="P77" s="10">
        <f t="shared" si="11"/>
        <v>4</v>
      </c>
      <c r="Q77" s="12">
        <f t="shared" si="3"/>
        <v>179.86041839863714</v>
      </c>
      <c r="R77" s="11">
        <f t="shared" si="4"/>
        <v>8.2693481952725723</v>
      </c>
      <c r="S77" s="6">
        <v>0</v>
      </c>
      <c r="T77" s="6">
        <v>1</v>
      </c>
      <c r="U77" s="6">
        <v>1</v>
      </c>
      <c r="V77" s="7">
        <v>0</v>
      </c>
      <c r="W77" s="9">
        <v>23</v>
      </c>
      <c r="X77" s="10">
        <f t="shared" si="12"/>
        <v>6</v>
      </c>
      <c r="Y77" s="12">
        <f t="shared" si="5"/>
        <v>197.08948115843273</v>
      </c>
      <c r="Z77" s="11">
        <f t="shared" si="6"/>
        <v>8.7741058933134592</v>
      </c>
      <c r="AA77" s="6">
        <v>0</v>
      </c>
      <c r="AB77" s="6">
        <v>0</v>
      </c>
      <c r="AC77" s="6">
        <v>1</v>
      </c>
      <c r="AD77" s="7">
        <v>1</v>
      </c>
      <c r="AE77" s="9">
        <v>20</v>
      </c>
      <c r="AF77" s="10">
        <f t="shared" si="13"/>
        <v>12</v>
      </c>
      <c r="AG77" s="12">
        <f t="shared" si="7"/>
        <v>179.86041839863714</v>
      </c>
      <c r="AH77" s="11">
        <f t="shared" si="8"/>
        <v>8.2693481952725723</v>
      </c>
      <c r="AJ77" s="6">
        <f t="shared" si="14"/>
        <v>0</v>
      </c>
      <c r="AK77" s="4">
        <v>60</v>
      </c>
      <c r="AM77" s="2" t="str">
        <f t="shared" si="9"/>
        <v>6</v>
      </c>
      <c r="AN77" s="2" t="str">
        <f t="shared" si="15"/>
        <v>000</v>
      </c>
      <c r="AO77" s="2"/>
      <c r="AP77" s="2" t="str">
        <f t="shared" si="16"/>
        <v>6000</v>
      </c>
    </row>
    <row r="78" spans="1:42" x14ac:dyDescent="0.2">
      <c r="A78">
        <v>61</v>
      </c>
      <c r="B78">
        <v>6</v>
      </c>
      <c r="C78" s="6">
        <v>0</v>
      </c>
      <c r="D78" s="6">
        <v>1</v>
      </c>
      <c r="E78" s="6">
        <v>1</v>
      </c>
      <c r="F78" s="7">
        <v>0</v>
      </c>
      <c r="G78" s="9">
        <v>0</v>
      </c>
      <c r="H78" s="10">
        <f t="shared" si="10"/>
        <v>6</v>
      </c>
      <c r="I78" s="12">
        <f t="shared" si="1"/>
        <v>65</v>
      </c>
      <c r="J78" s="11">
        <f t="shared" si="2"/>
        <v>4.904296875</v>
      </c>
      <c r="K78" s="6">
        <v>0</v>
      </c>
      <c r="L78" s="6">
        <v>0</v>
      </c>
      <c r="M78" s="6">
        <v>1</v>
      </c>
      <c r="N78" s="7">
        <v>0</v>
      </c>
      <c r="O78" s="9">
        <v>20</v>
      </c>
      <c r="P78" s="10">
        <f t="shared" si="11"/>
        <v>4</v>
      </c>
      <c r="Q78" s="12">
        <f t="shared" si="3"/>
        <v>179.86041839863714</v>
      </c>
      <c r="R78" s="11">
        <f t="shared" si="4"/>
        <v>8.2693481952725723</v>
      </c>
      <c r="S78" s="6">
        <v>0</v>
      </c>
      <c r="T78" s="6">
        <v>1</v>
      </c>
      <c r="U78" s="6">
        <v>1</v>
      </c>
      <c r="V78" s="7">
        <v>0</v>
      </c>
      <c r="W78" s="9">
        <v>23</v>
      </c>
      <c r="X78" s="10">
        <f t="shared" si="12"/>
        <v>6</v>
      </c>
      <c r="Y78" s="12">
        <f t="shared" si="5"/>
        <v>197.08948115843273</v>
      </c>
      <c r="Z78" s="11">
        <f t="shared" si="6"/>
        <v>8.7741058933134592</v>
      </c>
      <c r="AA78" s="6">
        <v>0</v>
      </c>
      <c r="AB78" s="6">
        <v>0</v>
      </c>
      <c r="AC78" s="6">
        <v>1</v>
      </c>
      <c r="AD78" s="7">
        <v>1</v>
      </c>
      <c r="AE78" s="9">
        <v>20</v>
      </c>
      <c r="AF78" s="10">
        <f t="shared" si="13"/>
        <v>12</v>
      </c>
      <c r="AG78" s="12">
        <f t="shared" si="7"/>
        <v>179.86041839863714</v>
      </c>
      <c r="AH78" s="11">
        <f t="shared" si="8"/>
        <v>8.2693481952725723</v>
      </c>
      <c r="AJ78" s="6">
        <f t="shared" si="14"/>
        <v>0</v>
      </c>
      <c r="AK78" s="4">
        <v>61</v>
      </c>
      <c r="AM78" s="2" t="str">
        <f t="shared" si="9"/>
        <v>6</v>
      </c>
      <c r="AN78" s="2" t="str">
        <f t="shared" si="15"/>
        <v>000</v>
      </c>
      <c r="AO78" s="2"/>
      <c r="AP78" s="2" t="str">
        <f t="shared" si="16"/>
        <v>6000</v>
      </c>
    </row>
    <row r="79" spans="1:42" x14ac:dyDescent="0.2">
      <c r="A79">
        <v>62</v>
      </c>
      <c r="B79">
        <v>6.1</v>
      </c>
      <c r="C79" s="6">
        <v>0</v>
      </c>
      <c r="D79" s="6">
        <v>1</v>
      </c>
      <c r="E79" s="6">
        <v>1</v>
      </c>
      <c r="F79" s="7">
        <v>0</v>
      </c>
      <c r="G79" s="9">
        <v>6</v>
      </c>
      <c r="H79" s="10">
        <f t="shared" si="10"/>
        <v>6</v>
      </c>
      <c r="I79" s="12">
        <f t="shared" si="1"/>
        <v>99.458125519591135</v>
      </c>
      <c r="J79" s="11">
        <f t="shared" si="2"/>
        <v>5.9138122710817713</v>
      </c>
      <c r="K79" s="6">
        <v>0</v>
      </c>
      <c r="L79" s="6">
        <v>0</v>
      </c>
      <c r="M79" s="6">
        <v>1</v>
      </c>
      <c r="N79" s="7">
        <v>0</v>
      </c>
      <c r="O79" s="9">
        <v>24</v>
      </c>
      <c r="P79" s="10">
        <f t="shared" si="11"/>
        <v>4</v>
      </c>
      <c r="Q79" s="12">
        <f t="shared" si="3"/>
        <v>202.83250207836454</v>
      </c>
      <c r="R79" s="11">
        <f t="shared" si="4"/>
        <v>8.9423584593270853</v>
      </c>
      <c r="S79" s="6">
        <v>0</v>
      </c>
      <c r="T79" s="6">
        <v>1</v>
      </c>
      <c r="U79" s="6">
        <v>1</v>
      </c>
      <c r="V79" s="7">
        <v>0</v>
      </c>
      <c r="W79" s="9">
        <v>23</v>
      </c>
      <c r="X79" s="10">
        <f t="shared" si="12"/>
        <v>6</v>
      </c>
      <c r="Y79" s="12">
        <f t="shared" si="5"/>
        <v>197.08948115843273</v>
      </c>
      <c r="Z79" s="11">
        <f t="shared" si="6"/>
        <v>8.7741058933134592</v>
      </c>
      <c r="AA79" s="6">
        <v>0</v>
      </c>
      <c r="AB79" s="6">
        <v>0</v>
      </c>
      <c r="AC79" s="6">
        <v>1</v>
      </c>
      <c r="AD79" s="7">
        <v>1</v>
      </c>
      <c r="AE79" s="9">
        <v>20</v>
      </c>
      <c r="AF79" s="10">
        <f t="shared" si="13"/>
        <v>12</v>
      </c>
      <c r="AG79" s="12">
        <f t="shared" si="7"/>
        <v>179.86041839863714</v>
      </c>
      <c r="AH79" s="11">
        <f t="shared" si="8"/>
        <v>8.2693481952725723</v>
      </c>
      <c r="AJ79" s="6">
        <f t="shared" si="14"/>
        <v>60</v>
      </c>
      <c r="AK79" s="4">
        <v>62</v>
      </c>
      <c r="AM79" s="2" t="str">
        <f t="shared" si="9"/>
        <v>6</v>
      </c>
      <c r="AN79" s="2" t="str">
        <f t="shared" si="15"/>
        <v>03C</v>
      </c>
      <c r="AO79" s="2"/>
      <c r="AP79" s="2" t="str">
        <f t="shared" si="16"/>
        <v>603C</v>
      </c>
    </row>
    <row r="80" spans="1:42" x14ac:dyDescent="0.2">
      <c r="A80">
        <v>63</v>
      </c>
      <c r="B80">
        <v>6.2</v>
      </c>
      <c r="C80" s="6">
        <v>0</v>
      </c>
      <c r="D80" s="6">
        <v>1</v>
      </c>
      <c r="E80" s="6">
        <v>1</v>
      </c>
      <c r="F80" s="7">
        <v>0</v>
      </c>
      <c r="G80" s="9">
        <v>12</v>
      </c>
      <c r="H80" s="10">
        <f t="shared" si="10"/>
        <v>6</v>
      </c>
      <c r="I80" s="12">
        <f t="shared" si="1"/>
        <v>133.91625103918227</v>
      </c>
      <c r="J80" s="11">
        <f t="shared" si="2"/>
        <v>6.9233276671635426</v>
      </c>
      <c r="K80" s="6">
        <v>0</v>
      </c>
      <c r="L80" s="6">
        <v>0</v>
      </c>
      <c r="M80" s="6">
        <v>1</v>
      </c>
      <c r="N80" s="7">
        <v>0</v>
      </c>
      <c r="O80" s="9">
        <v>28</v>
      </c>
      <c r="P80" s="10">
        <f t="shared" si="11"/>
        <v>4</v>
      </c>
      <c r="Q80" s="12">
        <f t="shared" si="3"/>
        <v>225.804585758092</v>
      </c>
      <c r="R80" s="11">
        <f t="shared" si="4"/>
        <v>9.6153687233816001</v>
      </c>
      <c r="S80" s="6">
        <v>0</v>
      </c>
      <c r="T80" s="6">
        <v>1</v>
      </c>
      <c r="U80" s="6">
        <v>1</v>
      </c>
      <c r="V80" s="7">
        <v>0</v>
      </c>
      <c r="W80" s="9">
        <v>23</v>
      </c>
      <c r="X80" s="10">
        <f t="shared" si="12"/>
        <v>6</v>
      </c>
      <c r="Y80" s="12">
        <f t="shared" si="5"/>
        <v>197.08948115843273</v>
      </c>
      <c r="Z80" s="11">
        <f t="shared" si="6"/>
        <v>8.7741058933134592</v>
      </c>
      <c r="AA80" s="6">
        <v>0</v>
      </c>
      <c r="AB80" s="6">
        <v>0</v>
      </c>
      <c r="AC80" s="6">
        <v>1</v>
      </c>
      <c r="AD80" s="7">
        <v>1</v>
      </c>
      <c r="AE80" s="9">
        <v>20</v>
      </c>
      <c r="AF80" s="10">
        <f t="shared" si="13"/>
        <v>12</v>
      </c>
      <c r="AG80" s="12">
        <f t="shared" si="7"/>
        <v>179.86041839863714</v>
      </c>
      <c r="AH80" s="11">
        <f t="shared" si="8"/>
        <v>8.2693481952725723</v>
      </c>
      <c r="AJ80" s="6">
        <f t="shared" si="14"/>
        <v>120</v>
      </c>
      <c r="AK80" s="4">
        <v>63</v>
      </c>
      <c r="AM80" s="2" t="str">
        <f t="shared" si="9"/>
        <v>6</v>
      </c>
      <c r="AN80" s="2" t="str">
        <f t="shared" si="15"/>
        <v>078</v>
      </c>
      <c r="AO80" s="2"/>
      <c r="AP80" s="2" t="str">
        <f t="shared" si="16"/>
        <v>6078</v>
      </c>
    </row>
    <row r="81" spans="1:42" x14ac:dyDescent="0.2">
      <c r="A81">
        <v>64</v>
      </c>
      <c r="B81">
        <v>6.3</v>
      </c>
      <c r="C81" s="6">
        <v>0</v>
      </c>
      <c r="D81" s="6">
        <v>1</v>
      </c>
      <c r="E81" s="6">
        <v>1</v>
      </c>
      <c r="F81" s="7">
        <v>0</v>
      </c>
      <c r="G81" s="9">
        <v>18</v>
      </c>
      <c r="H81" s="10">
        <f t="shared" si="10"/>
        <v>6</v>
      </c>
      <c r="I81" s="12">
        <f t="shared" si="1"/>
        <v>168.37437655877341</v>
      </c>
      <c r="J81" s="11">
        <f t="shared" si="2"/>
        <v>7.9328430632453149</v>
      </c>
      <c r="K81" s="6">
        <v>0</v>
      </c>
      <c r="L81" s="6">
        <v>0</v>
      </c>
      <c r="M81" s="6">
        <v>1</v>
      </c>
      <c r="N81" s="7">
        <v>0</v>
      </c>
      <c r="O81" s="9">
        <v>32</v>
      </c>
      <c r="P81" s="10">
        <f t="shared" si="11"/>
        <v>4</v>
      </c>
      <c r="Q81" s="12">
        <f t="shared" si="3"/>
        <v>248.77666943781944</v>
      </c>
      <c r="R81" s="11">
        <f t="shared" si="4"/>
        <v>10.288378987436115</v>
      </c>
      <c r="S81" s="6">
        <v>0</v>
      </c>
      <c r="T81" s="6">
        <v>1</v>
      </c>
      <c r="U81" s="6">
        <v>1</v>
      </c>
      <c r="V81" s="7">
        <v>0</v>
      </c>
      <c r="W81" s="9">
        <f>W80+3.85</f>
        <v>26.85</v>
      </c>
      <c r="X81" s="10">
        <f t="shared" si="12"/>
        <v>6</v>
      </c>
      <c r="Y81" s="12">
        <f t="shared" si="5"/>
        <v>219.20011170017034</v>
      </c>
      <c r="Z81" s="11">
        <f t="shared" si="6"/>
        <v>9.4218782724659285</v>
      </c>
      <c r="AA81" s="6">
        <v>0</v>
      </c>
      <c r="AB81" s="6">
        <v>0</v>
      </c>
      <c r="AC81" s="6">
        <v>1</v>
      </c>
      <c r="AD81" s="7">
        <v>1</v>
      </c>
      <c r="AE81" s="9">
        <f>AE80+4</f>
        <v>24</v>
      </c>
      <c r="AF81" s="10">
        <f t="shared" si="13"/>
        <v>12</v>
      </c>
      <c r="AG81" s="12">
        <f t="shared" si="7"/>
        <v>202.83250207836454</v>
      </c>
      <c r="AH81" s="11">
        <f t="shared" si="8"/>
        <v>8.9423584593270853</v>
      </c>
      <c r="AJ81" s="6">
        <f t="shared" si="14"/>
        <v>180</v>
      </c>
      <c r="AK81" s="4">
        <v>64</v>
      </c>
      <c r="AM81" s="2" t="str">
        <f t="shared" si="9"/>
        <v>6</v>
      </c>
      <c r="AN81" s="2" t="str">
        <f t="shared" si="15"/>
        <v>0B4</v>
      </c>
      <c r="AO81" s="2"/>
      <c r="AP81" s="2" t="str">
        <f t="shared" si="16"/>
        <v>60B4</v>
      </c>
    </row>
    <row r="82" spans="1:42" x14ac:dyDescent="0.2">
      <c r="A82">
        <v>65</v>
      </c>
      <c r="B82">
        <v>6.4</v>
      </c>
      <c r="C82" s="6">
        <v>0</v>
      </c>
      <c r="D82" s="6">
        <v>1</v>
      </c>
      <c r="E82" s="6">
        <v>1</v>
      </c>
      <c r="F82" s="7">
        <v>0</v>
      </c>
      <c r="G82" s="9">
        <v>24</v>
      </c>
      <c r="H82" s="10">
        <f t="shared" si="10"/>
        <v>6</v>
      </c>
      <c r="I82" s="12">
        <f t="shared" ref="I82:I145" si="19">PH_FIRE_VOLTAGE_OFFSET + 1023*(G82/100*G$16*$I$7+$I$6)*$S$10/(PH_FIRE_VOLTAGE_AMPLITUDE*0.01)</f>
        <v>202.83250207836454</v>
      </c>
      <c r="J82" s="11">
        <f t="shared" ref="J82:J145" si="20">I82/(DAC_LIMIT_MAX-DAC_LIMIT_MIN+1)*GAIN_PREAMP*GAIN_POWERAMP+OFFSET_AMP</f>
        <v>8.9423584593270853</v>
      </c>
      <c r="K82" s="6">
        <v>0</v>
      </c>
      <c r="L82" s="6">
        <v>0</v>
      </c>
      <c r="M82" s="6">
        <v>1</v>
      </c>
      <c r="N82" s="7">
        <v>0</v>
      </c>
      <c r="O82" s="9">
        <v>36</v>
      </c>
      <c r="P82" s="10">
        <f t="shared" si="11"/>
        <v>4</v>
      </c>
      <c r="Q82" s="12">
        <f t="shared" ref="Q82:Q145" si="21">PH_FIRE_VOLTAGE_OFFSET + 1023*(O82/100*O$16*$I$7+$I$6)*$S$10/(PH_FIRE_VOLTAGE_AMPLITUDE*0.01)</f>
        <v>271.74875311754681</v>
      </c>
      <c r="R82" s="11">
        <f t="shared" ref="R82:R145" si="22">Q82/(DAC_LIMIT_MAX-DAC_LIMIT_MIN+1)*GAIN_PREAMP*GAIN_POWERAMP+OFFSET_AMP</f>
        <v>10.96138925149063</v>
      </c>
      <c r="S82" s="6">
        <v>0</v>
      </c>
      <c r="T82" s="6">
        <v>1</v>
      </c>
      <c r="U82" s="6">
        <v>1</v>
      </c>
      <c r="V82" s="7">
        <v>0</v>
      </c>
      <c r="W82" s="9">
        <f t="shared" ref="W82:W100" si="23">W81+3.85</f>
        <v>30.700000000000003</v>
      </c>
      <c r="X82" s="10">
        <f t="shared" si="12"/>
        <v>6</v>
      </c>
      <c r="Y82" s="12">
        <f t="shared" ref="Y82:Y145" si="24">PH_FIRE_VOLTAGE_OFFSET + 1023*(W82/100*W$16*$I$7+$I$6)*$S$10/(PH_FIRE_VOLTAGE_AMPLITUDE*0.01)</f>
        <v>241.31074224190803</v>
      </c>
      <c r="Z82" s="11">
        <f t="shared" ref="Z82:Z145" si="25">Y82/(DAC_LIMIT_MAX-DAC_LIMIT_MIN+1)*GAIN_PREAMP*GAIN_POWERAMP+OFFSET_AMP</f>
        <v>10.069650651618399</v>
      </c>
      <c r="AA82" s="6">
        <v>0</v>
      </c>
      <c r="AB82" s="6">
        <v>0</v>
      </c>
      <c r="AC82" s="6">
        <v>1</v>
      </c>
      <c r="AD82" s="7">
        <v>1</v>
      </c>
      <c r="AE82" s="9">
        <f t="shared" ref="AE82:AE100" si="26">AE81+4</f>
        <v>28</v>
      </c>
      <c r="AF82" s="10">
        <f t="shared" si="13"/>
        <v>12</v>
      </c>
      <c r="AG82" s="12">
        <f t="shared" ref="AG82:AG145" si="27">PH_FIRE_VOLTAGE_OFFSET + 1023*(AE82/100*AE$16*$I$7+$I$6)*$S$10/(PH_FIRE_VOLTAGE_AMPLITUDE*0.01)</f>
        <v>225.804585758092</v>
      </c>
      <c r="AH82" s="11">
        <f t="shared" ref="AH82:AH145" si="28">AG82/(DAC_LIMIT_MAX-DAC_LIMIT_MIN+1)*GAIN_PREAMP*GAIN_POWERAMP+OFFSET_AMP</f>
        <v>9.6153687233816001</v>
      </c>
      <c r="AJ82" s="6">
        <f t="shared" si="14"/>
        <v>240</v>
      </c>
      <c r="AK82" s="4">
        <v>65</v>
      </c>
      <c r="AM82" s="2" t="str">
        <f t="shared" ref="AM82:AM145" si="29">BIN2HEX(C82+10*D82+100*E82+1000*F82,1)</f>
        <v>6</v>
      </c>
      <c r="AN82" s="2" t="str">
        <f t="shared" si="15"/>
        <v>0F0</v>
      </c>
      <c r="AO82" s="2"/>
      <c r="AP82" s="2" t="str">
        <f t="shared" si="16"/>
        <v>60F0</v>
      </c>
    </row>
    <row r="83" spans="1:42" x14ac:dyDescent="0.2">
      <c r="A83">
        <v>66</v>
      </c>
      <c r="B83">
        <v>6.5</v>
      </c>
      <c r="C83" s="6">
        <v>0</v>
      </c>
      <c r="D83" s="6">
        <v>1</v>
      </c>
      <c r="E83" s="6">
        <v>1</v>
      </c>
      <c r="F83" s="7">
        <v>0</v>
      </c>
      <c r="G83" s="9">
        <v>30</v>
      </c>
      <c r="H83" s="10">
        <f t="shared" ref="H83:H146" si="30">BIN2DEC(C83+10*D83+100*E83+1000*F83)</f>
        <v>6</v>
      </c>
      <c r="I83" s="12">
        <f t="shared" si="19"/>
        <v>237.29062759795568</v>
      </c>
      <c r="J83" s="11">
        <f t="shared" si="20"/>
        <v>9.9518738554088593</v>
      </c>
      <c r="K83" s="6">
        <v>0</v>
      </c>
      <c r="L83" s="6">
        <v>0</v>
      </c>
      <c r="M83" s="6">
        <v>1</v>
      </c>
      <c r="N83" s="7">
        <v>0</v>
      </c>
      <c r="O83" s="9">
        <v>40</v>
      </c>
      <c r="P83" s="10">
        <f t="shared" ref="P83:P146" si="31">BIN2DEC(K83+10*L83+100*M83+1000*N83)</f>
        <v>4</v>
      </c>
      <c r="Q83" s="12">
        <f t="shared" si="21"/>
        <v>294.72083679727427</v>
      </c>
      <c r="R83" s="11">
        <f t="shared" si="22"/>
        <v>11.634399515545145</v>
      </c>
      <c r="S83" s="6">
        <v>0</v>
      </c>
      <c r="T83" s="6">
        <v>1</v>
      </c>
      <c r="U83" s="6">
        <v>1</v>
      </c>
      <c r="V83" s="7">
        <v>0</v>
      </c>
      <c r="W83" s="9">
        <f t="shared" si="23"/>
        <v>34.550000000000004</v>
      </c>
      <c r="X83" s="10">
        <f t="shared" ref="X83:X146" si="32">BIN2DEC(S83+10*T83+100*U83+1000*V83)</f>
        <v>6</v>
      </c>
      <c r="Y83" s="12">
        <f t="shared" si="24"/>
        <v>263.42137278364567</v>
      </c>
      <c r="Z83" s="11">
        <f t="shared" si="25"/>
        <v>10.717423030770869</v>
      </c>
      <c r="AA83" s="6">
        <v>0</v>
      </c>
      <c r="AB83" s="6">
        <v>0</v>
      </c>
      <c r="AC83" s="6">
        <v>1</v>
      </c>
      <c r="AD83" s="7">
        <v>1</v>
      </c>
      <c r="AE83" s="9">
        <f t="shared" si="26"/>
        <v>32</v>
      </c>
      <c r="AF83" s="10">
        <f t="shared" ref="AF83:AF146" si="33">BIN2DEC(AA83+10*AB83+100*AC83+1000*AD83)</f>
        <v>12</v>
      </c>
      <c r="AG83" s="12">
        <f t="shared" si="27"/>
        <v>248.77666943781944</v>
      </c>
      <c r="AH83" s="11">
        <f t="shared" si="28"/>
        <v>10.288378987436115</v>
      </c>
      <c r="AJ83" s="6">
        <f t="shared" ref="AJ83:AJ146" si="34">ROUNDDOWN(($G83*$G$16+$I$6*100)*10,0)</f>
        <v>300</v>
      </c>
      <c r="AK83" s="4">
        <v>66</v>
      </c>
      <c r="AM83" s="2" t="str">
        <f t="shared" si="29"/>
        <v>6</v>
      </c>
      <c r="AN83" s="2" t="str">
        <f t="shared" ref="AN83:AN146" si="35">DEC2HEX(AJ83,3)</f>
        <v>12C</v>
      </c>
      <c r="AO83" s="2"/>
      <c r="AP83" s="2" t="str">
        <f t="shared" ref="AP83:AP146" si="36">CONCATENATE(AM83,AN83)</f>
        <v>612C</v>
      </c>
    </row>
    <row r="84" spans="1:42" x14ac:dyDescent="0.2">
      <c r="A84">
        <v>67</v>
      </c>
      <c r="B84">
        <v>6.6</v>
      </c>
      <c r="C84" s="6">
        <v>0</v>
      </c>
      <c r="D84" s="6">
        <v>1</v>
      </c>
      <c r="E84" s="6">
        <v>1</v>
      </c>
      <c r="F84" s="7">
        <v>0</v>
      </c>
      <c r="G84" s="9">
        <v>36</v>
      </c>
      <c r="H84" s="10">
        <f t="shared" si="30"/>
        <v>6</v>
      </c>
      <c r="I84" s="12">
        <f t="shared" si="19"/>
        <v>271.74875311754681</v>
      </c>
      <c r="J84" s="11">
        <f t="shared" si="20"/>
        <v>10.96138925149063</v>
      </c>
      <c r="K84" s="6">
        <v>0</v>
      </c>
      <c r="L84" s="6">
        <v>0</v>
      </c>
      <c r="M84" s="6">
        <v>1</v>
      </c>
      <c r="N84" s="7">
        <v>0</v>
      </c>
      <c r="O84" s="9">
        <v>44</v>
      </c>
      <c r="P84" s="10">
        <f t="shared" si="31"/>
        <v>4</v>
      </c>
      <c r="Q84" s="12">
        <f t="shared" si="21"/>
        <v>317.69292047700173</v>
      </c>
      <c r="R84" s="11">
        <f t="shared" si="22"/>
        <v>12.307409779599659</v>
      </c>
      <c r="S84" s="6">
        <v>0</v>
      </c>
      <c r="T84" s="6">
        <v>1</v>
      </c>
      <c r="U84" s="6">
        <v>1</v>
      </c>
      <c r="V84" s="7">
        <v>0</v>
      </c>
      <c r="W84" s="9">
        <f t="shared" si="23"/>
        <v>38.400000000000006</v>
      </c>
      <c r="X84" s="10">
        <f t="shared" si="32"/>
        <v>6</v>
      </c>
      <c r="Y84" s="12">
        <f t="shared" si="24"/>
        <v>285.53200332538336</v>
      </c>
      <c r="Z84" s="11">
        <f t="shared" si="25"/>
        <v>11.365195409923341</v>
      </c>
      <c r="AA84" s="6">
        <v>0</v>
      </c>
      <c r="AB84" s="6">
        <v>0</v>
      </c>
      <c r="AC84" s="6">
        <v>1</v>
      </c>
      <c r="AD84" s="7">
        <v>1</v>
      </c>
      <c r="AE84" s="9">
        <f t="shared" si="26"/>
        <v>36</v>
      </c>
      <c r="AF84" s="10">
        <f t="shared" si="33"/>
        <v>12</v>
      </c>
      <c r="AG84" s="12">
        <f t="shared" si="27"/>
        <v>271.74875311754681</v>
      </c>
      <c r="AH84" s="11">
        <f t="shared" si="28"/>
        <v>10.96138925149063</v>
      </c>
      <c r="AJ84" s="6">
        <f t="shared" si="34"/>
        <v>360</v>
      </c>
      <c r="AK84" s="4">
        <v>67</v>
      </c>
      <c r="AM84" s="2" t="str">
        <f t="shared" si="29"/>
        <v>6</v>
      </c>
      <c r="AN84" s="2" t="str">
        <f t="shared" si="35"/>
        <v>168</v>
      </c>
      <c r="AO84" s="2"/>
      <c r="AP84" s="2" t="str">
        <f t="shared" si="36"/>
        <v>6168</v>
      </c>
    </row>
    <row r="85" spans="1:42" x14ac:dyDescent="0.2">
      <c r="A85">
        <v>68</v>
      </c>
      <c r="B85">
        <v>6.7</v>
      </c>
      <c r="C85" s="6">
        <v>0</v>
      </c>
      <c r="D85" s="6">
        <v>1</v>
      </c>
      <c r="E85" s="6">
        <v>1</v>
      </c>
      <c r="F85" s="7">
        <v>0</v>
      </c>
      <c r="G85" s="9">
        <v>42</v>
      </c>
      <c r="H85" s="10">
        <f t="shared" si="30"/>
        <v>6</v>
      </c>
      <c r="I85" s="12">
        <f t="shared" si="19"/>
        <v>306.20687863713795</v>
      </c>
      <c r="J85" s="11">
        <f t="shared" si="20"/>
        <v>11.9709046475724</v>
      </c>
      <c r="K85" s="6">
        <v>0</v>
      </c>
      <c r="L85" s="6">
        <v>0</v>
      </c>
      <c r="M85" s="6">
        <v>1</v>
      </c>
      <c r="N85" s="7">
        <v>0</v>
      </c>
      <c r="O85" s="9">
        <v>48</v>
      </c>
      <c r="P85" s="10">
        <f t="shared" si="31"/>
        <v>4</v>
      </c>
      <c r="Q85" s="12">
        <f t="shared" si="21"/>
        <v>340.66500415672908</v>
      </c>
      <c r="R85" s="11">
        <f t="shared" si="22"/>
        <v>12.980420043654172</v>
      </c>
      <c r="S85" s="6">
        <v>0</v>
      </c>
      <c r="T85" s="6">
        <v>1</v>
      </c>
      <c r="U85" s="6">
        <v>1</v>
      </c>
      <c r="V85" s="7">
        <v>0</v>
      </c>
      <c r="W85" s="9">
        <f t="shared" si="23"/>
        <v>42.250000000000007</v>
      </c>
      <c r="X85" s="10">
        <f t="shared" si="32"/>
        <v>6</v>
      </c>
      <c r="Y85" s="12">
        <f t="shared" si="24"/>
        <v>307.64263386712099</v>
      </c>
      <c r="Z85" s="11">
        <f t="shared" si="25"/>
        <v>12.012967789075811</v>
      </c>
      <c r="AA85" s="6">
        <v>0</v>
      </c>
      <c r="AB85" s="6">
        <v>0</v>
      </c>
      <c r="AC85" s="6">
        <v>1</v>
      </c>
      <c r="AD85" s="7">
        <v>1</v>
      </c>
      <c r="AE85" s="9">
        <f t="shared" si="26"/>
        <v>40</v>
      </c>
      <c r="AF85" s="10">
        <f t="shared" si="33"/>
        <v>12</v>
      </c>
      <c r="AG85" s="12">
        <f t="shared" si="27"/>
        <v>294.72083679727427</v>
      </c>
      <c r="AH85" s="11">
        <f t="shared" si="28"/>
        <v>11.634399515545145</v>
      </c>
      <c r="AJ85" s="6">
        <f t="shared" si="34"/>
        <v>420</v>
      </c>
      <c r="AK85" s="4">
        <v>68</v>
      </c>
      <c r="AM85" s="2" t="str">
        <f t="shared" si="29"/>
        <v>6</v>
      </c>
      <c r="AN85" s="2" t="str">
        <f t="shared" si="35"/>
        <v>1A4</v>
      </c>
      <c r="AO85" s="2"/>
      <c r="AP85" s="2" t="str">
        <f t="shared" si="36"/>
        <v>61A4</v>
      </c>
    </row>
    <row r="86" spans="1:42" x14ac:dyDescent="0.2">
      <c r="A86">
        <v>69</v>
      </c>
      <c r="B86">
        <v>6.8</v>
      </c>
      <c r="C86" s="6">
        <v>0</v>
      </c>
      <c r="D86" s="6">
        <v>1</v>
      </c>
      <c r="E86" s="6">
        <v>1</v>
      </c>
      <c r="F86" s="7">
        <v>0</v>
      </c>
      <c r="G86" s="9">
        <v>48</v>
      </c>
      <c r="H86" s="10">
        <f t="shared" si="30"/>
        <v>6</v>
      </c>
      <c r="I86" s="12">
        <f t="shared" si="19"/>
        <v>340.66500415672908</v>
      </c>
      <c r="J86" s="11">
        <f t="shared" si="20"/>
        <v>12.980420043654172</v>
      </c>
      <c r="K86" s="6">
        <v>0</v>
      </c>
      <c r="L86" s="6">
        <v>0</v>
      </c>
      <c r="M86" s="6">
        <v>1</v>
      </c>
      <c r="N86" s="7">
        <v>0</v>
      </c>
      <c r="O86" s="9">
        <v>52</v>
      </c>
      <c r="P86" s="10">
        <f t="shared" si="31"/>
        <v>4</v>
      </c>
      <c r="Q86" s="12">
        <f t="shared" si="21"/>
        <v>363.6370878364566</v>
      </c>
      <c r="R86" s="11">
        <f t="shared" si="22"/>
        <v>13.653430307708689</v>
      </c>
      <c r="S86" s="6">
        <v>0</v>
      </c>
      <c r="T86" s="6">
        <v>1</v>
      </c>
      <c r="U86" s="6">
        <v>1</v>
      </c>
      <c r="V86" s="7">
        <v>0</v>
      </c>
      <c r="W86" s="9">
        <f t="shared" si="23"/>
        <v>46.100000000000009</v>
      </c>
      <c r="X86" s="10">
        <f t="shared" si="32"/>
        <v>6</v>
      </c>
      <c r="Y86" s="12">
        <f t="shared" si="24"/>
        <v>329.75326440885863</v>
      </c>
      <c r="Z86" s="11">
        <f t="shared" si="25"/>
        <v>12.66074016822828</v>
      </c>
      <c r="AA86" s="6">
        <v>0</v>
      </c>
      <c r="AB86" s="6">
        <v>0</v>
      </c>
      <c r="AC86" s="6">
        <v>1</v>
      </c>
      <c r="AD86" s="7">
        <v>1</v>
      </c>
      <c r="AE86" s="9">
        <f t="shared" si="26"/>
        <v>44</v>
      </c>
      <c r="AF86" s="10">
        <f t="shared" si="33"/>
        <v>12</v>
      </c>
      <c r="AG86" s="12">
        <f t="shared" si="27"/>
        <v>317.69292047700173</v>
      </c>
      <c r="AH86" s="11">
        <f t="shared" si="28"/>
        <v>12.307409779599659</v>
      </c>
      <c r="AJ86" s="6">
        <f t="shared" si="34"/>
        <v>480</v>
      </c>
      <c r="AK86" s="4">
        <v>69</v>
      </c>
      <c r="AM86" s="2" t="str">
        <f t="shared" si="29"/>
        <v>6</v>
      </c>
      <c r="AN86" s="2" t="str">
        <f t="shared" si="35"/>
        <v>1E0</v>
      </c>
      <c r="AO86" s="2"/>
      <c r="AP86" s="2" t="str">
        <f t="shared" si="36"/>
        <v>61E0</v>
      </c>
    </row>
    <row r="87" spans="1:42" x14ac:dyDescent="0.2">
      <c r="A87">
        <v>70</v>
      </c>
      <c r="B87">
        <v>6.9</v>
      </c>
      <c r="C87" s="6">
        <v>0</v>
      </c>
      <c r="D87" s="6">
        <v>1</v>
      </c>
      <c r="E87" s="6">
        <v>1</v>
      </c>
      <c r="F87" s="7">
        <v>0</v>
      </c>
      <c r="G87" s="9">
        <v>54</v>
      </c>
      <c r="H87" s="10">
        <f t="shared" si="30"/>
        <v>6</v>
      </c>
      <c r="I87" s="12">
        <f t="shared" si="19"/>
        <v>375.12312967632033</v>
      </c>
      <c r="J87" s="11">
        <f t="shared" si="20"/>
        <v>13.989935439735948</v>
      </c>
      <c r="K87" s="6">
        <v>0</v>
      </c>
      <c r="L87" s="6">
        <v>0</v>
      </c>
      <c r="M87" s="6">
        <v>1</v>
      </c>
      <c r="N87" s="7">
        <v>0</v>
      </c>
      <c r="O87" s="9">
        <v>56</v>
      </c>
      <c r="P87" s="10">
        <f t="shared" si="31"/>
        <v>4</v>
      </c>
      <c r="Q87" s="12">
        <f t="shared" si="21"/>
        <v>386.60917151618401</v>
      </c>
      <c r="R87" s="11">
        <f t="shared" si="22"/>
        <v>14.326440571763204</v>
      </c>
      <c r="S87" s="6">
        <v>0</v>
      </c>
      <c r="T87" s="6">
        <v>1</v>
      </c>
      <c r="U87" s="6">
        <v>1</v>
      </c>
      <c r="V87" s="7">
        <v>0</v>
      </c>
      <c r="W87" s="9">
        <f t="shared" si="23"/>
        <v>49.95000000000001</v>
      </c>
      <c r="X87" s="10">
        <f t="shared" si="32"/>
        <v>6</v>
      </c>
      <c r="Y87" s="12">
        <f t="shared" si="24"/>
        <v>351.86389495059632</v>
      </c>
      <c r="Z87" s="11">
        <f t="shared" si="25"/>
        <v>13.308512547380751</v>
      </c>
      <c r="AA87" s="6">
        <v>0</v>
      </c>
      <c r="AB87" s="6">
        <v>0</v>
      </c>
      <c r="AC87" s="6">
        <v>1</v>
      </c>
      <c r="AD87" s="7">
        <v>1</v>
      </c>
      <c r="AE87" s="9">
        <f t="shared" si="26"/>
        <v>48</v>
      </c>
      <c r="AF87" s="10">
        <f t="shared" si="33"/>
        <v>12</v>
      </c>
      <c r="AG87" s="12">
        <f t="shared" si="27"/>
        <v>340.66500415672908</v>
      </c>
      <c r="AH87" s="11">
        <f t="shared" si="28"/>
        <v>12.980420043654172</v>
      </c>
      <c r="AJ87" s="6">
        <f t="shared" si="34"/>
        <v>540</v>
      </c>
      <c r="AK87" s="4">
        <v>70</v>
      </c>
      <c r="AM87" s="2" t="str">
        <f t="shared" si="29"/>
        <v>6</v>
      </c>
      <c r="AN87" s="2" t="str">
        <f t="shared" si="35"/>
        <v>21C</v>
      </c>
      <c r="AO87" s="2"/>
      <c r="AP87" s="2" t="str">
        <f t="shared" si="36"/>
        <v>621C</v>
      </c>
    </row>
    <row r="88" spans="1:42" x14ac:dyDescent="0.2">
      <c r="A88">
        <v>71</v>
      </c>
      <c r="B88">
        <v>7</v>
      </c>
      <c r="C88" s="6">
        <v>0</v>
      </c>
      <c r="D88" s="6">
        <v>1</v>
      </c>
      <c r="E88" s="6">
        <v>1</v>
      </c>
      <c r="F88" s="7">
        <v>0</v>
      </c>
      <c r="G88" s="9">
        <v>60</v>
      </c>
      <c r="H88" s="10">
        <f t="shared" si="30"/>
        <v>6</v>
      </c>
      <c r="I88" s="12">
        <f t="shared" si="19"/>
        <v>409.58125519591135</v>
      </c>
      <c r="J88" s="11">
        <f t="shared" si="20"/>
        <v>14.999450835817715</v>
      </c>
      <c r="K88" s="6">
        <v>0</v>
      </c>
      <c r="L88" s="6">
        <v>0</v>
      </c>
      <c r="M88" s="6">
        <v>1</v>
      </c>
      <c r="N88" s="7">
        <v>0</v>
      </c>
      <c r="O88" s="9">
        <v>60</v>
      </c>
      <c r="P88" s="10">
        <f t="shared" si="31"/>
        <v>4</v>
      </c>
      <c r="Q88" s="12">
        <f t="shared" si="21"/>
        <v>409.58125519591135</v>
      </c>
      <c r="R88" s="11">
        <f t="shared" si="22"/>
        <v>14.999450835817715</v>
      </c>
      <c r="S88" s="6">
        <v>0</v>
      </c>
      <c r="T88" s="6">
        <v>1</v>
      </c>
      <c r="U88" s="6">
        <v>1</v>
      </c>
      <c r="V88" s="7">
        <v>0</v>
      </c>
      <c r="W88" s="9">
        <f t="shared" si="23"/>
        <v>53.800000000000011</v>
      </c>
      <c r="X88" s="10">
        <f t="shared" si="32"/>
        <v>6</v>
      </c>
      <c r="Y88" s="12">
        <f t="shared" si="24"/>
        <v>373.97452549233401</v>
      </c>
      <c r="Z88" s="11">
        <f t="shared" si="25"/>
        <v>13.956284926533224</v>
      </c>
      <c r="AA88" s="6">
        <v>0</v>
      </c>
      <c r="AB88" s="6">
        <v>0</v>
      </c>
      <c r="AC88" s="6">
        <v>1</v>
      </c>
      <c r="AD88" s="7">
        <v>1</v>
      </c>
      <c r="AE88" s="9">
        <f t="shared" si="26"/>
        <v>52</v>
      </c>
      <c r="AF88" s="10">
        <f t="shared" si="33"/>
        <v>12</v>
      </c>
      <c r="AG88" s="12">
        <f t="shared" si="27"/>
        <v>363.6370878364566</v>
      </c>
      <c r="AH88" s="11">
        <f t="shared" si="28"/>
        <v>13.653430307708689</v>
      </c>
      <c r="AJ88" s="6">
        <f t="shared" si="34"/>
        <v>600</v>
      </c>
      <c r="AK88" s="4">
        <v>71</v>
      </c>
      <c r="AM88" s="2" t="str">
        <f t="shared" si="29"/>
        <v>6</v>
      </c>
      <c r="AN88" s="2" t="str">
        <f t="shared" si="35"/>
        <v>258</v>
      </c>
      <c r="AO88" s="2"/>
      <c r="AP88" s="2" t="str">
        <f t="shared" si="36"/>
        <v>6258</v>
      </c>
    </row>
    <row r="89" spans="1:42" x14ac:dyDescent="0.2">
      <c r="A89">
        <v>72</v>
      </c>
      <c r="B89">
        <v>7.1</v>
      </c>
      <c r="C89" s="6">
        <v>0</v>
      </c>
      <c r="D89" s="6">
        <v>1</v>
      </c>
      <c r="E89" s="6">
        <v>1</v>
      </c>
      <c r="F89" s="7">
        <v>0</v>
      </c>
      <c r="G89" s="9">
        <v>60</v>
      </c>
      <c r="H89" s="10">
        <f t="shared" si="30"/>
        <v>6</v>
      </c>
      <c r="I89" s="12">
        <f t="shared" si="19"/>
        <v>409.58125519591135</v>
      </c>
      <c r="J89" s="11">
        <f t="shared" si="20"/>
        <v>14.999450835817715</v>
      </c>
      <c r="K89" s="6">
        <v>0</v>
      </c>
      <c r="L89" s="6">
        <v>0</v>
      </c>
      <c r="M89" s="6">
        <v>1</v>
      </c>
      <c r="N89" s="7">
        <v>0</v>
      </c>
      <c r="O89" s="9">
        <v>64</v>
      </c>
      <c r="P89" s="10">
        <f t="shared" si="31"/>
        <v>4</v>
      </c>
      <c r="Q89" s="12">
        <f t="shared" si="21"/>
        <v>432.55333887563887</v>
      </c>
      <c r="R89" s="11">
        <f t="shared" si="22"/>
        <v>15.672461099872232</v>
      </c>
      <c r="S89" s="6">
        <v>0</v>
      </c>
      <c r="T89" s="6">
        <v>1</v>
      </c>
      <c r="U89" s="6">
        <v>1</v>
      </c>
      <c r="V89" s="7">
        <v>0</v>
      </c>
      <c r="W89" s="9">
        <f t="shared" si="23"/>
        <v>57.650000000000013</v>
      </c>
      <c r="X89" s="10">
        <f t="shared" si="32"/>
        <v>6</v>
      </c>
      <c r="Y89" s="12">
        <f t="shared" si="24"/>
        <v>396.08515603407159</v>
      </c>
      <c r="Z89" s="11">
        <f t="shared" si="25"/>
        <v>14.604057305685691</v>
      </c>
      <c r="AA89" s="6">
        <v>0</v>
      </c>
      <c r="AB89" s="6">
        <v>0</v>
      </c>
      <c r="AC89" s="6">
        <v>1</v>
      </c>
      <c r="AD89" s="7">
        <v>1</v>
      </c>
      <c r="AE89" s="9">
        <f t="shared" si="26"/>
        <v>56</v>
      </c>
      <c r="AF89" s="10">
        <f t="shared" si="33"/>
        <v>12</v>
      </c>
      <c r="AG89" s="12">
        <f t="shared" si="27"/>
        <v>386.60917151618401</v>
      </c>
      <c r="AH89" s="11">
        <f t="shared" si="28"/>
        <v>14.326440571763204</v>
      </c>
      <c r="AJ89" s="6">
        <f t="shared" si="34"/>
        <v>600</v>
      </c>
      <c r="AK89" s="4">
        <v>72</v>
      </c>
      <c r="AM89" s="2" t="str">
        <f t="shared" si="29"/>
        <v>6</v>
      </c>
      <c r="AN89" s="2" t="str">
        <f t="shared" si="35"/>
        <v>258</v>
      </c>
      <c r="AO89" s="2"/>
      <c r="AP89" s="2" t="str">
        <f t="shared" si="36"/>
        <v>6258</v>
      </c>
    </row>
    <row r="90" spans="1:42" x14ac:dyDescent="0.2">
      <c r="A90">
        <v>73</v>
      </c>
      <c r="B90">
        <v>7.2</v>
      </c>
      <c r="C90" s="6">
        <v>0</v>
      </c>
      <c r="D90" s="6">
        <v>1</v>
      </c>
      <c r="E90" s="6">
        <v>1</v>
      </c>
      <c r="F90" s="7">
        <v>0</v>
      </c>
      <c r="G90" s="9">
        <v>60</v>
      </c>
      <c r="H90" s="10">
        <f t="shared" si="30"/>
        <v>6</v>
      </c>
      <c r="I90" s="12">
        <f t="shared" si="19"/>
        <v>409.58125519591135</v>
      </c>
      <c r="J90" s="11">
        <f t="shared" si="20"/>
        <v>14.999450835817715</v>
      </c>
      <c r="K90" s="6">
        <v>0</v>
      </c>
      <c r="L90" s="6">
        <v>0</v>
      </c>
      <c r="M90" s="6">
        <v>1</v>
      </c>
      <c r="N90" s="7">
        <v>0</v>
      </c>
      <c r="O90" s="9">
        <v>68</v>
      </c>
      <c r="P90" s="10">
        <f t="shared" si="31"/>
        <v>4</v>
      </c>
      <c r="Q90" s="12">
        <f t="shared" si="21"/>
        <v>455.52542255536633</v>
      </c>
      <c r="R90" s="11">
        <f t="shared" si="22"/>
        <v>16.345471363926748</v>
      </c>
      <c r="S90" s="6">
        <v>0</v>
      </c>
      <c r="T90" s="6">
        <v>1</v>
      </c>
      <c r="U90" s="6">
        <v>1</v>
      </c>
      <c r="V90" s="7">
        <v>0</v>
      </c>
      <c r="W90" s="9">
        <f t="shared" si="23"/>
        <v>61.500000000000014</v>
      </c>
      <c r="X90" s="10">
        <f t="shared" si="32"/>
        <v>6</v>
      </c>
      <c r="Y90" s="12">
        <f t="shared" si="24"/>
        <v>418.19578657580922</v>
      </c>
      <c r="Z90" s="11">
        <f t="shared" si="25"/>
        <v>15.25182968483816</v>
      </c>
      <c r="AA90" s="6">
        <v>0</v>
      </c>
      <c r="AB90" s="6">
        <v>0</v>
      </c>
      <c r="AC90" s="6">
        <v>1</v>
      </c>
      <c r="AD90" s="7">
        <v>1</v>
      </c>
      <c r="AE90" s="9">
        <f t="shared" si="26"/>
        <v>60</v>
      </c>
      <c r="AF90" s="10">
        <f t="shared" si="33"/>
        <v>12</v>
      </c>
      <c r="AG90" s="12">
        <f t="shared" si="27"/>
        <v>409.58125519591135</v>
      </c>
      <c r="AH90" s="11">
        <f t="shared" si="28"/>
        <v>14.999450835817715</v>
      </c>
      <c r="AJ90" s="6">
        <f t="shared" si="34"/>
        <v>600</v>
      </c>
      <c r="AK90" s="4">
        <v>73</v>
      </c>
      <c r="AM90" s="2" t="str">
        <f t="shared" si="29"/>
        <v>6</v>
      </c>
      <c r="AN90" s="2" t="str">
        <f t="shared" si="35"/>
        <v>258</v>
      </c>
      <c r="AO90" s="2"/>
      <c r="AP90" s="2" t="str">
        <f t="shared" si="36"/>
        <v>6258</v>
      </c>
    </row>
    <row r="91" spans="1:42" x14ac:dyDescent="0.2">
      <c r="A91">
        <v>74</v>
      </c>
      <c r="B91">
        <v>7.3</v>
      </c>
      <c r="C91" s="6">
        <v>0</v>
      </c>
      <c r="D91" s="6">
        <v>1</v>
      </c>
      <c r="E91" s="6">
        <v>1</v>
      </c>
      <c r="F91" s="7">
        <v>0</v>
      </c>
      <c r="G91" s="9">
        <v>60</v>
      </c>
      <c r="H91" s="10">
        <f t="shared" si="30"/>
        <v>6</v>
      </c>
      <c r="I91" s="12">
        <f t="shared" si="19"/>
        <v>409.58125519591135</v>
      </c>
      <c r="J91" s="11">
        <f t="shared" si="20"/>
        <v>14.999450835817715</v>
      </c>
      <c r="K91" s="6">
        <v>0</v>
      </c>
      <c r="L91" s="6">
        <v>0</v>
      </c>
      <c r="M91" s="6">
        <v>1</v>
      </c>
      <c r="N91" s="7">
        <v>0</v>
      </c>
      <c r="O91" s="9">
        <v>72</v>
      </c>
      <c r="P91" s="10">
        <f t="shared" si="31"/>
        <v>4</v>
      </c>
      <c r="Q91" s="12">
        <f t="shared" si="21"/>
        <v>478.49750623509368</v>
      </c>
      <c r="R91" s="11">
        <f t="shared" si="22"/>
        <v>17.018481627981259</v>
      </c>
      <c r="S91" s="6">
        <v>0</v>
      </c>
      <c r="T91" s="6">
        <v>1</v>
      </c>
      <c r="U91" s="6">
        <v>1</v>
      </c>
      <c r="V91" s="7">
        <v>0</v>
      </c>
      <c r="W91" s="9">
        <f t="shared" si="23"/>
        <v>65.350000000000009</v>
      </c>
      <c r="X91" s="10">
        <f t="shared" si="32"/>
        <v>6</v>
      </c>
      <c r="Y91" s="12">
        <f t="shared" si="24"/>
        <v>440.30641711754686</v>
      </c>
      <c r="Z91" s="11">
        <f t="shared" si="25"/>
        <v>15.899602063990631</v>
      </c>
      <c r="AA91" s="6">
        <v>0</v>
      </c>
      <c r="AB91" s="6">
        <v>0</v>
      </c>
      <c r="AC91" s="6">
        <v>1</v>
      </c>
      <c r="AD91" s="7">
        <v>1</v>
      </c>
      <c r="AE91" s="9">
        <f t="shared" si="26"/>
        <v>64</v>
      </c>
      <c r="AF91" s="10">
        <f t="shared" si="33"/>
        <v>12</v>
      </c>
      <c r="AG91" s="12">
        <f t="shared" si="27"/>
        <v>432.55333887563887</v>
      </c>
      <c r="AH91" s="11">
        <f t="shared" si="28"/>
        <v>15.672461099872232</v>
      </c>
      <c r="AJ91" s="6">
        <f t="shared" si="34"/>
        <v>600</v>
      </c>
      <c r="AK91" s="4">
        <v>74</v>
      </c>
      <c r="AM91" s="2" t="str">
        <f t="shared" si="29"/>
        <v>6</v>
      </c>
      <c r="AN91" s="2" t="str">
        <f t="shared" si="35"/>
        <v>258</v>
      </c>
      <c r="AO91" s="2"/>
      <c r="AP91" s="2" t="str">
        <f t="shared" si="36"/>
        <v>6258</v>
      </c>
    </row>
    <row r="92" spans="1:42" x14ac:dyDescent="0.2">
      <c r="A92">
        <v>75</v>
      </c>
      <c r="B92">
        <v>7.4</v>
      </c>
      <c r="C92" s="6">
        <v>0</v>
      </c>
      <c r="D92" s="6">
        <v>1</v>
      </c>
      <c r="E92" s="6">
        <v>1</v>
      </c>
      <c r="F92" s="7">
        <v>0</v>
      </c>
      <c r="G92" s="9">
        <v>60</v>
      </c>
      <c r="H92" s="10">
        <f t="shared" si="30"/>
        <v>6</v>
      </c>
      <c r="I92" s="12">
        <f t="shared" si="19"/>
        <v>409.58125519591135</v>
      </c>
      <c r="J92" s="11">
        <f t="shared" si="20"/>
        <v>14.999450835817715</v>
      </c>
      <c r="K92" s="6">
        <v>0</v>
      </c>
      <c r="L92" s="6">
        <v>0</v>
      </c>
      <c r="M92" s="6">
        <v>1</v>
      </c>
      <c r="N92" s="7">
        <v>0</v>
      </c>
      <c r="O92" s="9">
        <v>76</v>
      </c>
      <c r="P92" s="10">
        <f t="shared" si="31"/>
        <v>4</v>
      </c>
      <c r="Q92" s="12">
        <f t="shared" si="21"/>
        <v>501.46958991482109</v>
      </c>
      <c r="R92" s="11">
        <f t="shared" si="22"/>
        <v>17.691491892035774</v>
      </c>
      <c r="S92" s="6">
        <v>0</v>
      </c>
      <c r="T92" s="6">
        <v>1</v>
      </c>
      <c r="U92" s="6">
        <v>1</v>
      </c>
      <c r="V92" s="7">
        <v>0</v>
      </c>
      <c r="W92" s="9">
        <f t="shared" si="23"/>
        <v>69.2</v>
      </c>
      <c r="X92" s="10">
        <f t="shared" si="32"/>
        <v>6</v>
      </c>
      <c r="Y92" s="12">
        <f t="shared" si="24"/>
        <v>462.41704765928449</v>
      </c>
      <c r="Z92" s="11">
        <f t="shared" si="25"/>
        <v>16.547374443143102</v>
      </c>
      <c r="AA92" s="6">
        <v>0</v>
      </c>
      <c r="AB92" s="6">
        <v>0</v>
      </c>
      <c r="AC92" s="6">
        <v>1</v>
      </c>
      <c r="AD92" s="7">
        <v>1</v>
      </c>
      <c r="AE92" s="9">
        <f t="shared" si="26"/>
        <v>68</v>
      </c>
      <c r="AF92" s="10">
        <f t="shared" si="33"/>
        <v>12</v>
      </c>
      <c r="AG92" s="12">
        <f t="shared" si="27"/>
        <v>455.52542255536633</v>
      </c>
      <c r="AH92" s="11">
        <f t="shared" si="28"/>
        <v>16.345471363926748</v>
      </c>
      <c r="AJ92" s="6">
        <f t="shared" si="34"/>
        <v>600</v>
      </c>
      <c r="AK92" s="4">
        <v>75</v>
      </c>
      <c r="AM92" s="2" t="str">
        <f t="shared" si="29"/>
        <v>6</v>
      </c>
      <c r="AN92" s="2" t="str">
        <f t="shared" si="35"/>
        <v>258</v>
      </c>
      <c r="AO92" s="2"/>
      <c r="AP92" s="2" t="str">
        <f t="shared" si="36"/>
        <v>6258</v>
      </c>
    </row>
    <row r="93" spans="1:42" x14ac:dyDescent="0.2">
      <c r="A93">
        <v>76</v>
      </c>
      <c r="B93">
        <v>7.5</v>
      </c>
      <c r="C93" s="6">
        <v>0</v>
      </c>
      <c r="D93" s="6">
        <v>1</v>
      </c>
      <c r="E93" s="6">
        <v>1</v>
      </c>
      <c r="F93" s="7">
        <v>0</v>
      </c>
      <c r="G93" s="9">
        <v>60</v>
      </c>
      <c r="H93" s="10">
        <f t="shared" si="30"/>
        <v>6</v>
      </c>
      <c r="I93" s="12">
        <f t="shared" si="19"/>
        <v>409.58125519591135</v>
      </c>
      <c r="J93" s="11">
        <f t="shared" si="20"/>
        <v>14.999450835817715</v>
      </c>
      <c r="K93" s="6">
        <v>0</v>
      </c>
      <c r="L93" s="6">
        <v>0</v>
      </c>
      <c r="M93" s="6">
        <v>1</v>
      </c>
      <c r="N93" s="7">
        <v>0</v>
      </c>
      <c r="O93" s="9">
        <v>80</v>
      </c>
      <c r="P93" s="10">
        <f t="shared" si="31"/>
        <v>4</v>
      </c>
      <c r="Q93" s="12">
        <f t="shared" si="21"/>
        <v>524.44167359454855</v>
      </c>
      <c r="R93" s="11">
        <f t="shared" si="22"/>
        <v>18.364502156090289</v>
      </c>
      <c r="S93" s="6">
        <v>0</v>
      </c>
      <c r="T93" s="6">
        <v>1</v>
      </c>
      <c r="U93" s="6">
        <v>1</v>
      </c>
      <c r="V93" s="7">
        <v>0</v>
      </c>
      <c r="W93" s="9">
        <f t="shared" si="23"/>
        <v>73.05</v>
      </c>
      <c r="X93" s="10">
        <f t="shared" si="32"/>
        <v>6</v>
      </c>
      <c r="Y93" s="12">
        <f t="shared" si="24"/>
        <v>484.52767820102207</v>
      </c>
      <c r="Z93" s="11">
        <f t="shared" si="25"/>
        <v>17.19514682229557</v>
      </c>
      <c r="AA93" s="6">
        <v>0</v>
      </c>
      <c r="AB93" s="6">
        <v>0</v>
      </c>
      <c r="AC93" s="6">
        <v>1</v>
      </c>
      <c r="AD93" s="7">
        <v>1</v>
      </c>
      <c r="AE93" s="9">
        <f t="shared" si="26"/>
        <v>72</v>
      </c>
      <c r="AF93" s="10">
        <f t="shared" si="33"/>
        <v>12</v>
      </c>
      <c r="AG93" s="12">
        <f t="shared" si="27"/>
        <v>478.49750623509368</v>
      </c>
      <c r="AH93" s="11">
        <f t="shared" si="28"/>
        <v>17.018481627981259</v>
      </c>
      <c r="AJ93" s="6">
        <f t="shared" si="34"/>
        <v>600</v>
      </c>
      <c r="AK93" s="4">
        <v>76</v>
      </c>
      <c r="AM93" s="2" t="str">
        <f t="shared" si="29"/>
        <v>6</v>
      </c>
      <c r="AN93" s="2" t="str">
        <f t="shared" si="35"/>
        <v>258</v>
      </c>
      <c r="AO93" s="2"/>
      <c r="AP93" s="2" t="str">
        <f t="shared" si="36"/>
        <v>6258</v>
      </c>
    </row>
    <row r="94" spans="1:42" x14ac:dyDescent="0.2">
      <c r="A94">
        <v>77</v>
      </c>
      <c r="B94">
        <v>7.6</v>
      </c>
      <c r="C94" s="6">
        <v>0</v>
      </c>
      <c r="D94" s="6">
        <v>1</v>
      </c>
      <c r="E94" s="6">
        <v>1</v>
      </c>
      <c r="F94" s="7">
        <v>0</v>
      </c>
      <c r="G94" s="9">
        <v>60</v>
      </c>
      <c r="H94" s="10">
        <f t="shared" si="30"/>
        <v>6</v>
      </c>
      <c r="I94" s="12">
        <f t="shared" si="19"/>
        <v>409.58125519591135</v>
      </c>
      <c r="J94" s="11">
        <f t="shared" si="20"/>
        <v>14.999450835817715</v>
      </c>
      <c r="K94" s="6">
        <v>0</v>
      </c>
      <c r="L94" s="6">
        <v>0</v>
      </c>
      <c r="M94" s="6">
        <v>1</v>
      </c>
      <c r="N94" s="7">
        <v>0</v>
      </c>
      <c r="O94" s="9">
        <v>84</v>
      </c>
      <c r="P94" s="10">
        <f t="shared" si="31"/>
        <v>4</v>
      </c>
      <c r="Q94" s="12">
        <f t="shared" si="21"/>
        <v>547.41375727427589</v>
      </c>
      <c r="R94" s="11">
        <f t="shared" si="22"/>
        <v>19.0375124201448</v>
      </c>
      <c r="S94" s="6">
        <v>0</v>
      </c>
      <c r="T94" s="6">
        <v>1</v>
      </c>
      <c r="U94" s="6">
        <v>1</v>
      </c>
      <c r="V94" s="7">
        <v>0</v>
      </c>
      <c r="W94" s="9">
        <f t="shared" si="23"/>
        <v>76.899999999999991</v>
      </c>
      <c r="X94" s="10">
        <f t="shared" si="32"/>
        <v>6</v>
      </c>
      <c r="Y94" s="12">
        <f t="shared" si="24"/>
        <v>506.6383087427597</v>
      </c>
      <c r="Z94" s="11">
        <f t="shared" si="25"/>
        <v>17.842919201448041</v>
      </c>
      <c r="AA94" s="6">
        <v>0</v>
      </c>
      <c r="AB94" s="6">
        <v>0</v>
      </c>
      <c r="AC94" s="6">
        <v>1</v>
      </c>
      <c r="AD94" s="7">
        <v>1</v>
      </c>
      <c r="AE94" s="9">
        <f t="shared" si="26"/>
        <v>76</v>
      </c>
      <c r="AF94" s="10">
        <f t="shared" si="33"/>
        <v>12</v>
      </c>
      <c r="AG94" s="12">
        <f t="shared" si="27"/>
        <v>501.46958991482109</v>
      </c>
      <c r="AH94" s="11">
        <f t="shared" si="28"/>
        <v>17.691491892035774</v>
      </c>
      <c r="AJ94" s="6">
        <f t="shared" si="34"/>
        <v>600</v>
      </c>
      <c r="AK94" s="4">
        <v>77</v>
      </c>
      <c r="AM94" s="2" t="str">
        <f t="shared" si="29"/>
        <v>6</v>
      </c>
      <c r="AN94" s="2" t="str">
        <f t="shared" si="35"/>
        <v>258</v>
      </c>
      <c r="AO94" s="2"/>
      <c r="AP94" s="2" t="str">
        <f t="shared" si="36"/>
        <v>6258</v>
      </c>
    </row>
    <row r="95" spans="1:42" x14ac:dyDescent="0.2">
      <c r="A95">
        <v>78</v>
      </c>
      <c r="B95">
        <v>7.7</v>
      </c>
      <c r="C95" s="6">
        <v>0</v>
      </c>
      <c r="D95" s="6">
        <v>1</v>
      </c>
      <c r="E95" s="6">
        <v>1</v>
      </c>
      <c r="F95" s="7">
        <v>0</v>
      </c>
      <c r="G95" s="9">
        <v>60</v>
      </c>
      <c r="H95" s="10">
        <f t="shared" si="30"/>
        <v>6</v>
      </c>
      <c r="I95" s="12">
        <f t="shared" si="19"/>
        <v>409.58125519591135</v>
      </c>
      <c r="J95" s="11">
        <f t="shared" si="20"/>
        <v>14.999450835817715</v>
      </c>
      <c r="K95" s="6">
        <v>0</v>
      </c>
      <c r="L95" s="6">
        <v>0</v>
      </c>
      <c r="M95" s="6">
        <v>1</v>
      </c>
      <c r="N95" s="7">
        <v>0</v>
      </c>
      <c r="O95" s="9">
        <v>88</v>
      </c>
      <c r="P95" s="10">
        <f t="shared" si="31"/>
        <v>4</v>
      </c>
      <c r="Q95" s="12">
        <f t="shared" si="21"/>
        <v>570.38584095400347</v>
      </c>
      <c r="R95" s="11">
        <f t="shared" si="22"/>
        <v>19.710522684199319</v>
      </c>
      <c r="S95" s="6">
        <v>0</v>
      </c>
      <c r="T95" s="6">
        <v>1</v>
      </c>
      <c r="U95" s="6">
        <v>1</v>
      </c>
      <c r="V95" s="7">
        <v>0</v>
      </c>
      <c r="W95" s="9">
        <f t="shared" si="23"/>
        <v>80.749999999999986</v>
      </c>
      <c r="X95" s="10">
        <f t="shared" si="32"/>
        <v>6</v>
      </c>
      <c r="Y95" s="12">
        <f t="shared" si="24"/>
        <v>528.74893928449728</v>
      </c>
      <c r="Z95" s="11">
        <f t="shared" si="25"/>
        <v>18.490691580600505</v>
      </c>
      <c r="AA95" s="6">
        <v>0</v>
      </c>
      <c r="AB95" s="6">
        <v>0</v>
      </c>
      <c r="AC95" s="6">
        <v>1</v>
      </c>
      <c r="AD95" s="7">
        <v>1</v>
      </c>
      <c r="AE95" s="9">
        <f t="shared" si="26"/>
        <v>80</v>
      </c>
      <c r="AF95" s="10">
        <f t="shared" si="33"/>
        <v>12</v>
      </c>
      <c r="AG95" s="12">
        <f t="shared" si="27"/>
        <v>524.44167359454855</v>
      </c>
      <c r="AH95" s="11">
        <f t="shared" si="28"/>
        <v>18.364502156090289</v>
      </c>
      <c r="AJ95" s="6">
        <f t="shared" si="34"/>
        <v>600</v>
      </c>
      <c r="AK95" s="4">
        <v>78</v>
      </c>
      <c r="AM95" s="2" t="str">
        <f t="shared" si="29"/>
        <v>6</v>
      </c>
      <c r="AN95" s="2" t="str">
        <f t="shared" si="35"/>
        <v>258</v>
      </c>
      <c r="AO95" s="2"/>
      <c r="AP95" s="2" t="str">
        <f t="shared" si="36"/>
        <v>6258</v>
      </c>
    </row>
    <row r="96" spans="1:42" x14ac:dyDescent="0.2">
      <c r="A96">
        <v>79</v>
      </c>
      <c r="B96">
        <v>7.8</v>
      </c>
      <c r="C96" s="6">
        <v>0</v>
      </c>
      <c r="D96" s="6">
        <v>1</v>
      </c>
      <c r="E96" s="6">
        <v>1</v>
      </c>
      <c r="F96" s="7">
        <v>0</v>
      </c>
      <c r="G96" s="9">
        <v>60</v>
      </c>
      <c r="H96" s="10">
        <f t="shared" si="30"/>
        <v>6</v>
      </c>
      <c r="I96" s="12">
        <f t="shared" si="19"/>
        <v>409.58125519591135</v>
      </c>
      <c r="J96" s="11">
        <f t="shared" si="20"/>
        <v>14.999450835817715</v>
      </c>
      <c r="K96" s="6">
        <v>0</v>
      </c>
      <c r="L96" s="6">
        <v>0</v>
      </c>
      <c r="M96" s="6">
        <v>1</v>
      </c>
      <c r="N96" s="7">
        <v>0</v>
      </c>
      <c r="O96" s="9">
        <v>92</v>
      </c>
      <c r="P96" s="10">
        <f t="shared" si="31"/>
        <v>4</v>
      </c>
      <c r="Q96" s="12">
        <f t="shared" si="21"/>
        <v>593.35792463373093</v>
      </c>
      <c r="R96" s="11">
        <f t="shared" si="22"/>
        <v>20.383532948253837</v>
      </c>
      <c r="S96" s="6">
        <v>0</v>
      </c>
      <c r="T96" s="6">
        <v>1</v>
      </c>
      <c r="U96" s="6">
        <v>1</v>
      </c>
      <c r="V96" s="7">
        <v>0</v>
      </c>
      <c r="W96" s="9">
        <f t="shared" si="23"/>
        <v>84.59999999999998</v>
      </c>
      <c r="X96" s="10">
        <f t="shared" si="32"/>
        <v>6</v>
      </c>
      <c r="Y96" s="12">
        <f t="shared" si="24"/>
        <v>550.85956982623497</v>
      </c>
      <c r="Z96" s="11">
        <f t="shared" si="25"/>
        <v>19.138463959752979</v>
      </c>
      <c r="AA96" s="6">
        <v>0</v>
      </c>
      <c r="AB96" s="6">
        <v>0</v>
      </c>
      <c r="AC96" s="6">
        <v>1</v>
      </c>
      <c r="AD96" s="7">
        <v>1</v>
      </c>
      <c r="AE96" s="9">
        <f t="shared" si="26"/>
        <v>84</v>
      </c>
      <c r="AF96" s="10">
        <f t="shared" si="33"/>
        <v>12</v>
      </c>
      <c r="AG96" s="12">
        <f t="shared" si="27"/>
        <v>547.41375727427589</v>
      </c>
      <c r="AH96" s="11">
        <f t="shared" si="28"/>
        <v>19.0375124201448</v>
      </c>
      <c r="AJ96" s="6">
        <f t="shared" si="34"/>
        <v>600</v>
      </c>
      <c r="AK96" s="4">
        <v>79</v>
      </c>
      <c r="AM96" s="2" t="str">
        <f t="shared" si="29"/>
        <v>6</v>
      </c>
      <c r="AN96" s="2" t="str">
        <f t="shared" si="35"/>
        <v>258</v>
      </c>
      <c r="AO96" s="2"/>
      <c r="AP96" s="2" t="str">
        <f t="shared" si="36"/>
        <v>6258</v>
      </c>
    </row>
    <row r="97" spans="1:42" x14ac:dyDescent="0.2">
      <c r="A97">
        <v>80</v>
      </c>
      <c r="B97">
        <v>7.9</v>
      </c>
      <c r="C97" s="6">
        <v>0</v>
      </c>
      <c r="D97" s="6">
        <v>1</v>
      </c>
      <c r="E97" s="6">
        <v>1</v>
      </c>
      <c r="F97" s="7">
        <v>0</v>
      </c>
      <c r="G97" s="9">
        <v>60</v>
      </c>
      <c r="H97" s="10">
        <f t="shared" si="30"/>
        <v>6</v>
      </c>
      <c r="I97" s="12">
        <f t="shared" si="19"/>
        <v>409.58125519591135</v>
      </c>
      <c r="J97" s="11">
        <f t="shared" si="20"/>
        <v>14.999450835817715</v>
      </c>
      <c r="K97" s="6">
        <v>0</v>
      </c>
      <c r="L97" s="6">
        <v>0</v>
      </c>
      <c r="M97" s="6">
        <v>1</v>
      </c>
      <c r="N97" s="7">
        <v>0</v>
      </c>
      <c r="O97" s="9">
        <v>96</v>
      </c>
      <c r="P97" s="10">
        <f t="shared" si="31"/>
        <v>4</v>
      </c>
      <c r="Q97" s="12">
        <f t="shared" si="21"/>
        <v>616.33000831345817</v>
      </c>
      <c r="R97" s="11">
        <f t="shared" si="22"/>
        <v>21.056543212308345</v>
      </c>
      <c r="S97" s="6">
        <v>0</v>
      </c>
      <c r="T97" s="6">
        <v>1</v>
      </c>
      <c r="U97" s="6">
        <v>1</v>
      </c>
      <c r="V97" s="7">
        <v>0</v>
      </c>
      <c r="W97" s="9">
        <f t="shared" si="23"/>
        <v>88.449999999999974</v>
      </c>
      <c r="X97" s="10">
        <f t="shared" si="32"/>
        <v>6</v>
      </c>
      <c r="Y97" s="12">
        <f t="shared" si="24"/>
        <v>572.97020036797255</v>
      </c>
      <c r="Z97" s="11">
        <f t="shared" si="25"/>
        <v>19.786236338905447</v>
      </c>
      <c r="AA97" s="6">
        <v>0</v>
      </c>
      <c r="AB97" s="6">
        <v>0</v>
      </c>
      <c r="AC97" s="6">
        <v>1</v>
      </c>
      <c r="AD97" s="7">
        <v>1</v>
      </c>
      <c r="AE97" s="9">
        <f t="shared" si="26"/>
        <v>88</v>
      </c>
      <c r="AF97" s="10">
        <f t="shared" si="33"/>
        <v>12</v>
      </c>
      <c r="AG97" s="12">
        <f t="shared" si="27"/>
        <v>570.38584095400347</v>
      </c>
      <c r="AH97" s="11">
        <f t="shared" si="28"/>
        <v>19.710522684199319</v>
      </c>
      <c r="AJ97" s="6">
        <f t="shared" si="34"/>
        <v>600</v>
      </c>
      <c r="AK97" s="4">
        <v>80</v>
      </c>
      <c r="AM97" s="2" t="str">
        <f t="shared" si="29"/>
        <v>6</v>
      </c>
      <c r="AN97" s="2" t="str">
        <f t="shared" si="35"/>
        <v>258</v>
      </c>
      <c r="AO97" s="2"/>
      <c r="AP97" s="2" t="str">
        <f t="shared" si="36"/>
        <v>6258</v>
      </c>
    </row>
    <row r="98" spans="1:42" x14ac:dyDescent="0.2">
      <c r="A98">
        <v>81</v>
      </c>
      <c r="B98">
        <v>8</v>
      </c>
      <c r="C98" s="6">
        <v>0</v>
      </c>
      <c r="D98" s="6">
        <v>1</v>
      </c>
      <c r="E98" s="6">
        <v>1</v>
      </c>
      <c r="F98" s="7">
        <v>0</v>
      </c>
      <c r="G98" s="9">
        <v>60</v>
      </c>
      <c r="H98" s="10">
        <f t="shared" si="30"/>
        <v>6</v>
      </c>
      <c r="I98" s="12">
        <f t="shared" si="19"/>
        <v>409.58125519591135</v>
      </c>
      <c r="J98" s="11">
        <f t="shared" si="20"/>
        <v>14.999450835817715</v>
      </c>
      <c r="K98" s="6">
        <v>0</v>
      </c>
      <c r="L98" s="6">
        <v>0</v>
      </c>
      <c r="M98" s="6">
        <v>1</v>
      </c>
      <c r="N98" s="7">
        <v>0</v>
      </c>
      <c r="O98" s="9">
        <v>100</v>
      </c>
      <c r="P98" s="10">
        <f t="shared" si="31"/>
        <v>4</v>
      </c>
      <c r="Q98" s="12">
        <f t="shared" si="21"/>
        <v>639.30209199318563</v>
      </c>
      <c r="R98" s="11">
        <f t="shared" si="22"/>
        <v>21.729553476362859</v>
      </c>
      <c r="S98" s="6">
        <v>0</v>
      </c>
      <c r="T98" s="6">
        <v>1</v>
      </c>
      <c r="U98" s="6">
        <v>1</v>
      </c>
      <c r="V98" s="7">
        <v>0</v>
      </c>
      <c r="W98" s="9">
        <f t="shared" si="23"/>
        <v>92.299999999999969</v>
      </c>
      <c r="X98" s="10">
        <f t="shared" si="32"/>
        <v>6</v>
      </c>
      <c r="Y98" s="12">
        <f t="shared" si="24"/>
        <v>595.08083090971024</v>
      </c>
      <c r="Z98" s="11">
        <f t="shared" si="25"/>
        <v>20.434008718057918</v>
      </c>
      <c r="AA98" s="6">
        <v>0</v>
      </c>
      <c r="AB98" s="6">
        <v>0</v>
      </c>
      <c r="AC98" s="6">
        <v>1</v>
      </c>
      <c r="AD98" s="7">
        <v>1</v>
      </c>
      <c r="AE98" s="9">
        <f t="shared" si="26"/>
        <v>92</v>
      </c>
      <c r="AF98" s="10">
        <f t="shared" si="33"/>
        <v>12</v>
      </c>
      <c r="AG98" s="12">
        <f t="shared" si="27"/>
        <v>593.35792463373093</v>
      </c>
      <c r="AH98" s="11">
        <f t="shared" si="28"/>
        <v>20.383532948253837</v>
      </c>
      <c r="AJ98" s="6">
        <f t="shared" si="34"/>
        <v>600</v>
      </c>
      <c r="AK98" s="4">
        <v>81</v>
      </c>
      <c r="AM98" s="2" t="str">
        <f t="shared" si="29"/>
        <v>6</v>
      </c>
      <c r="AN98" s="2" t="str">
        <f t="shared" si="35"/>
        <v>258</v>
      </c>
      <c r="AO98" s="2"/>
      <c r="AP98" s="2" t="str">
        <f t="shared" si="36"/>
        <v>6258</v>
      </c>
    </row>
    <row r="99" spans="1:42" x14ac:dyDescent="0.2">
      <c r="A99">
        <v>82</v>
      </c>
      <c r="B99">
        <v>8.1</v>
      </c>
      <c r="C99" s="6">
        <v>0</v>
      </c>
      <c r="D99" s="6">
        <v>1</v>
      </c>
      <c r="E99" s="6">
        <v>1</v>
      </c>
      <c r="F99" s="7">
        <v>0</v>
      </c>
      <c r="G99" s="9">
        <v>60</v>
      </c>
      <c r="H99" s="10">
        <f t="shared" si="30"/>
        <v>6</v>
      </c>
      <c r="I99" s="12">
        <f t="shared" si="19"/>
        <v>409.58125519591135</v>
      </c>
      <c r="J99" s="11">
        <f t="shared" si="20"/>
        <v>14.999450835817715</v>
      </c>
      <c r="K99" s="6">
        <v>0</v>
      </c>
      <c r="L99" s="6">
        <v>0</v>
      </c>
      <c r="M99" s="6">
        <v>1</v>
      </c>
      <c r="N99" s="7">
        <v>0</v>
      </c>
      <c r="O99" s="9">
        <v>100</v>
      </c>
      <c r="P99" s="10">
        <f t="shared" si="31"/>
        <v>4</v>
      </c>
      <c r="Q99" s="12">
        <f t="shared" si="21"/>
        <v>639.30209199318563</v>
      </c>
      <c r="R99" s="11">
        <f t="shared" si="22"/>
        <v>21.729553476362859</v>
      </c>
      <c r="S99" s="6">
        <v>0</v>
      </c>
      <c r="T99" s="6">
        <v>1</v>
      </c>
      <c r="U99" s="6">
        <v>1</v>
      </c>
      <c r="V99" s="7">
        <v>0</v>
      </c>
      <c r="W99" s="9">
        <f t="shared" si="23"/>
        <v>96.149999999999963</v>
      </c>
      <c r="X99" s="10">
        <f t="shared" si="32"/>
        <v>6</v>
      </c>
      <c r="Y99" s="12">
        <f t="shared" si="24"/>
        <v>617.19146145144782</v>
      </c>
      <c r="Z99" s="11">
        <f t="shared" si="25"/>
        <v>21.081781097210389</v>
      </c>
      <c r="AA99" s="6">
        <v>0</v>
      </c>
      <c r="AB99" s="6">
        <v>0</v>
      </c>
      <c r="AC99" s="6">
        <v>1</v>
      </c>
      <c r="AD99" s="7">
        <v>1</v>
      </c>
      <c r="AE99" s="9">
        <f t="shared" si="26"/>
        <v>96</v>
      </c>
      <c r="AF99" s="10">
        <f t="shared" si="33"/>
        <v>12</v>
      </c>
      <c r="AG99" s="12">
        <f t="shared" si="27"/>
        <v>616.33000831345817</v>
      </c>
      <c r="AH99" s="11">
        <f t="shared" si="28"/>
        <v>21.056543212308345</v>
      </c>
      <c r="AJ99" s="6">
        <f t="shared" si="34"/>
        <v>600</v>
      </c>
      <c r="AK99" s="4">
        <v>82</v>
      </c>
      <c r="AM99" s="2" t="str">
        <f t="shared" si="29"/>
        <v>6</v>
      </c>
      <c r="AN99" s="2" t="str">
        <f t="shared" si="35"/>
        <v>258</v>
      </c>
      <c r="AO99" s="2"/>
      <c r="AP99" s="2" t="str">
        <f t="shared" si="36"/>
        <v>6258</v>
      </c>
    </row>
    <row r="100" spans="1:42" x14ac:dyDescent="0.2">
      <c r="A100">
        <v>83</v>
      </c>
      <c r="B100">
        <v>8.1999999999999993</v>
      </c>
      <c r="C100" s="6">
        <v>0</v>
      </c>
      <c r="D100" s="6">
        <v>1</v>
      </c>
      <c r="E100" s="6">
        <v>1</v>
      </c>
      <c r="F100" s="7">
        <v>0</v>
      </c>
      <c r="G100" s="9">
        <v>60</v>
      </c>
      <c r="H100" s="10">
        <f t="shared" si="30"/>
        <v>6</v>
      </c>
      <c r="I100" s="12">
        <f t="shared" si="19"/>
        <v>409.58125519591135</v>
      </c>
      <c r="J100" s="11">
        <f t="shared" si="20"/>
        <v>14.999450835817715</v>
      </c>
      <c r="K100" s="6">
        <v>0</v>
      </c>
      <c r="L100" s="6">
        <v>0</v>
      </c>
      <c r="M100" s="6">
        <v>1</v>
      </c>
      <c r="N100" s="7">
        <v>0</v>
      </c>
      <c r="O100" s="9">
        <v>100</v>
      </c>
      <c r="P100" s="10">
        <f t="shared" si="31"/>
        <v>4</v>
      </c>
      <c r="Q100" s="12">
        <f t="shared" si="21"/>
        <v>639.30209199318563</v>
      </c>
      <c r="R100" s="11">
        <f t="shared" si="22"/>
        <v>21.729553476362859</v>
      </c>
      <c r="S100" s="6">
        <v>0</v>
      </c>
      <c r="T100" s="6">
        <v>1</v>
      </c>
      <c r="U100" s="6">
        <v>1</v>
      </c>
      <c r="V100" s="7">
        <v>0</v>
      </c>
      <c r="W100" s="9">
        <f t="shared" si="23"/>
        <v>99.999999999999957</v>
      </c>
      <c r="X100" s="10">
        <f t="shared" si="32"/>
        <v>6</v>
      </c>
      <c r="Y100" s="12">
        <f t="shared" si="24"/>
        <v>639.3020919931854</v>
      </c>
      <c r="Z100" s="11">
        <f t="shared" si="25"/>
        <v>21.729553476362852</v>
      </c>
      <c r="AA100" s="6">
        <v>0</v>
      </c>
      <c r="AB100" s="6">
        <v>0</v>
      </c>
      <c r="AC100" s="6">
        <v>1</v>
      </c>
      <c r="AD100" s="7">
        <v>1</v>
      </c>
      <c r="AE100" s="9">
        <f t="shared" si="26"/>
        <v>100</v>
      </c>
      <c r="AF100" s="10">
        <f t="shared" si="33"/>
        <v>12</v>
      </c>
      <c r="AG100" s="12">
        <f t="shared" si="27"/>
        <v>639.30209199318563</v>
      </c>
      <c r="AH100" s="11">
        <f t="shared" si="28"/>
        <v>21.729553476362859</v>
      </c>
      <c r="AJ100" s="6">
        <f t="shared" si="34"/>
        <v>600</v>
      </c>
      <c r="AK100" s="4">
        <v>83</v>
      </c>
      <c r="AM100" s="2" t="str">
        <f t="shared" si="29"/>
        <v>6</v>
      </c>
      <c r="AN100" s="2" t="str">
        <f t="shared" si="35"/>
        <v>258</v>
      </c>
      <c r="AO100" s="2"/>
      <c r="AP100" s="2" t="str">
        <f t="shared" si="36"/>
        <v>6258</v>
      </c>
    </row>
    <row r="101" spans="1:42" x14ac:dyDescent="0.2">
      <c r="A101">
        <v>84</v>
      </c>
      <c r="B101">
        <v>8.3000000000000007</v>
      </c>
      <c r="C101" s="6">
        <v>0</v>
      </c>
      <c r="D101" s="6">
        <v>1</v>
      </c>
      <c r="E101" s="6">
        <v>1</v>
      </c>
      <c r="F101" s="7">
        <v>0</v>
      </c>
      <c r="G101" s="9">
        <v>60</v>
      </c>
      <c r="H101" s="10">
        <f t="shared" si="30"/>
        <v>6</v>
      </c>
      <c r="I101" s="12">
        <f t="shared" si="19"/>
        <v>409.58125519591135</v>
      </c>
      <c r="J101" s="11">
        <f t="shared" si="20"/>
        <v>14.999450835817715</v>
      </c>
      <c r="K101" s="6">
        <v>0</v>
      </c>
      <c r="L101" s="6">
        <v>0</v>
      </c>
      <c r="M101" s="6">
        <v>1</v>
      </c>
      <c r="N101" s="7">
        <v>0</v>
      </c>
      <c r="O101" s="9">
        <v>100</v>
      </c>
      <c r="P101" s="10">
        <f t="shared" si="31"/>
        <v>4</v>
      </c>
      <c r="Q101" s="12">
        <f t="shared" si="21"/>
        <v>639.30209199318563</v>
      </c>
      <c r="R101" s="11">
        <f t="shared" si="22"/>
        <v>21.729553476362859</v>
      </c>
      <c r="S101" s="6">
        <v>0</v>
      </c>
      <c r="T101" s="6">
        <v>1</v>
      </c>
      <c r="U101" s="6">
        <v>1</v>
      </c>
      <c r="V101" s="7">
        <v>0</v>
      </c>
      <c r="W101" s="9">
        <v>100</v>
      </c>
      <c r="X101" s="10">
        <f t="shared" si="32"/>
        <v>6</v>
      </c>
      <c r="Y101" s="12">
        <f t="shared" si="24"/>
        <v>639.30209199318563</v>
      </c>
      <c r="Z101" s="11">
        <f t="shared" si="25"/>
        <v>21.729553476362859</v>
      </c>
      <c r="AA101" s="6">
        <v>0</v>
      </c>
      <c r="AB101" s="6">
        <v>0</v>
      </c>
      <c r="AC101" s="6">
        <v>1</v>
      </c>
      <c r="AD101" s="7">
        <v>1</v>
      </c>
      <c r="AE101" s="9">
        <v>100</v>
      </c>
      <c r="AF101" s="10">
        <f t="shared" si="33"/>
        <v>12</v>
      </c>
      <c r="AG101" s="12">
        <f t="shared" si="27"/>
        <v>639.30209199318563</v>
      </c>
      <c r="AH101" s="11">
        <f t="shared" si="28"/>
        <v>21.729553476362859</v>
      </c>
      <c r="AJ101" s="6">
        <f t="shared" si="34"/>
        <v>600</v>
      </c>
      <c r="AK101" s="4">
        <v>84</v>
      </c>
      <c r="AM101" s="2" t="str">
        <f t="shared" si="29"/>
        <v>6</v>
      </c>
      <c r="AN101" s="2" t="str">
        <f t="shared" si="35"/>
        <v>258</v>
      </c>
      <c r="AO101" s="2"/>
      <c r="AP101" s="2" t="str">
        <f t="shared" si="36"/>
        <v>6258</v>
      </c>
    </row>
    <row r="102" spans="1:42" x14ac:dyDescent="0.2">
      <c r="A102">
        <v>85</v>
      </c>
      <c r="B102">
        <v>8.4</v>
      </c>
      <c r="C102" s="6">
        <v>0</v>
      </c>
      <c r="D102" s="6">
        <v>1</v>
      </c>
      <c r="E102" s="6">
        <v>1</v>
      </c>
      <c r="F102" s="7">
        <v>0</v>
      </c>
      <c r="G102" s="9">
        <v>60</v>
      </c>
      <c r="H102" s="10">
        <f t="shared" si="30"/>
        <v>6</v>
      </c>
      <c r="I102" s="12">
        <f t="shared" si="19"/>
        <v>409.58125519591135</v>
      </c>
      <c r="J102" s="11">
        <f t="shared" si="20"/>
        <v>14.999450835817715</v>
      </c>
      <c r="K102" s="6">
        <v>0</v>
      </c>
      <c r="L102" s="6">
        <v>0</v>
      </c>
      <c r="M102" s="6">
        <v>1</v>
      </c>
      <c r="N102" s="7">
        <v>0</v>
      </c>
      <c r="O102" s="9">
        <v>100</v>
      </c>
      <c r="P102" s="10">
        <f t="shared" si="31"/>
        <v>4</v>
      </c>
      <c r="Q102" s="12">
        <f t="shared" si="21"/>
        <v>639.30209199318563</v>
      </c>
      <c r="R102" s="11">
        <f t="shared" si="22"/>
        <v>21.729553476362859</v>
      </c>
      <c r="S102" s="6">
        <v>0</v>
      </c>
      <c r="T102" s="6">
        <v>1</v>
      </c>
      <c r="U102" s="6">
        <v>1</v>
      </c>
      <c r="V102" s="7">
        <v>0</v>
      </c>
      <c r="W102" s="9">
        <v>100</v>
      </c>
      <c r="X102" s="10">
        <f t="shared" si="32"/>
        <v>6</v>
      </c>
      <c r="Y102" s="12">
        <f t="shared" si="24"/>
        <v>639.30209199318563</v>
      </c>
      <c r="Z102" s="11">
        <f t="shared" si="25"/>
        <v>21.729553476362859</v>
      </c>
      <c r="AA102" s="6">
        <v>0</v>
      </c>
      <c r="AB102" s="6">
        <v>0</v>
      </c>
      <c r="AC102" s="6">
        <v>1</v>
      </c>
      <c r="AD102" s="7">
        <v>1</v>
      </c>
      <c r="AE102" s="9">
        <v>100</v>
      </c>
      <c r="AF102" s="10">
        <f t="shared" si="33"/>
        <v>12</v>
      </c>
      <c r="AG102" s="12">
        <f t="shared" si="27"/>
        <v>639.30209199318563</v>
      </c>
      <c r="AH102" s="11">
        <f t="shared" si="28"/>
        <v>21.729553476362859</v>
      </c>
      <c r="AJ102" s="6">
        <f t="shared" si="34"/>
        <v>600</v>
      </c>
      <c r="AK102" s="4">
        <v>85</v>
      </c>
      <c r="AM102" s="2" t="str">
        <f t="shared" si="29"/>
        <v>6</v>
      </c>
      <c r="AN102" s="2" t="str">
        <f t="shared" si="35"/>
        <v>258</v>
      </c>
      <c r="AO102" s="2"/>
      <c r="AP102" s="2" t="str">
        <f t="shared" si="36"/>
        <v>6258</v>
      </c>
    </row>
    <row r="103" spans="1:42" x14ac:dyDescent="0.2">
      <c r="A103">
        <v>86</v>
      </c>
      <c r="B103">
        <v>8.5</v>
      </c>
      <c r="C103" s="6">
        <v>0</v>
      </c>
      <c r="D103" s="6">
        <v>1</v>
      </c>
      <c r="E103" s="6">
        <v>1</v>
      </c>
      <c r="F103" s="7">
        <v>0</v>
      </c>
      <c r="G103" s="9">
        <v>60</v>
      </c>
      <c r="H103" s="10">
        <f t="shared" si="30"/>
        <v>6</v>
      </c>
      <c r="I103" s="12">
        <f t="shared" si="19"/>
        <v>409.58125519591135</v>
      </c>
      <c r="J103" s="11">
        <f t="shared" si="20"/>
        <v>14.999450835817715</v>
      </c>
      <c r="K103" s="6">
        <v>0</v>
      </c>
      <c r="L103" s="6">
        <v>0</v>
      </c>
      <c r="M103" s="6">
        <v>1</v>
      </c>
      <c r="N103" s="7">
        <v>0</v>
      </c>
      <c r="O103" s="9">
        <v>100</v>
      </c>
      <c r="P103" s="10">
        <f t="shared" si="31"/>
        <v>4</v>
      </c>
      <c r="Q103" s="12">
        <f t="shared" si="21"/>
        <v>639.30209199318563</v>
      </c>
      <c r="R103" s="11">
        <f t="shared" si="22"/>
        <v>21.729553476362859</v>
      </c>
      <c r="S103" s="6">
        <v>0</v>
      </c>
      <c r="T103" s="6">
        <v>1</v>
      </c>
      <c r="U103" s="6">
        <v>1</v>
      </c>
      <c r="V103" s="7">
        <v>0</v>
      </c>
      <c r="W103" s="9">
        <v>100</v>
      </c>
      <c r="X103" s="10">
        <f t="shared" si="32"/>
        <v>6</v>
      </c>
      <c r="Y103" s="12">
        <f t="shared" si="24"/>
        <v>639.30209199318563</v>
      </c>
      <c r="Z103" s="11">
        <f t="shared" si="25"/>
        <v>21.729553476362859</v>
      </c>
      <c r="AA103" s="6">
        <v>0</v>
      </c>
      <c r="AB103" s="6">
        <v>0</v>
      </c>
      <c r="AC103" s="6">
        <v>1</v>
      </c>
      <c r="AD103" s="7">
        <v>1</v>
      </c>
      <c r="AE103" s="9">
        <v>100</v>
      </c>
      <c r="AF103" s="10">
        <f t="shared" si="33"/>
        <v>12</v>
      </c>
      <c r="AG103" s="12">
        <f t="shared" si="27"/>
        <v>639.30209199318563</v>
      </c>
      <c r="AH103" s="11">
        <f t="shared" si="28"/>
        <v>21.729553476362859</v>
      </c>
      <c r="AJ103" s="6">
        <f t="shared" si="34"/>
        <v>600</v>
      </c>
      <c r="AK103" s="4">
        <v>86</v>
      </c>
      <c r="AM103" s="2" t="str">
        <f t="shared" si="29"/>
        <v>6</v>
      </c>
      <c r="AN103" s="2" t="str">
        <f t="shared" si="35"/>
        <v>258</v>
      </c>
      <c r="AO103" s="2"/>
      <c r="AP103" s="2" t="str">
        <f t="shared" si="36"/>
        <v>6258</v>
      </c>
    </row>
    <row r="104" spans="1:42" x14ac:dyDescent="0.2">
      <c r="A104">
        <v>87</v>
      </c>
      <c r="B104">
        <v>8.6</v>
      </c>
      <c r="C104" s="6">
        <v>0</v>
      </c>
      <c r="D104" s="6">
        <v>1</v>
      </c>
      <c r="E104" s="6">
        <v>1</v>
      </c>
      <c r="F104" s="7">
        <v>0</v>
      </c>
      <c r="G104" s="9">
        <v>60</v>
      </c>
      <c r="H104" s="10">
        <f t="shared" si="30"/>
        <v>6</v>
      </c>
      <c r="I104" s="12">
        <f t="shared" si="19"/>
        <v>409.58125519591135</v>
      </c>
      <c r="J104" s="11">
        <f t="shared" si="20"/>
        <v>14.999450835817715</v>
      </c>
      <c r="K104" s="6">
        <v>0</v>
      </c>
      <c r="L104" s="6">
        <v>0</v>
      </c>
      <c r="M104" s="6">
        <v>1</v>
      </c>
      <c r="N104" s="7">
        <v>0</v>
      </c>
      <c r="O104" s="9">
        <v>100</v>
      </c>
      <c r="P104" s="10">
        <f t="shared" si="31"/>
        <v>4</v>
      </c>
      <c r="Q104" s="12">
        <f t="shared" si="21"/>
        <v>639.30209199318563</v>
      </c>
      <c r="R104" s="11">
        <f t="shared" si="22"/>
        <v>21.729553476362859</v>
      </c>
      <c r="S104" s="6">
        <v>0</v>
      </c>
      <c r="T104" s="6">
        <v>1</v>
      </c>
      <c r="U104" s="6">
        <v>1</v>
      </c>
      <c r="V104" s="7">
        <v>0</v>
      </c>
      <c r="W104" s="9">
        <v>100</v>
      </c>
      <c r="X104" s="10">
        <f t="shared" si="32"/>
        <v>6</v>
      </c>
      <c r="Y104" s="12">
        <f t="shared" si="24"/>
        <v>639.30209199318563</v>
      </c>
      <c r="Z104" s="11">
        <f t="shared" si="25"/>
        <v>21.729553476362859</v>
      </c>
      <c r="AA104" s="6">
        <v>0</v>
      </c>
      <c r="AB104" s="6">
        <v>0</v>
      </c>
      <c r="AC104" s="6">
        <v>1</v>
      </c>
      <c r="AD104" s="7">
        <v>1</v>
      </c>
      <c r="AE104" s="9">
        <v>100</v>
      </c>
      <c r="AF104" s="10">
        <f t="shared" si="33"/>
        <v>12</v>
      </c>
      <c r="AG104" s="12">
        <f t="shared" si="27"/>
        <v>639.30209199318563</v>
      </c>
      <c r="AH104" s="11">
        <f t="shared" si="28"/>
        <v>21.729553476362859</v>
      </c>
      <c r="AJ104" s="6">
        <f t="shared" si="34"/>
        <v>600</v>
      </c>
      <c r="AK104" s="4">
        <v>87</v>
      </c>
      <c r="AM104" s="2" t="str">
        <f t="shared" si="29"/>
        <v>6</v>
      </c>
      <c r="AN104" s="2" t="str">
        <f t="shared" si="35"/>
        <v>258</v>
      </c>
      <c r="AO104" s="2"/>
      <c r="AP104" s="2" t="str">
        <f t="shared" si="36"/>
        <v>6258</v>
      </c>
    </row>
    <row r="105" spans="1:42" x14ac:dyDescent="0.2">
      <c r="A105">
        <v>88</v>
      </c>
      <c r="B105">
        <v>8.6999999999999993</v>
      </c>
      <c r="C105" s="6">
        <v>0</v>
      </c>
      <c r="D105" s="6">
        <v>1</v>
      </c>
      <c r="E105" s="6">
        <v>1</v>
      </c>
      <c r="F105" s="7">
        <v>0</v>
      </c>
      <c r="G105" s="9">
        <v>60</v>
      </c>
      <c r="H105" s="10">
        <f t="shared" si="30"/>
        <v>6</v>
      </c>
      <c r="I105" s="12">
        <f t="shared" si="19"/>
        <v>409.58125519591135</v>
      </c>
      <c r="J105" s="11">
        <f t="shared" si="20"/>
        <v>14.999450835817715</v>
      </c>
      <c r="K105" s="6">
        <v>0</v>
      </c>
      <c r="L105" s="6">
        <v>0</v>
      </c>
      <c r="M105" s="6">
        <v>1</v>
      </c>
      <c r="N105" s="7">
        <v>0</v>
      </c>
      <c r="O105" s="9">
        <v>100</v>
      </c>
      <c r="P105" s="10">
        <f t="shared" si="31"/>
        <v>4</v>
      </c>
      <c r="Q105" s="12">
        <f t="shared" si="21"/>
        <v>639.30209199318563</v>
      </c>
      <c r="R105" s="11">
        <f t="shared" si="22"/>
        <v>21.729553476362859</v>
      </c>
      <c r="S105" s="6">
        <v>0</v>
      </c>
      <c r="T105" s="6">
        <v>1</v>
      </c>
      <c r="U105" s="6">
        <v>1</v>
      </c>
      <c r="V105" s="7">
        <v>0</v>
      </c>
      <c r="W105" s="9">
        <v>100</v>
      </c>
      <c r="X105" s="10">
        <f t="shared" si="32"/>
        <v>6</v>
      </c>
      <c r="Y105" s="12">
        <f t="shared" si="24"/>
        <v>639.30209199318563</v>
      </c>
      <c r="Z105" s="11">
        <f t="shared" si="25"/>
        <v>21.729553476362859</v>
      </c>
      <c r="AA105" s="6">
        <v>0</v>
      </c>
      <c r="AB105" s="6">
        <v>0</v>
      </c>
      <c r="AC105" s="6">
        <v>1</v>
      </c>
      <c r="AD105" s="7">
        <v>1</v>
      </c>
      <c r="AE105" s="9">
        <v>100</v>
      </c>
      <c r="AF105" s="10">
        <f t="shared" si="33"/>
        <v>12</v>
      </c>
      <c r="AG105" s="12">
        <f t="shared" si="27"/>
        <v>639.30209199318563</v>
      </c>
      <c r="AH105" s="11">
        <f t="shared" si="28"/>
        <v>21.729553476362859</v>
      </c>
      <c r="AJ105" s="6">
        <f t="shared" si="34"/>
        <v>600</v>
      </c>
      <c r="AK105" s="4">
        <v>88</v>
      </c>
      <c r="AM105" s="2" t="str">
        <f t="shared" si="29"/>
        <v>6</v>
      </c>
      <c r="AN105" s="2" t="str">
        <f t="shared" si="35"/>
        <v>258</v>
      </c>
      <c r="AO105" s="2"/>
      <c r="AP105" s="2" t="str">
        <f t="shared" si="36"/>
        <v>6258</v>
      </c>
    </row>
    <row r="106" spans="1:42" x14ac:dyDescent="0.2">
      <c r="A106">
        <v>89</v>
      </c>
      <c r="B106">
        <v>8.8000000000000007</v>
      </c>
      <c r="C106" s="6">
        <v>0</v>
      </c>
      <c r="D106" s="6">
        <v>1</v>
      </c>
      <c r="E106" s="6">
        <v>1</v>
      </c>
      <c r="F106" s="7">
        <v>0</v>
      </c>
      <c r="G106" s="9">
        <v>60</v>
      </c>
      <c r="H106" s="10">
        <f t="shared" si="30"/>
        <v>6</v>
      </c>
      <c r="I106" s="12">
        <f t="shared" si="19"/>
        <v>409.58125519591135</v>
      </c>
      <c r="J106" s="11">
        <f t="shared" si="20"/>
        <v>14.999450835817715</v>
      </c>
      <c r="K106" s="6">
        <v>0</v>
      </c>
      <c r="L106" s="6">
        <v>0</v>
      </c>
      <c r="M106" s="6">
        <v>1</v>
      </c>
      <c r="N106" s="7">
        <v>0</v>
      </c>
      <c r="O106" s="9">
        <v>100</v>
      </c>
      <c r="P106" s="10">
        <f t="shared" si="31"/>
        <v>4</v>
      </c>
      <c r="Q106" s="12">
        <f t="shared" si="21"/>
        <v>639.30209199318563</v>
      </c>
      <c r="R106" s="11">
        <f t="shared" si="22"/>
        <v>21.729553476362859</v>
      </c>
      <c r="S106" s="6">
        <v>0</v>
      </c>
      <c r="T106" s="6">
        <v>1</v>
      </c>
      <c r="U106" s="6">
        <v>1</v>
      </c>
      <c r="V106" s="7">
        <v>0</v>
      </c>
      <c r="W106" s="9">
        <v>100</v>
      </c>
      <c r="X106" s="10">
        <f t="shared" si="32"/>
        <v>6</v>
      </c>
      <c r="Y106" s="12">
        <f t="shared" si="24"/>
        <v>639.30209199318563</v>
      </c>
      <c r="Z106" s="11">
        <f t="shared" si="25"/>
        <v>21.729553476362859</v>
      </c>
      <c r="AA106" s="6">
        <v>0</v>
      </c>
      <c r="AB106" s="6">
        <v>0</v>
      </c>
      <c r="AC106" s="6">
        <v>1</v>
      </c>
      <c r="AD106" s="7">
        <v>1</v>
      </c>
      <c r="AE106" s="9">
        <v>100</v>
      </c>
      <c r="AF106" s="10">
        <f t="shared" si="33"/>
        <v>12</v>
      </c>
      <c r="AG106" s="12">
        <f t="shared" si="27"/>
        <v>639.30209199318563</v>
      </c>
      <c r="AH106" s="11">
        <f t="shared" si="28"/>
        <v>21.729553476362859</v>
      </c>
      <c r="AJ106" s="6">
        <f t="shared" si="34"/>
        <v>600</v>
      </c>
      <c r="AK106" s="4">
        <v>89</v>
      </c>
      <c r="AM106" s="2" t="str">
        <f t="shared" si="29"/>
        <v>6</v>
      </c>
      <c r="AN106" s="2" t="str">
        <f t="shared" si="35"/>
        <v>258</v>
      </c>
      <c r="AO106" s="2"/>
      <c r="AP106" s="2" t="str">
        <f t="shared" si="36"/>
        <v>6258</v>
      </c>
    </row>
    <row r="107" spans="1:42" x14ac:dyDescent="0.2">
      <c r="A107">
        <v>90</v>
      </c>
      <c r="B107">
        <v>8.9</v>
      </c>
      <c r="C107" s="6">
        <v>0</v>
      </c>
      <c r="D107" s="6">
        <v>1</v>
      </c>
      <c r="E107" s="6">
        <v>1</v>
      </c>
      <c r="F107" s="7">
        <v>0</v>
      </c>
      <c r="G107" s="9">
        <v>60</v>
      </c>
      <c r="H107" s="10">
        <f t="shared" si="30"/>
        <v>6</v>
      </c>
      <c r="I107" s="12">
        <f t="shared" si="19"/>
        <v>409.58125519591135</v>
      </c>
      <c r="J107" s="11">
        <f t="shared" si="20"/>
        <v>14.999450835817715</v>
      </c>
      <c r="K107" s="6">
        <v>0</v>
      </c>
      <c r="L107" s="6">
        <v>0</v>
      </c>
      <c r="M107" s="6">
        <v>1</v>
      </c>
      <c r="N107" s="7">
        <v>0</v>
      </c>
      <c r="O107" s="9">
        <v>100</v>
      </c>
      <c r="P107" s="10">
        <f t="shared" si="31"/>
        <v>4</v>
      </c>
      <c r="Q107" s="12">
        <f t="shared" si="21"/>
        <v>639.30209199318563</v>
      </c>
      <c r="R107" s="11">
        <f t="shared" si="22"/>
        <v>21.729553476362859</v>
      </c>
      <c r="S107" s="6">
        <v>0</v>
      </c>
      <c r="T107" s="6">
        <v>1</v>
      </c>
      <c r="U107" s="6">
        <v>1</v>
      </c>
      <c r="V107" s="7">
        <v>0</v>
      </c>
      <c r="W107" s="9">
        <v>100</v>
      </c>
      <c r="X107" s="10">
        <f t="shared" si="32"/>
        <v>6</v>
      </c>
      <c r="Y107" s="12">
        <f t="shared" si="24"/>
        <v>639.30209199318563</v>
      </c>
      <c r="Z107" s="11">
        <f t="shared" si="25"/>
        <v>21.729553476362859</v>
      </c>
      <c r="AA107" s="6">
        <v>0</v>
      </c>
      <c r="AB107" s="6">
        <v>0</v>
      </c>
      <c r="AC107" s="6">
        <v>1</v>
      </c>
      <c r="AD107" s="7">
        <v>1</v>
      </c>
      <c r="AE107" s="9">
        <v>100</v>
      </c>
      <c r="AF107" s="10">
        <f t="shared" si="33"/>
        <v>12</v>
      </c>
      <c r="AG107" s="12">
        <f t="shared" si="27"/>
        <v>639.30209199318563</v>
      </c>
      <c r="AH107" s="11">
        <f t="shared" si="28"/>
        <v>21.729553476362859</v>
      </c>
      <c r="AJ107" s="6">
        <f t="shared" si="34"/>
        <v>600</v>
      </c>
      <c r="AK107" s="4">
        <v>90</v>
      </c>
      <c r="AM107" s="2" t="str">
        <f t="shared" si="29"/>
        <v>6</v>
      </c>
      <c r="AN107" s="2" t="str">
        <f t="shared" si="35"/>
        <v>258</v>
      </c>
      <c r="AO107" s="2"/>
      <c r="AP107" s="2" t="str">
        <f t="shared" si="36"/>
        <v>6258</v>
      </c>
    </row>
    <row r="108" spans="1:42" x14ac:dyDescent="0.2">
      <c r="A108">
        <v>91</v>
      </c>
      <c r="B108">
        <v>9</v>
      </c>
      <c r="C108" s="6">
        <v>0</v>
      </c>
      <c r="D108" s="6">
        <v>1</v>
      </c>
      <c r="E108" s="6">
        <v>1</v>
      </c>
      <c r="F108" s="7">
        <v>0</v>
      </c>
      <c r="G108" s="9">
        <v>60</v>
      </c>
      <c r="H108" s="10">
        <f t="shared" si="30"/>
        <v>6</v>
      </c>
      <c r="I108" s="12">
        <f t="shared" si="19"/>
        <v>409.58125519591135</v>
      </c>
      <c r="J108" s="11">
        <f t="shared" si="20"/>
        <v>14.999450835817715</v>
      </c>
      <c r="K108" s="6">
        <v>0</v>
      </c>
      <c r="L108" s="6">
        <v>0</v>
      </c>
      <c r="M108" s="6">
        <v>1</v>
      </c>
      <c r="N108" s="7">
        <v>0</v>
      </c>
      <c r="O108" s="9">
        <v>100</v>
      </c>
      <c r="P108" s="10">
        <f t="shared" si="31"/>
        <v>4</v>
      </c>
      <c r="Q108" s="12">
        <f t="shared" si="21"/>
        <v>639.30209199318563</v>
      </c>
      <c r="R108" s="11">
        <f t="shared" si="22"/>
        <v>21.729553476362859</v>
      </c>
      <c r="S108" s="6">
        <v>0</v>
      </c>
      <c r="T108" s="6">
        <v>1</v>
      </c>
      <c r="U108" s="6">
        <v>1</v>
      </c>
      <c r="V108" s="7">
        <v>0</v>
      </c>
      <c r="W108" s="9">
        <v>100</v>
      </c>
      <c r="X108" s="10">
        <f t="shared" si="32"/>
        <v>6</v>
      </c>
      <c r="Y108" s="12">
        <f t="shared" si="24"/>
        <v>639.30209199318563</v>
      </c>
      <c r="Z108" s="11">
        <f t="shared" si="25"/>
        <v>21.729553476362859</v>
      </c>
      <c r="AA108" s="6">
        <v>0</v>
      </c>
      <c r="AB108" s="6">
        <v>0</v>
      </c>
      <c r="AC108" s="6">
        <v>1</v>
      </c>
      <c r="AD108" s="7">
        <v>1</v>
      </c>
      <c r="AE108" s="9">
        <v>100</v>
      </c>
      <c r="AF108" s="10">
        <f t="shared" si="33"/>
        <v>12</v>
      </c>
      <c r="AG108" s="12">
        <f t="shared" si="27"/>
        <v>639.30209199318563</v>
      </c>
      <c r="AH108" s="11">
        <f t="shared" si="28"/>
        <v>21.729553476362859</v>
      </c>
      <c r="AJ108" s="6">
        <f t="shared" si="34"/>
        <v>600</v>
      </c>
      <c r="AK108" s="4">
        <v>91</v>
      </c>
      <c r="AM108" s="2" t="str">
        <f t="shared" si="29"/>
        <v>6</v>
      </c>
      <c r="AN108" s="2" t="str">
        <f t="shared" si="35"/>
        <v>258</v>
      </c>
      <c r="AO108" s="2"/>
      <c r="AP108" s="2" t="str">
        <f t="shared" si="36"/>
        <v>6258</v>
      </c>
    </row>
    <row r="109" spans="1:42" x14ac:dyDescent="0.2">
      <c r="A109">
        <v>92</v>
      </c>
      <c r="B109">
        <v>9.1</v>
      </c>
      <c r="C109" s="6">
        <v>0</v>
      </c>
      <c r="D109" s="6">
        <v>1</v>
      </c>
      <c r="E109" s="6">
        <v>1</v>
      </c>
      <c r="F109" s="7">
        <v>0</v>
      </c>
      <c r="G109" s="9">
        <v>69</v>
      </c>
      <c r="H109" s="10">
        <f t="shared" si="30"/>
        <v>6</v>
      </c>
      <c r="I109" s="12">
        <f t="shared" si="19"/>
        <v>461.26844347529806</v>
      </c>
      <c r="J109" s="11">
        <f t="shared" si="20"/>
        <v>16.513723929940372</v>
      </c>
      <c r="K109" s="6">
        <v>0</v>
      </c>
      <c r="L109" s="6">
        <v>0</v>
      </c>
      <c r="M109" s="6">
        <v>1</v>
      </c>
      <c r="N109" s="7">
        <v>0</v>
      </c>
      <c r="O109" s="9">
        <v>100</v>
      </c>
      <c r="P109" s="10">
        <f t="shared" si="31"/>
        <v>4</v>
      </c>
      <c r="Q109" s="12">
        <f t="shared" si="21"/>
        <v>639.30209199318563</v>
      </c>
      <c r="R109" s="11">
        <f t="shared" si="22"/>
        <v>21.729553476362859</v>
      </c>
      <c r="S109" s="6">
        <v>0</v>
      </c>
      <c r="T109" s="6">
        <v>1</v>
      </c>
      <c r="U109" s="6">
        <v>1</v>
      </c>
      <c r="V109" s="7">
        <v>0</v>
      </c>
      <c r="W109" s="9">
        <v>100</v>
      </c>
      <c r="X109" s="10">
        <f t="shared" si="32"/>
        <v>6</v>
      </c>
      <c r="Y109" s="12">
        <f t="shared" si="24"/>
        <v>639.30209199318563</v>
      </c>
      <c r="Z109" s="11">
        <f t="shared" si="25"/>
        <v>21.729553476362859</v>
      </c>
      <c r="AA109" s="6">
        <v>0</v>
      </c>
      <c r="AB109" s="6">
        <v>0</v>
      </c>
      <c r="AC109" s="6">
        <v>1</v>
      </c>
      <c r="AD109" s="7">
        <v>1</v>
      </c>
      <c r="AE109" s="9">
        <v>100</v>
      </c>
      <c r="AF109" s="10">
        <f t="shared" si="33"/>
        <v>12</v>
      </c>
      <c r="AG109" s="12">
        <f t="shared" si="27"/>
        <v>639.30209199318563</v>
      </c>
      <c r="AH109" s="11">
        <f t="shared" si="28"/>
        <v>21.729553476362859</v>
      </c>
      <c r="AJ109" s="6">
        <f t="shared" si="34"/>
        <v>690</v>
      </c>
      <c r="AK109" s="4">
        <v>92</v>
      </c>
      <c r="AM109" s="2" t="str">
        <f t="shared" si="29"/>
        <v>6</v>
      </c>
      <c r="AN109" s="2" t="str">
        <f t="shared" si="35"/>
        <v>2B2</v>
      </c>
      <c r="AO109" s="2"/>
      <c r="AP109" s="2" t="str">
        <f t="shared" si="36"/>
        <v>62B2</v>
      </c>
    </row>
    <row r="110" spans="1:42" x14ac:dyDescent="0.2">
      <c r="A110">
        <v>93</v>
      </c>
      <c r="B110">
        <v>9.1999999999999993</v>
      </c>
      <c r="C110" s="6">
        <v>0</v>
      </c>
      <c r="D110" s="6">
        <v>1</v>
      </c>
      <c r="E110" s="6">
        <v>1</v>
      </c>
      <c r="F110" s="7">
        <v>0</v>
      </c>
      <c r="G110" s="9">
        <v>78</v>
      </c>
      <c r="H110" s="10">
        <f t="shared" si="30"/>
        <v>6</v>
      </c>
      <c r="I110" s="12">
        <f t="shared" si="19"/>
        <v>512.95563175468487</v>
      </c>
      <c r="J110" s="11">
        <f t="shared" si="20"/>
        <v>18.027997024063033</v>
      </c>
      <c r="K110" s="6">
        <v>0</v>
      </c>
      <c r="L110" s="6">
        <v>0</v>
      </c>
      <c r="M110" s="6">
        <v>1</v>
      </c>
      <c r="N110" s="7">
        <v>0</v>
      </c>
      <c r="O110" s="9">
        <v>100</v>
      </c>
      <c r="P110" s="10">
        <f t="shared" si="31"/>
        <v>4</v>
      </c>
      <c r="Q110" s="12">
        <f t="shared" si="21"/>
        <v>639.30209199318563</v>
      </c>
      <c r="R110" s="11">
        <f t="shared" si="22"/>
        <v>21.729553476362859</v>
      </c>
      <c r="S110" s="6">
        <v>0</v>
      </c>
      <c r="T110" s="6">
        <v>1</v>
      </c>
      <c r="U110" s="6">
        <v>1</v>
      </c>
      <c r="V110" s="7">
        <v>0</v>
      </c>
      <c r="W110" s="9">
        <v>100</v>
      </c>
      <c r="X110" s="10">
        <f t="shared" si="32"/>
        <v>6</v>
      </c>
      <c r="Y110" s="12">
        <f t="shared" si="24"/>
        <v>639.30209199318563</v>
      </c>
      <c r="Z110" s="11">
        <f t="shared" si="25"/>
        <v>21.729553476362859</v>
      </c>
      <c r="AA110" s="6">
        <v>0</v>
      </c>
      <c r="AB110" s="6">
        <v>0</v>
      </c>
      <c r="AC110" s="6">
        <v>1</v>
      </c>
      <c r="AD110" s="7">
        <v>1</v>
      </c>
      <c r="AE110" s="9">
        <v>100</v>
      </c>
      <c r="AF110" s="10">
        <f t="shared" si="33"/>
        <v>12</v>
      </c>
      <c r="AG110" s="12">
        <f t="shared" si="27"/>
        <v>639.30209199318563</v>
      </c>
      <c r="AH110" s="11">
        <f t="shared" si="28"/>
        <v>21.729553476362859</v>
      </c>
      <c r="AJ110" s="6">
        <f t="shared" si="34"/>
        <v>780</v>
      </c>
      <c r="AK110" s="4">
        <v>93</v>
      </c>
      <c r="AM110" s="2" t="str">
        <f t="shared" si="29"/>
        <v>6</v>
      </c>
      <c r="AN110" s="2" t="str">
        <f t="shared" si="35"/>
        <v>30C</v>
      </c>
      <c r="AO110" s="2"/>
      <c r="AP110" s="2" t="str">
        <f t="shared" si="36"/>
        <v>630C</v>
      </c>
    </row>
    <row r="111" spans="1:42" x14ac:dyDescent="0.2">
      <c r="A111">
        <v>94</v>
      </c>
      <c r="B111">
        <v>9.3000000000000007</v>
      </c>
      <c r="C111" s="6">
        <v>0</v>
      </c>
      <c r="D111" s="6">
        <v>1</v>
      </c>
      <c r="E111" s="6">
        <v>1</v>
      </c>
      <c r="F111" s="7">
        <v>0</v>
      </c>
      <c r="G111" s="9">
        <v>87</v>
      </c>
      <c r="H111" s="10">
        <f t="shared" si="30"/>
        <v>6</v>
      </c>
      <c r="I111" s="12">
        <f t="shared" si="19"/>
        <v>564.64282003407152</v>
      </c>
      <c r="J111" s="11">
        <f t="shared" si="20"/>
        <v>19.542270118185691</v>
      </c>
      <c r="K111" s="6">
        <v>0</v>
      </c>
      <c r="L111" s="6">
        <v>0</v>
      </c>
      <c r="M111" s="6">
        <v>1</v>
      </c>
      <c r="N111" s="7">
        <v>0</v>
      </c>
      <c r="O111" s="9">
        <v>100</v>
      </c>
      <c r="P111" s="10">
        <f t="shared" si="31"/>
        <v>4</v>
      </c>
      <c r="Q111" s="12">
        <f t="shared" si="21"/>
        <v>639.30209199318563</v>
      </c>
      <c r="R111" s="11">
        <f t="shared" si="22"/>
        <v>21.729553476362859</v>
      </c>
      <c r="S111" s="6">
        <v>0</v>
      </c>
      <c r="T111" s="6">
        <v>1</v>
      </c>
      <c r="U111" s="6">
        <v>1</v>
      </c>
      <c r="V111" s="7">
        <v>0</v>
      </c>
      <c r="W111" s="9">
        <v>100</v>
      </c>
      <c r="X111" s="10">
        <f t="shared" si="32"/>
        <v>6</v>
      </c>
      <c r="Y111" s="12">
        <f t="shared" si="24"/>
        <v>639.30209199318563</v>
      </c>
      <c r="Z111" s="11">
        <f t="shared" si="25"/>
        <v>21.729553476362859</v>
      </c>
      <c r="AA111" s="6">
        <v>0</v>
      </c>
      <c r="AB111" s="6">
        <v>0</v>
      </c>
      <c r="AC111" s="6">
        <v>1</v>
      </c>
      <c r="AD111" s="7">
        <v>1</v>
      </c>
      <c r="AE111" s="9">
        <v>100</v>
      </c>
      <c r="AF111" s="10">
        <f t="shared" si="33"/>
        <v>12</v>
      </c>
      <c r="AG111" s="12">
        <f t="shared" si="27"/>
        <v>639.30209199318563</v>
      </c>
      <c r="AH111" s="11">
        <f t="shared" si="28"/>
        <v>21.729553476362859</v>
      </c>
      <c r="AJ111" s="6">
        <f t="shared" si="34"/>
        <v>870</v>
      </c>
      <c r="AK111" s="4">
        <v>94</v>
      </c>
      <c r="AM111" s="2" t="str">
        <f t="shared" si="29"/>
        <v>6</v>
      </c>
      <c r="AN111" s="2" t="str">
        <f t="shared" si="35"/>
        <v>366</v>
      </c>
      <c r="AO111" s="2"/>
      <c r="AP111" s="2" t="str">
        <f t="shared" si="36"/>
        <v>6366</v>
      </c>
    </row>
    <row r="112" spans="1:42" x14ac:dyDescent="0.2">
      <c r="A112">
        <v>95</v>
      </c>
      <c r="B112">
        <v>9.4</v>
      </c>
      <c r="C112" s="6">
        <v>0</v>
      </c>
      <c r="D112" s="6">
        <v>1</v>
      </c>
      <c r="E112" s="6">
        <v>1</v>
      </c>
      <c r="F112" s="7">
        <v>0</v>
      </c>
      <c r="G112" s="9">
        <v>96</v>
      </c>
      <c r="H112" s="10">
        <f t="shared" si="30"/>
        <v>6</v>
      </c>
      <c r="I112" s="12">
        <f t="shared" si="19"/>
        <v>616.33000831345817</v>
      </c>
      <c r="J112" s="11">
        <f t="shared" si="20"/>
        <v>21.056543212308345</v>
      </c>
      <c r="K112" s="6">
        <v>0</v>
      </c>
      <c r="L112" s="6">
        <v>0</v>
      </c>
      <c r="M112" s="6">
        <v>1</v>
      </c>
      <c r="N112" s="7">
        <v>0</v>
      </c>
      <c r="O112" s="9">
        <v>100</v>
      </c>
      <c r="P112" s="10">
        <f t="shared" si="31"/>
        <v>4</v>
      </c>
      <c r="Q112" s="12">
        <f t="shared" si="21"/>
        <v>639.30209199318563</v>
      </c>
      <c r="R112" s="11">
        <f t="shared" si="22"/>
        <v>21.729553476362859</v>
      </c>
      <c r="S112" s="6">
        <v>0</v>
      </c>
      <c r="T112" s="6">
        <v>1</v>
      </c>
      <c r="U112" s="6">
        <v>1</v>
      </c>
      <c r="V112" s="7">
        <v>0</v>
      </c>
      <c r="W112" s="9">
        <v>100</v>
      </c>
      <c r="X112" s="10">
        <f t="shared" si="32"/>
        <v>6</v>
      </c>
      <c r="Y112" s="12">
        <f t="shared" si="24"/>
        <v>639.30209199318563</v>
      </c>
      <c r="Z112" s="11">
        <f t="shared" si="25"/>
        <v>21.729553476362859</v>
      </c>
      <c r="AA112" s="6">
        <v>0</v>
      </c>
      <c r="AB112" s="6">
        <v>0</v>
      </c>
      <c r="AC112" s="6">
        <v>0</v>
      </c>
      <c r="AD112" s="7">
        <v>1</v>
      </c>
      <c r="AE112" s="9">
        <v>100</v>
      </c>
      <c r="AF112" s="10">
        <f t="shared" si="33"/>
        <v>8</v>
      </c>
      <c r="AG112" s="12">
        <f t="shared" si="27"/>
        <v>639.30209199318563</v>
      </c>
      <c r="AH112" s="11">
        <f t="shared" si="28"/>
        <v>21.729553476362859</v>
      </c>
      <c r="AJ112" s="6">
        <f t="shared" si="34"/>
        <v>960</v>
      </c>
      <c r="AK112" s="4">
        <v>95</v>
      </c>
      <c r="AM112" s="2" t="str">
        <f t="shared" si="29"/>
        <v>6</v>
      </c>
      <c r="AN112" s="2" t="str">
        <f t="shared" si="35"/>
        <v>3C0</v>
      </c>
      <c r="AO112" s="2"/>
      <c r="AP112" s="2" t="str">
        <f t="shared" si="36"/>
        <v>63C0</v>
      </c>
    </row>
    <row r="113" spans="1:42" x14ac:dyDescent="0.2">
      <c r="A113">
        <v>96</v>
      </c>
      <c r="B113">
        <v>9.5</v>
      </c>
      <c r="C113" s="6">
        <v>0</v>
      </c>
      <c r="D113" s="6">
        <v>1</v>
      </c>
      <c r="E113" s="6">
        <v>1</v>
      </c>
      <c r="F113" s="7">
        <v>0</v>
      </c>
      <c r="G113" s="9">
        <v>105</v>
      </c>
      <c r="H113" s="10">
        <f t="shared" si="30"/>
        <v>6</v>
      </c>
      <c r="I113" s="12">
        <f t="shared" si="19"/>
        <v>668.01719659284504</v>
      </c>
      <c r="J113" s="11">
        <f t="shared" si="20"/>
        <v>22.570816306431006</v>
      </c>
      <c r="K113" s="6">
        <v>0</v>
      </c>
      <c r="L113" s="6">
        <v>0</v>
      </c>
      <c r="M113" s="6">
        <v>1</v>
      </c>
      <c r="N113" s="7">
        <v>0</v>
      </c>
      <c r="O113" s="9">
        <v>100</v>
      </c>
      <c r="P113" s="10">
        <f t="shared" si="31"/>
        <v>4</v>
      </c>
      <c r="Q113" s="12">
        <f t="shared" si="21"/>
        <v>639.30209199318563</v>
      </c>
      <c r="R113" s="11">
        <f t="shared" si="22"/>
        <v>21.729553476362859</v>
      </c>
      <c r="S113" s="6">
        <v>0</v>
      </c>
      <c r="T113" s="6">
        <v>1</v>
      </c>
      <c r="U113" s="6">
        <v>1</v>
      </c>
      <c r="V113" s="7">
        <v>0</v>
      </c>
      <c r="W113" s="9">
        <v>100</v>
      </c>
      <c r="X113" s="10">
        <f t="shared" si="32"/>
        <v>6</v>
      </c>
      <c r="Y113" s="12">
        <f t="shared" si="24"/>
        <v>639.30209199318563</v>
      </c>
      <c r="Z113" s="11">
        <f t="shared" si="25"/>
        <v>21.729553476362859</v>
      </c>
      <c r="AA113" s="6">
        <v>0</v>
      </c>
      <c r="AB113" s="6">
        <v>0</v>
      </c>
      <c r="AC113" s="6">
        <v>0</v>
      </c>
      <c r="AD113" s="7">
        <v>1</v>
      </c>
      <c r="AE113" s="9">
        <v>100</v>
      </c>
      <c r="AF113" s="10">
        <f t="shared" si="33"/>
        <v>8</v>
      </c>
      <c r="AG113" s="12">
        <f t="shared" si="27"/>
        <v>639.30209199318563</v>
      </c>
      <c r="AH113" s="11">
        <f t="shared" si="28"/>
        <v>21.729553476362859</v>
      </c>
      <c r="AJ113" s="6">
        <f t="shared" si="34"/>
        <v>1050</v>
      </c>
      <c r="AK113" s="4">
        <v>96</v>
      </c>
      <c r="AM113" s="2" t="str">
        <f t="shared" si="29"/>
        <v>6</v>
      </c>
      <c r="AN113" s="2" t="str">
        <f t="shared" si="35"/>
        <v>41A</v>
      </c>
      <c r="AO113" s="2"/>
      <c r="AP113" s="2" t="str">
        <f t="shared" si="36"/>
        <v>641A</v>
      </c>
    </row>
    <row r="114" spans="1:42" x14ac:dyDescent="0.2">
      <c r="A114">
        <v>97</v>
      </c>
      <c r="B114">
        <v>9.6</v>
      </c>
      <c r="C114" s="6">
        <v>0</v>
      </c>
      <c r="D114" s="6">
        <v>1</v>
      </c>
      <c r="E114" s="6">
        <v>1</v>
      </c>
      <c r="F114" s="7">
        <v>0</v>
      </c>
      <c r="G114" s="9">
        <v>114</v>
      </c>
      <c r="H114" s="10">
        <f t="shared" si="30"/>
        <v>6</v>
      </c>
      <c r="I114" s="12">
        <f t="shared" si="19"/>
        <v>719.70438487223146</v>
      </c>
      <c r="J114" s="11">
        <f t="shared" si="20"/>
        <v>24.085089400553656</v>
      </c>
      <c r="K114" s="6">
        <v>0</v>
      </c>
      <c r="L114" s="6">
        <v>0</v>
      </c>
      <c r="M114" s="6">
        <v>1</v>
      </c>
      <c r="N114" s="7">
        <v>0</v>
      </c>
      <c r="O114" s="9">
        <v>100</v>
      </c>
      <c r="P114" s="10">
        <f t="shared" si="31"/>
        <v>4</v>
      </c>
      <c r="Q114" s="12">
        <f t="shared" si="21"/>
        <v>639.30209199318563</v>
      </c>
      <c r="R114" s="11">
        <f t="shared" si="22"/>
        <v>21.729553476362859</v>
      </c>
      <c r="S114" s="6">
        <v>0</v>
      </c>
      <c r="T114" s="6">
        <v>1</v>
      </c>
      <c r="U114" s="6">
        <v>1</v>
      </c>
      <c r="V114" s="7">
        <v>0</v>
      </c>
      <c r="W114" s="9">
        <v>100</v>
      </c>
      <c r="X114" s="10">
        <f t="shared" si="32"/>
        <v>6</v>
      </c>
      <c r="Y114" s="12">
        <f t="shared" si="24"/>
        <v>639.30209199318563</v>
      </c>
      <c r="Z114" s="11">
        <f t="shared" si="25"/>
        <v>21.729553476362859</v>
      </c>
      <c r="AA114" s="6">
        <v>0</v>
      </c>
      <c r="AB114" s="6">
        <v>0</v>
      </c>
      <c r="AC114" s="6">
        <v>0</v>
      </c>
      <c r="AD114" s="7">
        <v>1</v>
      </c>
      <c r="AE114" s="9">
        <v>100</v>
      </c>
      <c r="AF114" s="10">
        <f t="shared" si="33"/>
        <v>8</v>
      </c>
      <c r="AG114" s="12">
        <f t="shared" si="27"/>
        <v>639.30209199318563</v>
      </c>
      <c r="AH114" s="11">
        <f t="shared" si="28"/>
        <v>21.729553476362859</v>
      </c>
      <c r="AJ114" s="6">
        <f t="shared" si="34"/>
        <v>1140</v>
      </c>
      <c r="AK114" s="4">
        <v>97</v>
      </c>
      <c r="AM114" s="2" t="str">
        <f t="shared" si="29"/>
        <v>6</v>
      </c>
      <c r="AN114" s="2" t="str">
        <f t="shared" si="35"/>
        <v>474</v>
      </c>
      <c r="AO114" s="2"/>
      <c r="AP114" s="2" t="str">
        <f t="shared" si="36"/>
        <v>6474</v>
      </c>
    </row>
    <row r="115" spans="1:42" x14ac:dyDescent="0.2">
      <c r="A115">
        <v>98</v>
      </c>
      <c r="B115">
        <v>9.6999999999999993</v>
      </c>
      <c r="C115" s="6">
        <v>0</v>
      </c>
      <c r="D115" s="6">
        <v>1</v>
      </c>
      <c r="E115" s="6">
        <v>1</v>
      </c>
      <c r="F115" s="7">
        <v>0</v>
      </c>
      <c r="G115" s="9">
        <v>123</v>
      </c>
      <c r="H115" s="10">
        <f t="shared" si="30"/>
        <v>6</v>
      </c>
      <c r="I115" s="12">
        <f t="shared" si="19"/>
        <v>771.39157315161833</v>
      </c>
      <c r="J115" s="11">
        <f t="shared" si="20"/>
        <v>25.599362494676317</v>
      </c>
      <c r="K115" s="6">
        <v>0</v>
      </c>
      <c r="L115" s="6">
        <v>0</v>
      </c>
      <c r="M115" s="6">
        <v>1</v>
      </c>
      <c r="N115" s="7">
        <v>0</v>
      </c>
      <c r="O115" s="9">
        <v>100</v>
      </c>
      <c r="P115" s="10">
        <f t="shared" si="31"/>
        <v>4</v>
      </c>
      <c r="Q115" s="12">
        <f t="shared" si="21"/>
        <v>639.30209199318563</v>
      </c>
      <c r="R115" s="11">
        <f t="shared" si="22"/>
        <v>21.729553476362859</v>
      </c>
      <c r="S115" s="6">
        <v>0</v>
      </c>
      <c r="T115" s="6">
        <v>1</v>
      </c>
      <c r="U115" s="6">
        <v>1</v>
      </c>
      <c r="V115" s="7">
        <v>0</v>
      </c>
      <c r="W115" s="9">
        <f>W114-5</f>
        <v>95</v>
      </c>
      <c r="X115" s="10">
        <f t="shared" si="32"/>
        <v>6</v>
      </c>
      <c r="Y115" s="12">
        <f t="shared" si="24"/>
        <v>610.58698739352633</v>
      </c>
      <c r="Z115" s="11">
        <f t="shared" si="25"/>
        <v>20.888290646294717</v>
      </c>
      <c r="AA115" s="6">
        <v>0</v>
      </c>
      <c r="AB115" s="6">
        <v>0</v>
      </c>
      <c r="AC115" s="6">
        <v>0</v>
      </c>
      <c r="AD115" s="7">
        <v>1</v>
      </c>
      <c r="AE115" s="9">
        <f>AE114-4</f>
        <v>96</v>
      </c>
      <c r="AF115" s="10">
        <f t="shared" si="33"/>
        <v>8</v>
      </c>
      <c r="AG115" s="12">
        <f t="shared" si="27"/>
        <v>616.33000831345817</v>
      </c>
      <c r="AH115" s="11">
        <f t="shared" si="28"/>
        <v>21.056543212308345</v>
      </c>
      <c r="AJ115" s="6">
        <f t="shared" si="34"/>
        <v>1230</v>
      </c>
      <c r="AK115" s="4">
        <v>98</v>
      </c>
      <c r="AM115" s="2" t="str">
        <f t="shared" si="29"/>
        <v>6</v>
      </c>
      <c r="AN115" s="2" t="str">
        <f t="shared" si="35"/>
        <v>4CE</v>
      </c>
      <c r="AO115" s="2"/>
      <c r="AP115" s="2" t="str">
        <f t="shared" si="36"/>
        <v>64CE</v>
      </c>
    </row>
    <row r="116" spans="1:42" x14ac:dyDescent="0.2">
      <c r="A116">
        <v>99</v>
      </c>
      <c r="B116">
        <v>9.8000000000000007</v>
      </c>
      <c r="C116" s="6">
        <v>0</v>
      </c>
      <c r="D116" s="6">
        <v>1</v>
      </c>
      <c r="E116" s="6">
        <v>1</v>
      </c>
      <c r="F116" s="7">
        <v>0</v>
      </c>
      <c r="G116" s="9">
        <v>132</v>
      </c>
      <c r="H116" s="10">
        <f t="shared" si="30"/>
        <v>6</v>
      </c>
      <c r="I116" s="12">
        <f t="shared" si="19"/>
        <v>823.07876143100509</v>
      </c>
      <c r="J116" s="11">
        <f t="shared" si="20"/>
        <v>27.113635588798978</v>
      </c>
      <c r="K116" s="6">
        <v>0</v>
      </c>
      <c r="L116" s="6">
        <v>0</v>
      </c>
      <c r="M116" s="6">
        <v>1</v>
      </c>
      <c r="N116" s="7">
        <v>0</v>
      </c>
      <c r="O116" s="9">
        <v>100</v>
      </c>
      <c r="P116" s="10">
        <f t="shared" si="31"/>
        <v>4</v>
      </c>
      <c r="Q116" s="12">
        <f t="shared" si="21"/>
        <v>639.30209199318563</v>
      </c>
      <c r="R116" s="11">
        <f t="shared" si="22"/>
        <v>21.729553476362859</v>
      </c>
      <c r="S116" s="6">
        <v>0</v>
      </c>
      <c r="T116" s="6">
        <v>1</v>
      </c>
      <c r="U116" s="6">
        <v>1</v>
      </c>
      <c r="V116" s="7">
        <v>0</v>
      </c>
      <c r="W116" s="9">
        <f t="shared" ref="W116:W134" si="37">W115-5</f>
        <v>90</v>
      </c>
      <c r="X116" s="10">
        <f t="shared" si="32"/>
        <v>6</v>
      </c>
      <c r="Y116" s="12">
        <f t="shared" si="24"/>
        <v>581.87188279386714</v>
      </c>
      <c r="Z116" s="11">
        <f t="shared" si="25"/>
        <v>20.047027816226578</v>
      </c>
      <c r="AA116" s="6">
        <v>0</v>
      </c>
      <c r="AB116" s="6">
        <v>0</v>
      </c>
      <c r="AC116" s="6">
        <v>0</v>
      </c>
      <c r="AD116" s="7">
        <v>1</v>
      </c>
      <c r="AE116" s="9">
        <f t="shared" ref="AE116:AE134" si="38">AE115-4</f>
        <v>92</v>
      </c>
      <c r="AF116" s="10">
        <f t="shared" si="33"/>
        <v>8</v>
      </c>
      <c r="AG116" s="12">
        <f t="shared" si="27"/>
        <v>593.35792463373093</v>
      </c>
      <c r="AH116" s="11">
        <f t="shared" si="28"/>
        <v>20.383532948253837</v>
      </c>
      <c r="AJ116" s="6">
        <f t="shared" si="34"/>
        <v>1320</v>
      </c>
      <c r="AK116" s="4">
        <v>99</v>
      </c>
      <c r="AM116" s="2" t="str">
        <f t="shared" si="29"/>
        <v>6</v>
      </c>
      <c r="AN116" s="2" t="str">
        <f t="shared" si="35"/>
        <v>528</v>
      </c>
      <c r="AO116" s="2"/>
      <c r="AP116" s="2" t="str">
        <f t="shared" si="36"/>
        <v>6528</v>
      </c>
    </row>
    <row r="117" spans="1:42" x14ac:dyDescent="0.2">
      <c r="A117">
        <v>100</v>
      </c>
      <c r="B117">
        <v>9.9</v>
      </c>
      <c r="C117" s="6">
        <v>0</v>
      </c>
      <c r="D117" s="6">
        <v>1</v>
      </c>
      <c r="E117" s="6">
        <v>1</v>
      </c>
      <c r="F117" s="7">
        <v>0</v>
      </c>
      <c r="G117" s="9">
        <v>141</v>
      </c>
      <c r="H117" s="10">
        <f t="shared" si="30"/>
        <v>6</v>
      </c>
      <c r="I117" s="12">
        <f t="shared" si="19"/>
        <v>874.76594971039174</v>
      </c>
      <c r="J117" s="11">
        <f t="shared" si="20"/>
        <v>28.627908682921635</v>
      </c>
      <c r="K117" s="6">
        <v>0</v>
      </c>
      <c r="L117" s="6">
        <v>1</v>
      </c>
      <c r="M117" s="6">
        <v>1</v>
      </c>
      <c r="N117" s="7">
        <v>0</v>
      </c>
      <c r="O117" s="9">
        <v>100</v>
      </c>
      <c r="P117" s="10">
        <f t="shared" si="31"/>
        <v>6</v>
      </c>
      <c r="Q117" s="12">
        <f t="shared" si="21"/>
        <v>639.30209199318563</v>
      </c>
      <c r="R117" s="11">
        <f t="shared" si="22"/>
        <v>21.729553476362859</v>
      </c>
      <c r="S117" s="6">
        <v>0</v>
      </c>
      <c r="T117" s="6">
        <v>1</v>
      </c>
      <c r="U117" s="6">
        <v>1</v>
      </c>
      <c r="V117" s="7">
        <v>0</v>
      </c>
      <c r="W117" s="9">
        <f t="shared" si="37"/>
        <v>85</v>
      </c>
      <c r="X117" s="10">
        <f t="shared" si="32"/>
        <v>6</v>
      </c>
      <c r="Y117" s="12">
        <f t="shared" si="24"/>
        <v>553.15677819420785</v>
      </c>
      <c r="Z117" s="11">
        <f t="shared" si="25"/>
        <v>19.205764986158432</v>
      </c>
      <c r="AA117" s="6">
        <v>0</v>
      </c>
      <c r="AB117" s="6">
        <v>0</v>
      </c>
      <c r="AC117" s="6">
        <v>0</v>
      </c>
      <c r="AD117" s="7">
        <v>1</v>
      </c>
      <c r="AE117" s="9">
        <f t="shared" si="38"/>
        <v>88</v>
      </c>
      <c r="AF117" s="10">
        <f t="shared" si="33"/>
        <v>8</v>
      </c>
      <c r="AG117" s="12">
        <f t="shared" si="27"/>
        <v>570.38584095400347</v>
      </c>
      <c r="AH117" s="11">
        <f t="shared" si="28"/>
        <v>19.710522684199319</v>
      </c>
      <c r="AJ117" s="6">
        <f t="shared" si="34"/>
        <v>1410</v>
      </c>
      <c r="AK117" s="4">
        <v>100</v>
      </c>
      <c r="AM117" s="2" t="str">
        <f t="shared" si="29"/>
        <v>6</v>
      </c>
      <c r="AN117" s="2" t="str">
        <f t="shared" si="35"/>
        <v>582</v>
      </c>
      <c r="AO117" s="2"/>
      <c r="AP117" s="2" t="str">
        <f t="shared" si="36"/>
        <v>6582</v>
      </c>
    </row>
    <row r="118" spans="1:42" x14ac:dyDescent="0.2">
      <c r="A118">
        <v>101</v>
      </c>
      <c r="B118">
        <v>10</v>
      </c>
      <c r="C118" s="6">
        <v>0</v>
      </c>
      <c r="D118" s="6">
        <v>1</v>
      </c>
      <c r="E118" s="6">
        <v>1</v>
      </c>
      <c r="F118" s="7">
        <v>0</v>
      </c>
      <c r="G118" s="9">
        <v>150</v>
      </c>
      <c r="H118" s="10">
        <f t="shared" si="30"/>
        <v>6</v>
      </c>
      <c r="I118" s="12">
        <f t="shared" si="19"/>
        <v>926.4531379897785</v>
      </c>
      <c r="J118" s="11">
        <f t="shared" si="20"/>
        <v>30.142181777044289</v>
      </c>
      <c r="K118" s="6">
        <v>0</v>
      </c>
      <c r="L118" s="6">
        <v>1</v>
      </c>
      <c r="M118" s="6">
        <v>1</v>
      </c>
      <c r="N118" s="7">
        <v>0</v>
      </c>
      <c r="O118" s="9">
        <v>100</v>
      </c>
      <c r="P118" s="10">
        <f t="shared" si="31"/>
        <v>6</v>
      </c>
      <c r="Q118" s="12">
        <f t="shared" si="21"/>
        <v>639.30209199318563</v>
      </c>
      <c r="R118" s="11">
        <f t="shared" si="22"/>
        <v>21.729553476362859</v>
      </c>
      <c r="S118" s="6">
        <v>0</v>
      </c>
      <c r="T118" s="6">
        <v>1</v>
      </c>
      <c r="U118" s="6">
        <v>1</v>
      </c>
      <c r="V118" s="7">
        <v>0</v>
      </c>
      <c r="W118" s="9">
        <f t="shared" si="37"/>
        <v>80</v>
      </c>
      <c r="X118" s="10">
        <f t="shared" si="32"/>
        <v>6</v>
      </c>
      <c r="Y118" s="12">
        <f t="shared" si="24"/>
        <v>524.44167359454855</v>
      </c>
      <c r="Z118" s="11">
        <f t="shared" si="25"/>
        <v>18.364502156090289</v>
      </c>
      <c r="AA118" s="6">
        <v>0</v>
      </c>
      <c r="AB118" s="6">
        <v>0</v>
      </c>
      <c r="AC118" s="6">
        <v>0</v>
      </c>
      <c r="AD118" s="7">
        <v>1</v>
      </c>
      <c r="AE118" s="9">
        <f t="shared" si="38"/>
        <v>84</v>
      </c>
      <c r="AF118" s="10">
        <f t="shared" si="33"/>
        <v>8</v>
      </c>
      <c r="AG118" s="12">
        <f t="shared" si="27"/>
        <v>547.41375727427589</v>
      </c>
      <c r="AH118" s="11">
        <f t="shared" si="28"/>
        <v>19.0375124201448</v>
      </c>
      <c r="AJ118" s="6">
        <f t="shared" si="34"/>
        <v>1500</v>
      </c>
      <c r="AK118" s="4">
        <v>101</v>
      </c>
      <c r="AM118" s="2" t="str">
        <f t="shared" si="29"/>
        <v>6</v>
      </c>
      <c r="AN118" s="2" t="str">
        <f t="shared" si="35"/>
        <v>5DC</v>
      </c>
      <c r="AO118" s="2"/>
      <c r="AP118" s="2" t="str">
        <f t="shared" si="36"/>
        <v>65DC</v>
      </c>
    </row>
    <row r="119" spans="1:42" x14ac:dyDescent="0.2">
      <c r="A119">
        <v>102</v>
      </c>
      <c r="B119">
        <v>10.1</v>
      </c>
      <c r="C119" s="6">
        <v>0</v>
      </c>
      <c r="D119" s="6">
        <v>1</v>
      </c>
      <c r="E119" s="6">
        <v>1</v>
      </c>
      <c r="F119" s="7">
        <v>0</v>
      </c>
      <c r="G119" s="9">
        <v>150</v>
      </c>
      <c r="H119" s="10">
        <f t="shared" si="30"/>
        <v>6</v>
      </c>
      <c r="I119" s="12">
        <f t="shared" si="19"/>
        <v>926.4531379897785</v>
      </c>
      <c r="J119" s="11">
        <f t="shared" si="20"/>
        <v>30.142181777044289</v>
      </c>
      <c r="K119" s="6">
        <v>0</v>
      </c>
      <c r="L119" s="6">
        <v>1</v>
      </c>
      <c r="M119" s="6">
        <v>1</v>
      </c>
      <c r="N119" s="7">
        <v>0</v>
      </c>
      <c r="O119" s="9">
        <v>95</v>
      </c>
      <c r="P119" s="10">
        <f t="shared" si="31"/>
        <v>6</v>
      </c>
      <c r="Q119" s="12">
        <f t="shared" si="21"/>
        <v>610.58698739352633</v>
      </c>
      <c r="R119" s="11">
        <f t="shared" si="22"/>
        <v>20.888290646294717</v>
      </c>
      <c r="S119" s="6">
        <v>0</v>
      </c>
      <c r="T119" s="6">
        <v>1</v>
      </c>
      <c r="U119" s="6">
        <v>1</v>
      </c>
      <c r="V119" s="7">
        <v>0</v>
      </c>
      <c r="W119" s="9">
        <f t="shared" si="37"/>
        <v>75</v>
      </c>
      <c r="X119" s="10">
        <f t="shared" si="32"/>
        <v>6</v>
      </c>
      <c r="Y119" s="12">
        <f t="shared" si="24"/>
        <v>495.72656899488925</v>
      </c>
      <c r="Z119" s="11">
        <f t="shared" si="25"/>
        <v>17.523239326022143</v>
      </c>
      <c r="AA119" s="6">
        <v>0</v>
      </c>
      <c r="AB119" s="6">
        <v>0</v>
      </c>
      <c r="AC119" s="6">
        <v>0</v>
      </c>
      <c r="AD119" s="7">
        <v>1</v>
      </c>
      <c r="AE119" s="9">
        <f t="shared" si="38"/>
        <v>80</v>
      </c>
      <c r="AF119" s="10">
        <f t="shared" si="33"/>
        <v>8</v>
      </c>
      <c r="AG119" s="12">
        <f t="shared" si="27"/>
        <v>524.44167359454855</v>
      </c>
      <c r="AH119" s="11">
        <f t="shared" si="28"/>
        <v>18.364502156090289</v>
      </c>
      <c r="AJ119" s="6">
        <f t="shared" si="34"/>
        <v>1500</v>
      </c>
      <c r="AK119" s="4">
        <v>102</v>
      </c>
      <c r="AM119" s="2" t="str">
        <f t="shared" si="29"/>
        <v>6</v>
      </c>
      <c r="AN119" s="2" t="str">
        <f t="shared" si="35"/>
        <v>5DC</v>
      </c>
      <c r="AO119" s="2"/>
      <c r="AP119" s="2" t="str">
        <f t="shared" si="36"/>
        <v>65DC</v>
      </c>
    </row>
    <row r="120" spans="1:42" x14ac:dyDescent="0.2">
      <c r="A120">
        <v>103</v>
      </c>
      <c r="B120">
        <v>10.199999999999999</v>
      </c>
      <c r="C120" s="6">
        <v>0</v>
      </c>
      <c r="D120" s="6">
        <v>1</v>
      </c>
      <c r="E120" s="6">
        <v>1</v>
      </c>
      <c r="F120" s="7">
        <v>0</v>
      </c>
      <c r="G120" s="9">
        <v>150</v>
      </c>
      <c r="H120" s="10">
        <f t="shared" si="30"/>
        <v>6</v>
      </c>
      <c r="I120" s="12">
        <f t="shared" si="19"/>
        <v>926.4531379897785</v>
      </c>
      <c r="J120" s="11">
        <f t="shared" si="20"/>
        <v>30.142181777044289</v>
      </c>
      <c r="K120" s="6">
        <v>0</v>
      </c>
      <c r="L120" s="6">
        <v>1</v>
      </c>
      <c r="M120" s="6">
        <v>1</v>
      </c>
      <c r="N120" s="7">
        <v>0</v>
      </c>
      <c r="O120" s="9">
        <v>90</v>
      </c>
      <c r="P120" s="10">
        <f t="shared" si="31"/>
        <v>6</v>
      </c>
      <c r="Q120" s="12">
        <f t="shared" si="21"/>
        <v>581.87188279386714</v>
      </c>
      <c r="R120" s="11">
        <f t="shared" si="22"/>
        <v>20.047027816226578</v>
      </c>
      <c r="S120" s="6">
        <v>0</v>
      </c>
      <c r="T120" s="6">
        <v>1</v>
      </c>
      <c r="U120" s="6">
        <v>1</v>
      </c>
      <c r="V120" s="7">
        <v>0</v>
      </c>
      <c r="W120" s="9">
        <f t="shared" si="37"/>
        <v>70</v>
      </c>
      <c r="X120" s="10">
        <f t="shared" si="32"/>
        <v>6</v>
      </c>
      <c r="Y120" s="12">
        <f t="shared" si="24"/>
        <v>467.01146439522995</v>
      </c>
      <c r="Z120" s="11">
        <f t="shared" si="25"/>
        <v>16.681976495954004</v>
      </c>
      <c r="AA120" s="6">
        <v>0</v>
      </c>
      <c r="AB120" s="6">
        <v>0</v>
      </c>
      <c r="AC120" s="6">
        <v>0</v>
      </c>
      <c r="AD120" s="7">
        <v>1</v>
      </c>
      <c r="AE120" s="9">
        <f t="shared" si="38"/>
        <v>76</v>
      </c>
      <c r="AF120" s="10">
        <f t="shared" si="33"/>
        <v>8</v>
      </c>
      <c r="AG120" s="12">
        <f t="shared" si="27"/>
        <v>501.46958991482109</v>
      </c>
      <c r="AH120" s="11">
        <f t="shared" si="28"/>
        <v>17.691491892035774</v>
      </c>
      <c r="AJ120" s="6">
        <f t="shared" si="34"/>
        <v>1500</v>
      </c>
      <c r="AK120" s="4">
        <v>103</v>
      </c>
      <c r="AM120" s="2" t="str">
        <f t="shared" si="29"/>
        <v>6</v>
      </c>
      <c r="AN120" s="2" t="str">
        <f t="shared" si="35"/>
        <v>5DC</v>
      </c>
      <c r="AO120" s="2"/>
      <c r="AP120" s="2" t="str">
        <f t="shared" si="36"/>
        <v>65DC</v>
      </c>
    </row>
    <row r="121" spans="1:42" x14ac:dyDescent="0.2">
      <c r="A121">
        <v>104</v>
      </c>
      <c r="B121">
        <v>10.3</v>
      </c>
      <c r="C121" s="6">
        <v>0</v>
      </c>
      <c r="D121" s="6">
        <v>1</v>
      </c>
      <c r="E121" s="6">
        <v>1</v>
      </c>
      <c r="F121" s="7">
        <v>0</v>
      </c>
      <c r="G121" s="9">
        <v>150</v>
      </c>
      <c r="H121" s="10">
        <f t="shared" si="30"/>
        <v>6</v>
      </c>
      <c r="I121" s="12">
        <f t="shared" si="19"/>
        <v>926.4531379897785</v>
      </c>
      <c r="J121" s="11">
        <f t="shared" si="20"/>
        <v>30.142181777044289</v>
      </c>
      <c r="K121" s="6">
        <v>0</v>
      </c>
      <c r="L121" s="6">
        <v>1</v>
      </c>
      <c r="M121" s="6">
        <v>1</v>
      </c>
      <c r="N121" s="7">
        <v>0</v>
      </c>
      <c r="O121" s="9">
        <v>85</v>
      </c>
      <c r="P121" s="10">
        <f t="shared" si="31"/>
        <v>6</v>
      </c>
      <c r="Q121" s="12">
        <f t="shared" si="21"/>
        <v>553.15677819420785</v>
      </c>
      <c r="R121" s="11">
        <f t="shared" si="22"/>
        <v>19.205764986158432</v>
      </c>
      <c r="S121" s="6">
        <v>0</v>
      </c>
      <c r="T121" s="6">
        <v>1</v>
      </c>
      <c r="U121" s="6">
        <v>1</v>
      </c>
      <c r="V121" s="7">
        <v>0</v>
      </c>
      <c r="W121" s="9">
        <f t="shared" si="37"/>
        <v>65</v>
      </c>
      <c r="X121" s="10">
        <f t="shared" si="32"/>
        <v>6</v>
      </c>
      <c r="Y121" s="12">
        <f t="shared" si="24"/>
        <v>438.29635979557071</v>
      </c>
      <c r="Z121" s="11">
        <f t="shared" si="25"/>
        <v>15.840713665885861</v>
      </c>
      <c r="AA121" s="6">
        <v>0</v>
      </c>
      <c r="AB121" s="6">
        <v>0</v>
      </c>
      <c r="AC121" s="6">
        <v>0</v>
      </c>
      <c r="AD121" s="7">
        <v>1</v>
      </c>
      <c r="AE121" s="9">
        <f t="shared" si="38"/>
        <v>72</v>
      </c>
      <c r="AF121" s="10">
        <f t="shared" si="33"/>
        <v>8</v>
      </c>
      <c r="AG121" s="12">
        <f t="shared" si="27"/>
        <v>478.49750623509368</v>
      </c>
      <c r="AH121" s="11">
        <f t="shared" si="28"/>
        <v>17.018481627981259</v>
      </c>
      <c r="AJ121" s="6">
        <f t="shared" si="34"/>
        <v>1500</v>
      </c>
      <c r="AK121" s="4">
        <v>104</v>
      </c>
      <c r="AM121" s="2" t="str">
        <f t="shared" si="29"/>
        <v>6</v>
      </c>
      <c r="AN121" s="2" t="str">
        <f t="shared" si="35"/>
        <v>5DC</v>
      </c>
      <c r="AO121" s="2"/>
      <c r="AP121" s="2" t="str">
        <f t="shared" si="36"/>
        <v>65DC</v>
      </c>
    </row>
    <row r="122" spans="1:42" x14ac:dyDescent="0.2">
      <c r="A122">
        <v>105</v>
      </c>
      <c r="B122">
        <v>10.4</v>
      </c>
      <c r="C122" s="6">
        <v>0</v>
      </c>
      <c r="D122" s="6">
        <v>1</v>
      </c>
      <c r="E122" s="6">
        <v>1</v>
      </c>
      <c r="F122" s="7">
        <v>0</v>
      </c>
      <c r="G122" s="9">
        <v>150</v>
      </c>
      <c r="H122" s="10">
        <f t="shared" si="30"/>
        <v>6</v>
      </c>
      <c r="I122" s="12">
        <f t="shared" si="19"/>
        <v>926.4531379897785</v>
      </c>
      <c r="J122" s="11">
        <f t="shared" si="20"/>
        <v>30.142181777044289</v>
      </c>
      <c r="K122" s="6">
        <v>0</v>
      </c>
      <c r="L122" s="6">
        <v>1</v>
      </c>
      <c r="M122" s="6">
        <v>1</v>
      </c>
      <c r="N122" s="7">
        <v>0</v>
      </c>
      <c r="O122" s="9">
        <v>80</v>
      </c>
      <c r="P122" s="10">
        <f t="shared" si="31"/>
        <v>6</v>
      </c>
      <c r="Q122" s="12">
        <f t="shared" si="21"/>
        <v>524.44167359454855</v>
      </c>
      <c r="R122" s="11">
        <f t="shared" si="22"/>
        <v>18.364502156090289</v>
      </c>
      <c r="S122" s="6">
        <v>0</v>
      </c>
      <c r="T122" s="6">
        <v>1</v>
      </c>
      <c r="U122" s="6">
        <v>1</v>
      </c>
      <c r="V122" s="7">
        <v>0</v>
      </c>
      <c r="W122" s="9">
        <f t="shared" si="37"/>
        <v>60</v>
      </c>
      <c r="X122" s="10">
        <f t="shared" si="32"/>
        <v>6</v>
      </c>
      <c r="Y122" s="12">
        <f t="shared" si="24"/>
        <v>409.58125519591135</v>
      </c>
      <c r="Z122" s="11">
        <f t="shared" si="25"/>
        <v>14.999450835817715</v>
      </c>
      <c r="AA122" s="6">
        <v>0</v>
      </c>
      <c r="AB122" s="6">
        <v>0</v>
      </c>
      <c r="AC122" s="6">
        <v>0</v>
      </c>
      <c r="AD122" s="7">
        <v>1</v>
      </c>
      <c r="AE122" s="9">
        <f t="shared" si="38"/>
        <v>68</v>
      </c>
      <c r="AF122" s="10">
        <f t="shared" si="33"/>
        <v>8</v>
      </c>
      <c r="AG122" s="12">
        <f t="shared" si="27"/>
        <v>455.52542255536633</v>
      </c>
      <c r="AH122" s="11">
        <f t="shared" si="28"/>
        <v>16.345471363926748</v>
      </c>
      <c r="AJ122" s="6">
        <f t="shared" si="34"/>
        <v>1500</v>
      </c>
      <c r="AK122" s="4">
        <v>105</v>
      </c>
      <c r="AM122" s="2" t="str">
        <f t="shared" si="29"/>
        <v>6</v>
      </c>
      <c r="AN122" s="2" t="str">
        <f t="shared" si="35"/>
        <v>5DC</v>
      </c>
      <c r="AO122" s="2"/>
      <c r="AP122" s="2" t="str">
        <f t="shared" si="36"/>
        <v>65DC</v>
      </c>
    </row>
    <row r="123" spans="1:42" x14ac:dyDescent="0.2">
      <c r="A123">
        <v>106</v>
      </c>
      <c r="B123">
        <v>10.5</v>
      </c>
      <c r="C123" s="6">
        <v>0</v>
      </c>
      <c r="D123" s="6">
        <v>1</v>
      </c>
      <c r="E123" s="6">
        <v>1</v>
      </c>
      <c r="F123" s="7">
        <v>0</v>
      </c>
      <c r="G123" s="9">
        <v>150</v>
      </c>
      <c r="H123" s="10">
        <f t="shared" si="30"/>
        <v>6</v>
      </c>
      <c r="I123" s="12">
        <f t="shared" si="19"/>
        <v>926.4531379897785</v>
      </c>
      <c r="J123" s="11">
        <f t="shared" si="20"/>
        <v>30.142181777044289</v>
      </c>
      <c r="K123" s="6">
        <v>0</v>
      </c>
      <c r="L123" s="6">
        <v>1</v>
      </c>
      <c r="M123" s="6">
        <v>1</v>
      </c>
      <c r="N123" s="7">
        <v>0</v>
      </c>
      <c r="O123" s="9">
        <v>75</v>
      </c>
      <c r="P123" s="10">
        <f t="shared" si="31"/>
        <v>6</v>
      </c>
      <c r="Q123" s="12">
        <f t="shared" si="21"/>
        <v>495.72656899488925</v>
      </c>
      <c r="R123" s="11">
        <f t="shared" si="22"/>
        <v>17.523239326022143</v>
      </c>
      <c r="S123" s="6">
        <v>0</v>
      </c>
      <c r="T123" s="6">
        <v>1</v>
      </c>
      <c r="U123" s="6">
        <v>1</v>
      </c>
      <c r="V123" s="7">
        <v>0</v>
      </c>
      <c r="W123" s="9">
        <f t="shared" si="37"/>
        <v>55</v>
      </c>
      <c r="X123" s="10">
        <f t="shared" si="32"/>
        <v>6</v>
      </c>
      <c r="Y123" s="12">
        <f t="shared" si="24"/>
        <v>380.86615059625217</v>
      </c>
      <c r="Z123" s="11">
        <f t="shared" si="25"/>
        <v>14.158188005749576</v>
      </c>
      <c r="AA123" s="6">
        <v>0</v>
      </c>
      <c r="AB123" s="6">
        <v>0</v>
      </c>
      <c r="AC123" s="6">
        <v>0</v>
      </c>
      <c r="AD123" s="7">
        <v>1</v>
      </c>
      <c r="AE123" s="9">
        <f t="shared" si="38"/>
        <v>64</v>
      </c>
      <c r="AF123" s="10">
        <f t="shared" si="33"/>
        <v>8</v>
      </c>
      <c r="AG123" s="12">
        <f t="shared" si="27"/>
        <v>432.55333887563887</v>
      </c>
      <c r="AH123" s="11">
        <f t="shared" si="28"/>
        <v>15.672461099872232</v>
      </c>
      <c r="AJ123" s="6">
        <f t="shared" si="34"/>
        <v>1500</v>
      </c>
      <c r="AK123" s="4">
        <v>106</v>
      </c>
      <c r="AM123" s="2" t="str">
        <f t="shared" si="29"/>
        <v>6</v>
      </c>
      <c r="AN123" s="2" t="str">
        <f t="shared" si="35"/>
        <v>5DC</v>
      </c>
      <c r="AO123" s="2"/>
      <c r="AP123" s="2" t="str">
        <f t="shared" si="36"/>
        <v>65DC</v>
      </c>
    </row>
    <row r="124" spans="1:42" x14ac:dyDescent="0.2">
      <c r="A124">
        <v>107</v>
      </c>
      <c r="B124">
        <v>10.6</v>
      </c>
      <c r="C124" s="6">
        <v>0</v>
      </c>
      <c r="D124" s="6">
        <v>1</v>
      </c>
      <c r="E124" s="6">
        <v>1</v>
      </c>
      <c r="F124" s="7">
        <v>0</v>
      </c>
      <c r="G124" s="9">
        <f>150</f>
        <v>150</v>
      </c>
      <c r="H124" s="10">
        <f t="shared" si="30"/>
        <v>6</v>
      </c>
      <c r="I124" s="12">
        <f t="shared" si="19"/>
        <v>926.4531379897785</v>
      </c>
      <c r="J124" s="11">
        <f t="shared" si="20"/>
        <v>30.142181777044289</v>
      </c>
      <c r="K124" s="6">
        <v>0</v>
      </c>
      <c r="L124" s="6">
        <v>1</v>
      </c>
      <c r="M124" s="6">
        <v>1</v>
      </c>
      <c r="N124" s="7">
        <v>0</v>
      </c>
      <c r="O124" s="9">
        <v>70</v>
      </c>
      <c r="P124" s="10">
        <f t="shared" si="31"/>
        <v>6</v>
      </c>
      <c r="Q124" s="12">
        <f t="shared" si="21"/>
        <v>467.01146439522995</v>
      </c>
      <c r="R124" s="11">
        <f t="shared" si="22"/>
        <v>16.681976495954004</v>
      </c>
      <c r="S124" s="6">
        <v>0</v>
      </c>
      <c r="T124" s="6">
        <v>1</v>
      </c>
      <c r="U124" s="6">
        <v>1</v>
      </c>
      <c r="V124" s="7">
        <v>0</v>
      </c>
      <c r="W124" s="9">
        <f t="shared" si="37"/>
        <v>50</v>
      </c>
      <c r="X124" s="10">
        <f t="shared" si="32"/>
        <v>6</v>
      </c>
      <c r="Y124" s="12">
        <f t="shared" si="24"/>
        <v>352.15104599659281</v>
      </c>
      <c r="Z124" s="11">
        <f t="shared" si="25"/>
        <v>13.31692517568143</v>
      </c>
      <c r="AA124" s="6">
        <v>0</v>
      </c>
      <c r="AB124" s="6">
        <v>0</v>
      </c>
      <c r="AC124" s="6">
        <v>0</v>
      </c>
      <c r="AD124" s="7">
        <v>1</v>
      </c>
      <c r="AE124" s="9">
        <f t="shared" si="38"/>
        <v>60</v>
      </c>
      <c r="AF124" s="10">
        <f t="shared" si="33"/>
        <v>8</v>
      </c>
      <c r="AG124" s="12">
        <f t="shared" si="27"/>
        <v>409.58125519591135</v>
      </c>
      <c r="AH124" s="11">
        <f t="shared" si="28"/>
        <v>14.999450835817715</v>
      </c>
      <c r="AJ124" s="6">
        <f t="shared" si="34"/>
        <v>1500</v>
      </c>
      <c r="AK124" s="4">
        <v>107</v>
      </c>
      <c r="AM124" s="2" t="str">
        <f t="shared" si="29"/>
        <v>6</v>
      </c>
      <c r="AN124" s="2" t="str">
        <f t="shared" si="35"/>
        <v>5DC</v>
      </c>
      <c r="AO124" s="2"/>
      <c r="AP124" s="2" t="str">
        <f t="shared" si="36"/>
        <v>65DC</v>
      </c>
    </row>
    <row r="125" spans="1:42" x14ac:dyDescent="0.2">
      <c r="A125">
        <v>108</v>
      </c>
      <c r="B125">
        <v>10.7</v>
      </c>
      <c r="C125" s="6">
        <v>0</v>
      </c>
      <c r="D125" s="6">
        <v>1</v>
      </c>
      <c r="E125" s="6">
        <v>1</v>
      </c>
      <c r="F125" s="7">
        <v>0</v>
      </c>
      <c r="G125" s="9">
        <v>150</v>
      </c>
      <c r="H125" s="10">
        <f t="shared" si="30"/>
        <v>6</v>
      </c>
      <c r="I125" s="12">
        <f t="shared" si="19"/>
        <v>926.4531379897785</v>
      </c>
      <c r="J125" s="11">
        <f t="shared" si="20"/>
        <v>30.142181777044289</v>
      </c>
      <c r="K125" s="6">
        <v>0</v>
      </c>
      <c r="L125" s="6">
        <v>1</v>
      </c>
      <c r="M125" s="6">
        <v>1</v>
      </c>
      <c r="N125" s="7">
        <v>0</v>
      </c>
      <c r="O125" s="9">
        <v>65</v>
      </c>
      <c r="P125" s="10">
        <f t="shared" si="31"/>
        <v>6</v>
      </c>
      <c r="Q125" s="12">
        <f t="shared" si="21"/>
        <v>438.29635979557071</v>
      </c>
      <c r="R125" s="11">
        <f t="shared" si="22"/>
        <v>15.840713665885861</v>
      </c>
      <c r="S125" s="6">
        <v>0</v>
      </c>
      <c r="T125" s="6">
        <v>1</v>
      </c>
      <c r="U125" s="6">
        <v>1</v>
      </c>
      <c r="V125" s="7">
        <v>0</v>
      </c>
      <c r="W125" s="9">
        <f t="shared" si="37"/>
        <v>45</v>
      </c>
      <c r="X125" s="10">
        <f t="shared" si="32"/>
        <v>6</v>
      </c>
      <c r="Y125" s="12">
        <f t="shared" si="24"/>
        <v>323.43594139693357</v>
      </c>
      <c r="Z125" s="11">
        <f t="shared" si="25"/>
        <v>12.475662345613289</v>
      </c>
      <c r="AA125" s="6">
        <v>0</v>
      </c>
      <c r="AB125" s="6">
        <v>0</v>
      </c>
      <c r="AC125" s="6">
        <v>0</v>
      </c>
      <c r="AD125" s="7">
        <v>1</v>
      </c>
      <c r="AE125" s="9">
        <f t="shared" si="38"/>
        <v>56</v>
      </c>
      <c r="AF125" s="10">
        <f t="shared" si="33"/>
        <v>8</v>
      </c>
      <c r="AG125" s="12">
        <f t="shared" si="27"/>
        <v>386.60917151618401</v>
      </c>
      <c r="AH125" s="11">
        <f t="shared" si="28"/>
        <v>14.326440571763204</v>
      </c>
      <c r="AJ125" s="6">
        <f t="shared" si="34"/>
        <v>1500</v>
      </c>
      <c r="AK125" s="4">
        <v>108</v>
      </c>
      <c r="AM125" s="2" t="str">
        <f t="shared" si="29"/>
        <v>6</v>
      </c>
      <c r="AN125" s="2" t="str">
        <f t="shared" si="35"/>
        <v>5DC</v>
      </c>
      <c r="AO125" s="2"/>
      <c r="AP125" s="2" t="str">
        <f t="shared" si="36"/>
        <v>65DC</v>
      </c>
    </row>
    <row r="126" spans="1:42" x14ac:dyDescent="0.2">
      <c r="A126">
        <v>109</v>
      </c>
      <c r="B126">
        <v>10.8</v>
      </c>
      <c r="C126" s="6">
        <v>0</v>
      </c>
      <c r="D126" s="6">
        <v>1</v>
      </c>
      <c r="E126" s="6">
        <v>1</v>
      </c>
      <c r="F126" s="7">
        <v>0</v>
      </c>
      <c r="G126" s="9">
        <v>150</v>
      </c>
      <c r="H126" s="10">
        <f t="shared" si="30"/>
        <v>6</v>
      </c>
      <c r="I126" s="12">
        <f t="shared" si="19"/>
        <v>926.4531379897785</v>
      </c>
      <c r="J126" s="11">
        <f t="shared" si="20"/>
        <v>30.142181777044289</v>
      </c>
      <c r="K126" s="6">
        <v>0</v>
      </c>
      <c r="L126" s="6">
        <v>1</v>
      </c>
      <c r="M126" s="6">
        <v>1</v>
      </c>
      <c r="N126" s="7">
        <v>0</v>
      </c>
      <c r="O126" s="9">
        <v>60</v>
      </c>
      <c r="P126" s="10">
        <f t="shared" si="31"/>
        <v>6</v>
      </c>
      <c r="Q126" s="12">
        <f t="shared" si="21"/>
        <v>409.58125519591135</v>
      </c>
      <c r="R126" s="11">
        <f t="shared" si="22"/>
        <v>14.999450835817715</v>
      </c>
      <c r="S126" s="6">
        <v>0</v>
      </c>
      <c r="T126" s="6">
        <v>1</v>
      </c>
      <c r="U126" s="6">
        <v>1</v>
      </c>
      <c r="V126" s="7">
        <v>0</v>
      </c>
      <c r="W126" s="9">
        <f t="shared" si="37"/>
        <v>40</v>
      </c>
      <c r="X126" s="10">
        <f t="shared" si="32"/>
        <v>6</v>
      </c>
      <c r="Y126" s="12">
        <f t="shared" si="24"/>
        <v>294.72083679727427</v>
      </c>
      <c r="Z126" s="11">
        <f t="shared" si="25"/>
        <v>11.634399515545145</v>
      </c>
      <c r="AA126" s="6">
        <v>0</v>
      </c>
      <c r="AB126" s="6">
        <v>0</v>
      </c>
      <c r="AC126" s="6">
        <v>0</v>
      </c>
      <c r="AD126" s="7">
        <v>1</v>
      </c>
      <c r="AE126" s="9">
        <f t="shared" si="38"/>
        <v>52</v>
      </c>
      <c r="AF126" s="10">
        <f t="shared" si="33"/>
        <v>8</v>
      </c>
      <c r="AG126" s="12">
        <f t="shared" si="27"/>
        <v>363.6370878364566</v>
      </c>
      <c r="AH126" s="11">
        <f t="shared" si="28"/>
        <v>13.653430307708689</v>
      </c>
      <c r="AJ126" s="6">
        <f t="shared" si="34"/>
        <v>1500</v>
      </c>
      <c r="AK126" s="4">
        <v>109</v>
      </c>
      <c r="AM126" s="2" t="str">
        <f t="shared" si="29"/>
        <v>6</v>
      </c>
      <c r="AN126" s="2" t="str">
        <f t="shared" si="35"/>
        <v>5DC</v>
      </c>
      <c r="AO126" s="2"/>
      <c r="AP126" s="2" t="str">
        <f t="shared" si="36"/>
        <v>65DC</v>
      </c>
    </row>
    <row r="127" spans="1:42" x14ac:dyDescent="0.2">
      <c r="A127">
        <v>110</v>
      </c>
      <c r="B127">
        <v>10.9</v>
      </c>
      <c r="C127" s="6">
        <v>0</v>
      </c>
      <c r="D127" s="6">
        <v>1</v>
      </c>
      <c r="E127" s="6">
        <v>1</v>
      </c>
      <c r="F127" s="7">
        <v>0</v>
      </c>
      <c r="G127" s="9">
        <v>150</v>
      </c>
      <c r="H127" s="10">
        <f t="shared" si="30"/>
        <v>6</v>
      </c>
      <c r="I127" s="12">
        <f t="shared" si="19"/>
        <v>926.4531379897785</v>
      </c>
      <c r="J127" s="11">
        <f t="shared" si="20"/>
        <v>30.142181777044289</v>
      </c>
      <c r="K127" s="6">
        <v>0</v>
      </c>
      <c r="L127" s="6">
        <v>1</v>
      </c>
      <c r="M127" s="6">
        <v>1</v>
      </c>
      <c r="N127" s="7">
        <v>0</v>
      </c>
      <c r="O127" s="9">
        <v>55</v>
      </c>
      <c r="P127" s="10">
        <f t="shared" si="31"/>
        <v>6</v>
      </c>
      <c r="Q127" s="12">
        <f t="shared" si="21"/>
        <v>380.86615059625217</v>
      </c>
      <c r="R127" s="11">
        <f t="shared" si="22"/>
        <v>14.158188005749576</v>
      </c>
      <c r="S127" s="6">
        <v>0</v>
      </c>
      <c r="T127" s="6">
        <v>1</v>
      </c>
      <c r="U127" s="6">
        <v>1</v>
      </c>
      <c r="V127" s="7">
        <v>0</v>
      </c>
      <c r="W127" s="9">
        <f t="shared" si="37"/>
        <v>35</v>
      </c>
      <c r="X127" s="10">
        <f t="shared" si="32"/>
        <v>6</v>
      </c>
      <c r="Y127" s="12">
        <f t="shared" si="24"/>
        <v>266.00573219761498</v>
      </c>
      <c r="Z127" s="11">
        <f t="shared" si="25"/>
        <v>10.793136685477002</v>
      </c>
      <c r="AA127" s="6">
        <v>0</v>
      </c>
      <c r="AB127" s="6">
        <v>0</v>
      </c>
      <c r="AC127" s="6">
        <v>0</v>
      </c>
      <c r="AD127" s="7">
        <v>1</v>
      </c>
      <c r="AE127" s="9">
        <f t="shared" si="38"/>
        <v>48</v>
      </c>
      <c r="AF127" s="10">
        <f t="shared" si="33"/>
        <v>8</v>
      </c>
      <c r="AG127" s="12">
        <f t="shared" si="27"/>
        <v>340.66500415672908</v>
      </c>
      <c r="AH127" s="11">
        <f t="shared" si="28"/>
        <v>12.980420043654172</v>
      </c>
      <c r="AJ127" s="6">
        <f t="shared" si="34"/>
        <v>1500</v>
      </c>
      <c r="AK127" s="4">
        <v>110</v>
      </c>
      <c r="AM127" s="2" t="str">
        <f t="shared" si="29"/>
        <v>6</v>
      </c>
      <c r="AN127" s="2" t="str">
        <f t="shared" si="35"/>
        <v>5DC</v>
      </c>
      <c r="AO127" s="2"/>
      <c r="AP127" s="2" t="str">
        <f t="shared" si="36"/>
        <v>65DC</v>
      </c>
    </row>
    <row r="128" spans="1:42" x14ac:dyDescent="0.2">
      <c r="A128">
        <v>111</v>
      </c>
      <c r="B128">
        <v>11</v>
      </c>
      <c r="C128" s="6">
        <v>0</v>
      </c>
      <c r="D128" s="6">
        <v>1</v>
      </c>
      <c r="E128" s="6">
        <v>1</v>
      </c>
      <c r="F128" s="7">
        <v>0</v>
      </c>
      <c r="G128" s="9">
        <v>150</v>
      </c>
      <c r="H128" s="10">
        <f t="shared" si="30"/>
        <v>6</v>
      </c>
      <c r="I128" s="12">
        <f t="shared" si="19"/>
        <v>926.4531379897785</v>
      </c>
      <c r="J128" s="11">
        <f t="shared" si="20"/>
        <v>30.142181777044289</v>
      </c>
      <c r="K128" s="6">
        <v>0</v>
      </c>
      <c r="L128" s="6">
        <v>1</v>
      </c>
      <c r="M128" s="6">
        <v>1</v>
      </c>
      <c r="N128" s="7">
        <v>0</v>
      </c>
      <c r="O128" s="9">
        <v>50</v>
      </c>
      <c r="P128" s="10">
        <f t="shared" si="31"/>
        <v>6</v>
      </c>
      <c r="Q128" s="12">
        <f t="shared" si="21"/>
        <v>352.15104599659281</v>
      </c>
      <c r="R128" s="11">
        <f t="shared" si="22"/>
        <v>13.31692517568143</v>
      </c>
      <c r="S128" s="6">
        <v>0</v>
      </c>
      <c r="T128" s="6">
        <v>1</v>
      </c>
      <c r="U128" s="6">
        <v>1</v>
      </c>
      <c r="V128" s="7">
        <v>0</v>
      </c>
      <c r="W128" s="9">
        <f t="shared" si="37"/>
        <v>30</v>
      </c>
      <c r="X128" s="10">
        <f t="shared" si="32"/>
        <v>6</v>
      </c>
      <c r="Y128" s="12">
        <f t="shared" si="24"/>
        <v>237.29062759795568</v>
      </c>
      <c r="Z128" s="11">
        <f t="shared" si="25"/>
        <v>9.9518738554088593</v>
      </c>
      <c r="AA128" s="6">
        <v>0</v>
      </c>
      <c r="AB128" s="6">
        <v>0</v>
      </c>
      <c r="AC128" s="6">
        <v>0</v>
      </c>
      <c r="AD128" s="7">
        <v>1</v>
      </c>
      <c r="AE128" s="9">
        <f t="shared" si="38"/>
        <v>44</v>
      </c>
      <c r="AF128" s="10">
        <f t="shared" si="33"/>
        <v>8</v>
      </c>
      <c r="AG128" s="12">
        <f t="shared" si="27"/>
        <v>317.69292047700173</v>
      </c>
      <c r="AH128" s="11">
        <f t="shared" si="28"/>
        <v>12.307409779599659</v>
      </c>
      <c r="AJ128" s="6">
        <f t="shared" si="34"/>
        <v>1500</v>
      </c>
      <c r="AK128" s="4">
        <v>111</v>
      </c>
      <c r="AM128" s="2" t="str">
        <f t="shared" si="29"/>
        <v>6</v>
      </c>
      <c r="AN128" s="2" t="str">
        <f t="shared" si="35"/>
        <v>5DC</v>
      </c>
      <c r="AO128" s="2"/>
      <c r="AP128" s="2" t="str">
        <f t="shared" si="36"/>
        <v>65DC</v>
      </c>
    </row>
    <row r="129" spans="1:42" x14ac:dyDescent="0.2">
      <c r="A129">
        <v>112</v>
      </c>
      <c r="B129">
        <v>11.1</v>
      </c>
      <c r="C129" s="6">
        <v>0</v>
      </c>
      <c r="D129" s="6">
        <v>1</v>
      </c>
      <c r="E129" s="6">
        <v>1</v>
      </c>
      <c r="F129" s="7">
        <v>0</v>
      </c>
      <c r="G129" s="9">
        <v>150</v>
      </c>
      <c r="H129" s="10">
        <f t="shared" si="30"/>
        <v>6</v>
      </c>
      <c r="I129" s="12">
        <f t="shared" si="19"/>
        <v>926.4531379897785</v>
      </c>
      <c r="J129" s="11">
        <f t="shared" si="20"/>
        <v>30.142181777044289</v>
      </c>
      <c r="K129" s="6">
        <v>0</v>
      </c>
      <c r="L129" s="6">
        <v>1</v>
      </c>
      <c r="M129" s="6">
        <v>1</v>
      </c>
      <c r="N129" s="7">
        <v>0</v>
      </c>
      <c r="O129" s="9">
        <v>45</v>
      </c>
      <c r="P129" s="10">
        <f t="shared" si="31"/>
        <v>6</v>
      </c>
      <c r="Q129" s="12">
        <f t="shared" si="21"/>
        <v>323.43594139693357</v>
      </c>
      <c r="R129" s="11">
        <f t="shared" si="22"/>
        <v>12.475662345613289</v>
      </c>
      <c r="S129" s="6">
        <v>0</v>
      </c>
      <c r="T129" s="6">
        <v>1</v>
      </c>
      <c r="U129" s="6">
        <v>1</v>
      </c>
      <c r="V129" s="7">
        <v>0</v>
      </c>
      <c r="W129" s="9">
        <f t="shared" si="37"/>
        <v>25</v>
      </c>
      <c r="X129" s="10">
        <f t="shared" si="32"/>
        <v>6</v>
      </c>
      <c r="Y129" s="12">
        <f t="shared" si="24"/>
        <v>208.57552299829641</v>
      </c>
      <c r="Z129" s="11">
        <f t="shared" si="25"/>
        <v>9.1106110253407149</v>
      </c>
      <c r="AA129" s="6">
        <v>0</v>
      </c>
      <c r="AB129" s="6">
        <v>0</v>
      </c>
      <c r="AC129" s="6">
        <v>0</v>
      </c>
      <c r="AD129" s="7">
        <v>1</v>
      </c>
      <c r="AE129" s="9">
        <f t="shared" si="38"/>
        <v>40</v>
      </c>
      <c r="AF129" s="10">
        <f t="shared" si="33"/>
        <v>8</v>
      </c>
      <c r="AG129" s="12">
        <f t="shared" si="27"/>
        <v>294.72083679727427</v>
      </c>
      <c r="AH129" s="11">
        <f t="shared" si="28"/>
        <v>11.634399515545145</v>
      </c>
      <c r="AJ129" s="6">
        <f t="shared" si="34"/>
        <v>1500</v>
      </c>
      <c r="AK129" s="4">
        <v>112</v>
      </c>
      <c r="AM129" s="2" t="str">
        <f t="shared" si="29"/>
        <v>6</v>
      </c>
      <c r="AN129" s="2" t="str">
        <f t="shared" si="35"/>
        <v>5DC</v>
      </c>
      <c r="AO129" s="2"/>
      <c r="AP129" s="2" t="str">
        <f t="shared" si="36"/>
        <v>65DC</v>
      </c>
    </row>
    <row r="130" spans="1:42" x14ac:dyDescent="0.2">
      <c r="A130">
        <v>113</v>
      </c>
      <c r="B130">
        <v>11.2</v>
      </c>
      <c r="C130" s="6">
        <v>0</v>
      </c>
      <c r="D130" s="6">
        <v>1</v>
      </c>
      <c r="E130" s="6">
        <v>1</v>
      </c>
      <c r="F130" s="7">
        <v>0</v>
      </c>
      <c r="G130" s="9">
        <v>150</v>
      </c>
      <c r="H130" s="10">
        <f t="shared" si="30"/>
        <v>6</v>
      </c>
      <c r="I130" s="12">
        <f t="shared" si="19"/>
        <v>926.4531379897785</v>
      </c>
      <c r="J130" s="11">
        <f t="shared" si="20"/>
        <v>30.142181777044289</v>
      </c>
      <c r="K130" s="6">
        <v>0</v>
      </c>
      <c r="L130" s="6">
        <v>1</v>
      </c>
      <c r="M130" s="6">
        <v>1</v>
      </c>
      <c r="N130" s="7">
        <v>0</v>
      </c>
      <c r="O130" s="9">
        <v>40</v>
      </c>
      <c r="P130" s="10">
        <f t="shared" si="31"/>
        <v>6</v>
      </c>
      <c r="Q130" s="12">
        <f t="shared" si="21"/>
        <v>294.72083679727427</v>
      </c>
      <c r="R130" s="11">
        <f t="shared" si="22"/>
        <v>11.634399515545145</v>
      </c>
      <c r="S130" s="6">
        <v>0</v>
      </c>
      <c r="T130" s="6">
        <v>1</v>
      </c>
      <c r="U130" s="6">
        <v>1</v>
      </c>
      <c r="V130" s="7">
        <v>0</v>
      </c>
      <c r="W130" s="9">
        <f t="shared" si="37"/>
        <v>20</v>
      </c>
      <c r="X130" s="10">
        <f t="shared" si="32"/>
        <v>6</v>
      </c>
      <c r="Y130" s="12">
        <f t="shared" si="24"/>
        <v>179.86041839863714</v>
      </c>
      <c r="Z130" s="11">
        <f t="shared" si="25"/>
        <v>8.2693481952725723</v>
      </c>
      <c r="AA130" s="6">
        <v>0</v>
      </c>
      <c r="AB130" s="6">
        <v>0</v>
      </c>
      <c r="AC130" s="6">
        <v>0</v>
      </c>
      <c r="AD130" s="7">
        <v>1</v>
      </c>
      <c r="AE130" s="9">
        <f t="shared" si="38"/>
        <v>36</v>
      </c>
      <c r="AF130" s="10">
        <f t="shared" si="33"/>
        <v>8</v>
      </c>
      <c r="AG130" s="12">
        <f t="shared" si="27"/>
        <v>271.74875311754681</v>
      </c>
      <c r="AH130" s="11">
        <f t="shared" si="28"/>
        <v>10.96138925149063</v>
      </c>
      <c r="AJ130" s="6">
        <f t="shared" si="34"/>
        <v>1500</v>
      </c>
      <c r="AK130" s="4">
        <v>113</v>
      </c>
      <c r="AM130" s="2" t="str">
        <f t="shared" si="29"/>
        <v>6</v>
      </c>
      <c r="AN130" s="2" t="str">
        <f t="shared" si="35"/>
        <v>5DC</v>
      </c>
      <c r="AO130" s="2"/>
      <c r="AP130" s="2" t="str">
        <f t="shared" si="36"/>
        <v>65DC</v>
      </c>
    </row>
    <row r="131" spans="1:42" x14ac:dyDescent="0.2">
      <c r="A131">
        <v>114</v>
      </c>
      <c r="B131">
        <v>11.3</v>
      </c>
      <c r="C131" s="6">
        <v>0</v>
      </c>
      <c r="D131" s="6">
        <v>1</v>
      </c>
      <c r="E131" s="6">
        <v>1</v>
      </c>
      <c r="F131" s="7">
        <v>0</v>
      </c>
      <c r="G131" s="9">
        <v>150</v>
      </c>
      <c r="H131" s="10">
        <f t="shared" si="30"/>
        <v>6</v>
      </c>
      <c r="I131" s="12">
        <f t="shared" si="19"/>
        <v>926.4531379897785</v>
      </c>
      <c r="J131" s="11">
        <f t="shared" si="20"/>
        <v>30.142181777044289</v>
      </c>
      <c r="K131" s="6">
        <v>0</v>
      </c>
      <c r="L131" s="6">
        <v>1</v>
      </c>
      <c r="M131" s="6">
        <v>1</v>
      </c>
      <c r="N131" s="7">
        <v>0</v>
      </c>
      <c r="O131" s="9">
        <v>35</v>
      </c>
      <c r="P131" s="10">
        <f t="shared" si="31"/>
        <v>6</v>
      </c>
      <c r="Q131" s="12">
        <f t="shared" si="21"/>
        <v>266.00573219761498</v>
      </c>
      <c r="R131" s="11">
        <f t="shared" si="22"/>
        <v>10.793136685477002</v>
      </c>
      <c r="S131" s="6">
        <v>0</v>
      </c>
      <c r="T131" s="6">
        <v>1</v>
      </c>
      <c r="U131" s="6">
        <v>1</v>
      </c>
      <c r="V131" s="7">
        <v>0</v>
      </c>
      <c r="W131" s="9">
        <f t="shared" si="37"/>
        <v>15</v>
      </c>
      <c r="X131" s="10">
        <f t="shared" si="32"/>
        <v>6</v>
      </c>
      <c r="Y131" s="12">
        <f t="shared" si="24"/>
        <v>151.14531379897784</v>
      </c>
      <c r="Z131" s="11">
        <f t="shared" si="25"/>
        <v>7.4280853652044296</v>
      </c>
      <c r="AA131" s="6">
        <v>0</v>
      </c>
      <c r="AB131" s="6">
        <v>0</v>
      </c>
      <c r="AC131" s="6">
        <v>0</v>
      </c>
      <c r="AD131" s="7">
        <v>1</v>
      </c>
      <c r="AE131" s="9">
        <f t="shared" si="38"/>
        <v>32</v>
      </c>
      <c r="AF131" s="10">
        <f t="shared" si="33"/>
        <v>8</v>
      </c>
      <c r="AG131" s="12">
        <f t="shared" si="27"/>
        <v>248.77666943781944</v>
      </c>
      <c r="AH131" s="11">
        <f t="shared" si="28"/>
        <v>10.288378987436115</v>
      </c>
      <c r="AJ131" s="6">
        <f t="shared" si="34"/>
        <v>1500</v>
      </c>
      <c r="AK131" s="4">
        <v>114</v>
      </c>
      <c r="AM131" s="2" t="str">
        <f t="shared" si="29"/>
        <v>6</v>
      </c>
      <c r="AN131" s="2" t="str">
        <f t="shared" si="35"/>
        <v>5DC</v>
      </c>
      <c r="AO131" s="2"/>
      <c r="AP131" s="2" t="str">
        <f t="shared" si="36"/>
        <v>65DC</v>
      </c>
    </row>
    <row r="132" spans="1:42" x14ac:dyDescent="0.2">
      <c r="A132">
        <v>115</v>
      </c>
      <c r="B132">
        <v>11.4</v>
      </c>
      <c r="C132" s="6">
        <v>0</v>
      </c>
      <c r="D132" s="6">
        <v>1</v>
      </c>
      <c r="E132" s="6">
        <v>1</v>
      </c>
      <c r="F132" s="7">
        <v>0</v>
      </c>
      <c r="G132" s="9">
        <v>150</v>
      </c>
      <c r="H132" s="10">
        <f t="shared" si="30"/>
        <v>6</v>
      </c>
      <c r="I132" s="12">
        <f t="shared" si="19"/>
        <v>926.4531379897785</v>
      </c>
      <c r="J132" s="11">
        <f t="shared" si="20"/>
        <v>30.142181777044289</v>
      </c>
      <c r="K132" s="6">
        <v>0</v>
      </c>
      <c r="L132" s="6">
        <v>1</v>
      </c>
      <c r="M132" s="6">
        <v>1</v>
      </c>
      <c r="N132" s="7">
        <v>0</v>
      </c>
      <c r="O132" s="9">
        <v>30</v>
      </c>
      <c r="P132" s="10">
        <f t="shared" si="31"/>
        <v>6</v>
      </c>
      <c r="Q132" s="12">
        <f t="shared" si="21"/>
        <v>237.29062759795568</v>
      </c>
      <c r="R132" s="11">
        <f t="shared" si="22"/>
        <v>9.9518738554088593</v>
      </c>
      <c r="S132" s="6">
        <v>0</v>
      </c>
      <c r="T132" s="6">
        <v>1</v>
      </c>
      <c r="U132" s="6">
        <v>1</v>
      </c>
      <c r="V132" s="7">
        <v>0</v>
      </c>
      <c r="W132" s="9">
        <f t="shared" si="37"/>
        <v>10</v>
      </c>
      <c r="X132" s="10">
        <f t="shared" si="32"/>
        <v>6</v>
      </c>
      <c r="Y132" s="12">
        <f t="shared" si="24"/>
        <v>122.43020919931857</v>
      </c>
      <c r="Z132" s="11">
        <f t="shared" si="25"/>
        <v>6.5868225351362861</v>
      </c>
      <c r="AA132" s="6">
        <v>0</v>
      </c>
      <c r="AB132" s="6">
        <v>0</v>
      </c>
      <c r="AC132" s="6">
        <v>0</v>
      </c>
      <c r="AD132" s="7">
        <v>1</v>
      </c>
      <c r="AE132" s="9">
        <f t="shared" si="38"/>
        <v>28</v>
      </c>
      <c r="AF132" s="10">
        <f t="shared" si="33"/>
        <v>8</v>
      </c>
      <c r="AG132" s="12">
        <f t="shared" si="27"/>
        <v>225.804585758092</v>
      </c>
      <c r="AH132" s="11">
        <f t="shared" si="28"/>
        <v>9.6153687233816001</v>
      </c>
      <c r="AJ132" s="6">
        <f t="shared" si="34"/>
        <v>1500</v>
      </c>
      <c r="AK132" s="4">
        <v>115</v>
      </c>
      <c r="AM132" s="2" t="str">
        <f t="shared" si="29"/>
        <v>6</v>
      </c>
      <c r="AN132" s="2" t="str">
        <f t="shared" si="35"/>
        <v>5DC</v>
      </c>
      <c r="AO132" s="2"/>
      <c r="AP132" s="2" t="str">
        <f t="shared" si="36"/>
        <v>65DC</v>
      </c>
    </row>
    <row r="133" spans="1:42" x14ac:dyDescent="0.2">
      <c r="A133">
        <v>116</v>
      </c>
      <c r="B133">
        <v>11.5</v>
      </c>
      <c r="C133" s="6">
        <v>0</v>
      </c>
      <c r="D133" s="6">
        <v>1</v>
      </c>
      <c r="E133" s="6">
        <v>1</v>
      </c>
      <c r="F133" s="7">
        <v>0</v>
      </c>
      <c r="G133" s="9">
        <v>150</v>
      </c>
      <c r="H133" s="10">
        <f t="shared" si="30"/>
        <v>6</v>
      </c>
      <c r="I133" s="12">
        <f t="shared" si="19"/>
        <v>926.4531379897785</v>
      </c>
      <c r="J133" s="11">
        <f t="shared" si="20"/>
        <v>30.142181777044289</v>
      </c>
      <c r="K133" s="6">
        <v>0</v>
      </c>
      <c r="L133" s="6">
        <v>1</v>
      </c>
      <c r="M133" s="6">
        <v>1</v>
      </c>
      <c r="N133" s="7">
        <v>0</v>
      </c>
      <c r="O133" s="9">
        <v>25</v>
      </c>
      <c r="P133" s="10">
        <f t="shared" si="31"/>
        <v>6</v>
      </c>
      <c r="Q133" s="12">
        <f t="shared" si="21"/>
        <v>208.57552299829641</v>
      </c>
      <c r="R133" s="11">
        <f t="shared" si="22"/>
        <v>9.1106110253407149</v>
      </c>
      <c r="S133" s="6">
        <v>0</v>
      </c>
      <c r="T133" s="6">
        <v>1</v>
      </c>
      <c r="U133" s="6">
        <v>1</v>
      </c>
      <c r="V133" s="7">
        <v>0</v>
      </c>
      <c r="W133" s="9">
        <f t="shared" si="37"/>
        <v>5</v>
      </c>
      <c r="X133" s="10">
        <f t="shared" si="32"/>
        <v>6</v>
      </c>
      <c r="Y133" s="12">
        <f t="shared" si="24"/>
        <v>93.715104599659284</v>
      </c>
      <c r="Z133" s="11">
        <f t="shared" si="25"/>
        <v>5.7455597050681426</v>
      </c>
      <c r="AA133" s="6">
        <v>0</v>
      </c>
      <c r="AB133" s="6">
        <v>0</v>
      </c>
      <c r="AC133" s="6">
        <v>0</v>
      </c>
      <c r="AD133" s="7">
        <v>1</v>
      </c>
      <c r="AE133" s="9">
        <f t="shared" si="38"/>
        <v>24</v>
      </c>
      <c r="AF133" s="10">
        <f t="shared" si="33"/>
        <v>8</v>
      </c>
      <c r="AG133" s="12">
        <f t="shared" si="27"/>
        <v>202.83250207836454</v>
      </c>
      <c r="AH133" s="11">
        <f t="shared" si="28"/>
        <v>8.9423584593270853</v>
      </c>
      <c r="AJ133" s="6">
        <f t="shared" si="34"/>
        <v>1500</v>
      </c>
      <c r="AK133" s="4">
        <v>116</v>
      </c>
      <c r="AM133" s="2" t="str">
        <f t="shared" si="29"/>
        <v>6</v>
      </c>
      <c r="AN133" s="2" t="str">
        <f t="shared" si="35"/>
        <v>5DC</v>
      </c>
      <c r="AO133" s="2"/>
      <c r="AP133" s="2" t="str">
        <f t="shared" si="36"/>
        <v>65DC</v>
      </c>
    </row>
    <row r="134" spans="1:42" x14ac:dyDescent="0.2">
      <c r="A134">
        <v>117</v>
      </c>
      <c r="B134">
        <v>11.6</v>
      </c>
      <c r="C134" s="6">
        <v>0</v>
      </c>
      <c r="D134" s="6">
        <v>1</v>
      </c>
      <c r="E134" s="6">
        <v>1</v>
      </c>
      <c r="F134" s="7">
        <v>0</v>
      </c>
      <c r="G134" s="9">
        <v>150</v>
      </c>
      <c r="H134" s="10">
        <f t="shared" si="30"/>
        <v>6</v>
      </c>
      <c r="I134" s="12">
        <f t="shared" si="19"/>
        <v>926.4531379897785</v>
      </c>
      <c r="J134" s="11">
        <f t="shared" si="20"/>
        <v>30.142181777044289</v>
      </c>
      <c r="K134" s="6">
        <v>0</v>
      </c>
      <c r="L134" s="6">
        <v>1</v>
      </c>
      <c r="M134" s="6">
        <v>1</v>
      </c>
      <c r="N134" s="7">
        <v>0</v>
      </c>
      <c r="O134" s="9">
        <v>20</v>
      </c>
      <c r="P134" s="10">
        <f t="shared" si="31"/>
        <v>6</v>
      </c>
      <c r="Q134" s="12">
        <f t="shared" si="21"/>
        <v>179.86041839863714</v>
      </c>
      <c r="R134" s="11">
        <f t="shared" si="22"/>
        <v>8.2693481952725723</v>
      </c>
      <c r="S134" s="6">
        <v>0</v>
      </c>
      <c r="T134" s="6">
        <v>1</v>
      </c>
      <c r="U134" s="6">
        <v>1</v>
      </c>
      <c r="V134" s="7">
        <v>0</v>
      </c>
      <c r="W134" s="9">
        <f t="shared" si="37"/>
        <v>0</v>
      </c>
      <c r="X134" s="10">
        <f t="shared" si="32"/>
        <v>6</v>
      </c>
      <c r="Y134" s="12">
        <f t="shared" si="24"/>
        <v>65</v>
      </c>
      <c r="Z134" s="11">
        <f t="shared" si="25"/>
        <v>4.904296875</v>
      </c>
      <c r="AA134" s="6">
        <v>0</v>
      </c>
      <c r="AB134" s="6">
        <v>0</v>
      </c>
      <c r="AC134" s="6">
        <v>0</v>
      </c>
      <c r="AD134" s="7">
        <v>1</v>
      </c>
      <c r="AE134" s="9">
        <f t="shared" si="38"/>
        <v>20</v>
      </c>
      <c r="AF134" s="10">
        <f t="shared" si="33"/>
        <v>8</v>
      </c>
      <c r="AG134" s="12">
        <f t="shared" si="27"/>
        <v>179.86041839863714</v>
      </c>
      <c r="AH134" s="11">
        <f t="shared" si="28"/>
        <v>8.2693481952725723</v>
      </c>
      <c r="AJ134" s="6">
        <f t="shared" si="34"/>
        <v>1500</v>
      </c>
      <c r="AK134" s="4">
        <v>117</v>
      </c>
      <c r="AM134" s="2" t="str">
        <f t="shared" si="29"/>
        <v>6</v>
      </c>
      <c r="AN134" s="2" t="str">
        <f t="shared" si="35"/>
        <v>5DC</v>
      </c>
      <c r="AO134" s="2"/>
      <c r="AP134" s="2" t="str">
        <f t="shared" si="36"/>
        <v>65DC</v>
      </c>
    </row>
    <row r="135" spans="1:42" x14ac:dyDescent="0.2">
      <c r="A135">
        <v>118</v>
      </c>
      <c r="B135">
        <v>11.7</v>
      </c>
      <c r="C135" s="6">
        <v>0</v>
      </c>
      <c r="D135" s="6">
        <v>1</v>
      </c>
      <c r="E135" s="6">
        <v>1</v>
      </c>
      <c r="F135" s="7">
        <v>0</v>
      </c>
      <c r="G135" s="9">
        <v>150</v>
      </c>
      <c r="H135" s="10">
        <f t="shared" si="30"/>
        <v>6</v>
      </c>
      <c r="I135" s="12">
        <f t="shared" si="19"/>
        <v>926.4531379897785</v>
      </c>
      <c r="J135" s="11">
        <f t="shared" si="20"/>
        <v>30.142181777044289</v>
      </c>
      <c r="K135" s="6">
        <v>0</v>
      </c>
      <c r="L135" s="6">
        <v>1</v>
      </c>
      <c r="M135" s="6">
        <v>1</v>
      </c>
      <c r="N135" s="7">
        <v>0</v>
      </c>
      <c r="O135" s="9">
        <v>15</v>
      </c>
      <c r="P135" s="10">
        <f t="shared" si="31"/>
        <v>6</v>
      </c>
      <c r="Q135" s="12">
        <f t="shared" si="21"/>
        <v>151.14531379897784</v>
      </c>
      <c r="R135" s="11">
        <f t="shared" si="22"/>
        <v>7.4280853652044296</v>
      </c>
      <c r="S135" s="6">
        <v>0</v>
      </c>
      <c r="T135" s="6">
        <v>1</v>
      </c>
      <c r="U135" s="6">
        <v>1</v>
      </c>
      <c r="V135" s="7">
        <v>0</v>
      </c>
      <c r="W135" s="9">
        <v>0</v>
      </c>
      <c r="X135" s="10">
        <f t="shared" si="32"/>
        <v>6</v>
      </c>
      <c r="Y135" s="12">
        <f t="shared" si="24"/>
        <v>65</v>
      </c>
      <c r="Z135" s="11">
        <f t="shared" si="25"/>
        <v>4.904296875</v>
      </c>
      <c r="AA135" s="6">
        <v>0</v>
      </c>
      <c r="AB135" s="6">
        <v>0</v>
      </c>
      <c r="AC135" s="6">
        <v>0</v>
      </c>
      <c r="AD135" s="7">
        <v>1</v>
      </c>
      <c r="AE135" s="9">
        <v>20</v>
      </c>
      <c r="AF135" s="10">
        <f t="shared" si="33"/>
        <v>8</v>
      </c>
      <c r="AG135" s="12">
        <f t="shared" si="27"/>
        <v>179.86041839863714</v>
      </c>
      <c r="AH135" s="11">
        <f t="shared" si="28"/>
        <v>8.2693481952725723</v>
      </c>
      <c r="AJ135" s="6">
        <f t="shared" si="34"/>
        <v>1500</v>
      </c>
      <c r="AK135" s="4">
        <v>118</v>
      </c>
      <c r="AM135" s="2" t="str">
        <f t="shared" si="29"/>
        <v>6</v>
      </c>
      <c r="AN135" s="2" t="str">
        <f t="shared" si="35"/>
        <v>5DC</v>
      </c>
      <c r="AO135" s="2"/>
      <c r="AP135" s="2" t="str">
        <f t="shared" si="36"/>
        <v>65DC</v>
      </c>
    </row>
    <row r="136" spans="1:42" x14ac:dyDescent="0.2">
      <c r="A136">
        <v>119</v>
      </c>
      <c r="B136">
        <v>11.8</v>
      </c>
      <c r="C136" s="6">
        <v>0</v>
      </c>
      <c r="D136" s="6">
        <v>1</v>
      </c>
      <c r="E136" s="6">
        <v>1</v>
      </c>
      <c r="F136" s="7">
        <v>0</v>
      </c>
      <c r="G136" s="9">
        <v>150</v>
      </c>
      <c r="H136" s="10">
        <f t="shared" si="30"/>
        <v>6</v>
      </c>
      <c r="I136" s="12">
        <f t="shared" si="19"/>
        <v>926.4531379897785</v>
      </c>
      <c r="J136" s="11">
        <f t="shared" si="20"/>
        <v>30.142181777044289</v>
      </c>
      <c r="K136" s="6">
        <v>0</v>
      </c>
      <c r="L136" s="6">
        <v>1</v>
      </c>
      <c r="M136" s="6">
        <v>1</v>
      </c>
      <c r="N136" s="7">
        <v>0</v>
      </c>
      <c r="O136" s="9">
        <v>10</v>
      </c>
      <c r="P136" s="10">
        <f t="shared" si="31"/>
        <v>6</v>
      </c>
      <c r="Q136" s="12">
        <f t="shared" si="21"/>
        <v>122.43020919931857</v>
      </c>
      <c r="R136" s="11">
        <f t="shared" si="22"/>
        <v>6.5868225351362861</v>
      </c>
      <c r="S136" s="6">
        <v>0</v>
      </c>
      <c r="T136" s="6">
        <v>1</v>
      </c>
      <c r="U136" s="6">
        <v>1</v>
      </c>
      <c r="V136" s="7">
        <v>0</v>
      </c>
      <c r="W136" s="9">
        <v>0</v>
      </c>
      <c r="X136" s="10">
        <f t="shared" si="32"/>
        <v>6</v>
      </c>
      <c r="Y136" s="12">
        <f t="shared" si="24"/>
        <v>65</v>
      </c>
      <c r="Z136" s="11">
        <f t="shared" si="25"/>
        <v>4.904296875</v>
      </c>
      <c r="AA136" s="6">
        <v>0</v>
      </c>
      <c r="AB136" s="6">
        <v>0</v>
      </c>
      <c r="AC136" s="6">
        <v>0</v>
      </c>
      <c r="AD136" s="7">
        <v>1</v>
      </c>
      <c r="AE136" s="9">
        <v>20</v>
      </c>
      <c r="AF136" s="10">
        <f t="shared" si="33"/>
        <v>8</v>
      </c>
      <c r="AG136" s="12">
        <f t="shared" si="27"/>
        <v>179.86041839863714</v>
      </c>
      <c r="AH136" s="11">
        <f t="shared" si="28"/>
        <v>8.2693481952725723</v>
      </c>
      <c r="AJ136" s="6">
        <f t="shared" si="34"/>
        <v>1500</v>
      </c>
      <c r="AK136" s="4">
        <v>119</v>
      </c>
      <c r="AM136" s="2" t="str">
        <f t="shared" si="29"/>
        <v>6</v>
      </c>
      <c r="AN136" s="2" t="str">
        <f t="shared" si="35"/>
        <v>5DC</v>
      </c>
      <c r="AO136" s="2"/>
      <c r="AP136" s="2" t="str">
        <f t="shared" si="36"/>
        <v>65DC</v>
      </c>
    </row>
    <row r="137" spans="1:42" x14ac:dyDescent="0.2">
      <c r="A137">
        <v>120</v>
      </c>
      <c r="B137">
        <v>11.9</v>
      </c>
      <c r="C137" s="6">
        <v>0</v>
      </c>
      <c r="D137" s="6">
        <v>1</v>
      </c>
      <c r="E137" s="6">
        <v>1</v>
      </c>
      <c r="F137" s="7">
        <v>0</v>
      </c>
      <c r="G137" s="9">
        <v>150</v>
      </c>
      <c r="H137" s="10">
        <f t="shared" si="30"/>
        <v>6</v>
      </c>
      <c r="I137" s="12">
        <f t="shared" si="19"/>
        <v>926.4531379897785</v>
      </c>
      <c r="J137" s="11">
        <f t="shared" si="20"/>
        <v>30.142181777044289</v>
      </c>
      <c r="K137" s="6">
        <v>0</v>
      </c>
      <c r="L137" s="6">
        <v>1</v>
      </c>
      <c r="M137" s="6">
        <v>1</v>
      </c>
      <c r="N137" s="7">
        <v>0</v>
      </c>
      <c r="O137" s="9">
        <v>5</v>
      </c>
      <c r="P137" s="10">
        <f t="shared" si="31"/>
        <v>6</v>
      </c>
      <c r="Q137" s="12">
        <f t="shared" si="21"/>
        <v>93.715104599659284</v>
      </c>
      <c r="R137" s="11">
        <f t="shared" si="22"/>
        <v>5.7455597050681426</v>
      </c>
      <c r="S137" s="6">
        <v>0</v>
      </c>
      <c r="T137" s="6">
        <v>1</v>
      </c>
      <c r="U137" s="6">
        <v>1</v>
      </c>
      <c r="V137" s="7">
        <v>0</v>
      </c>
      <c r="W137" s="9">
        <v>0</v>
      </c>
      <c r="X137" s="10">
        <f t="shared" si="32"/>
        <v>6</v>
      </c>
      <c r="Y137" s="12">
        <f t="shared" si="24"/>
        <v>65</v>
      </c>
      <c r="Z137" s="11">
        <f t="shared" si="25"/>
        <v>4.904296875</v>
      </c>
      <c r="AA137" s="6">
        <v>0</v>
      </c>
      <c r="AB137" s="6">
        <v>0</v>
      </c>
      <c r="AC137" s="6">
        <v>0</v>
      </c>
      <c r="AD137" s="7">
        <v>1</v>
      </c>
      <c r="AE137" s="9">
        <v>20</v>
      </c>
      <c r="AF137" s="10">
        <f t="shared" si="33"/>
        <v>8</v>
      </c>
      <c r="AG137" s="12">
        <f t="shared" si="27"/>
        <v>179.86041839863714</v>
      </c>
      <c r="AH137" s="11">
        <f t="shared" si="28"/>
        <v>8.2693481952725723</v>
      </c>
      <c r="AJ137" s="6">
        <f t="shared" si="34"/>
        <v>1500</v>
      </c>
      <c r="AK137" s="4">
        <v>120</v>
      </c>
      <c r="AM137" s="2" t="str">
        <f t="shared" si="29"/>
        <v>6</v>
      </c>
      <c r="AN137" s="2" t="str">
        <f t="shared" si="35"/>
        <v>5DC</v>
      </c>
      <c r="AO137" s="2"/>
      <c r="AP137" s="2" t="str">
        <f t="shared" si="36"/>
        <v>65DC</v>
      </c>
    </row>
    <row r="138" spans="1:42" x14ac:dyDescent="0.2">
      <c r="A138">
        <v>121</v>
      </c>
      <c r="B138">
        <v>12</v>
      </c>
      <c r="C138" s="6">
        <v>0</v>
      </c>
      <c r="D138" s="6">
        <v>1</v>
      </c>
      <c r="E138" s="6">
        <v>1</v>
      </c>
      <c r="F138" s="7">
        <v>0</v>
      </c>
      <c r="G138" s="9">
        <v>150</v>
      </c>
      <c r="H138" s="10">
        <f t="shared" si="30"/>
        <v>6</v>
      </c>
      <c r="I138" s="12">
        <f t="shared" si="19"/>
        <v>926.4531379897785</v>
      </c>
      <c r="J138" s="11">
        <f t="shared" si="20"/>
        <v>30.142181777044289</v>
      </c>
      <c r="K138" s="6">
        <v>0</v>
      </c>
      <c r="L138" s="6">
        <v>1</v>
      </c>
      <c r="M138" s="6">
        <v>1</v>
      </c>
      <c r="N138" s="7">
        <v>0</v>
      </c>
      <c r="O138" s="9">
        <v>0</v>
      </c>
      <c r="P138" s="10">
        <f t="shared" si="31"/>
        <v>6</v>
      </c>
      <c r="Q138" s="12">
        <f t="shared" si="21"/>
        <v>65</v>
      </c>
      <c r="R138" s="11">
        <f t="shared" si="22"/>
        <v>4.904296875</v>
      </c>
      <c r="S138" s="6">
        <v>0</v>
      </c>
      <c r="T138" s="6">
        <v>1</v>
      </c>
      <c r="U138" s="6">
        <v>1</v>
      </c>
      <c r="V138" s="7">
        <v>0</v>
      </c>
      <c r="W138" s="9">
        <v>0</v>
      </c>
      <c r="X138" s="10">
        <f t="shared" si="32"/>
        <v>6</v>
      </c>
      <c r="Y138" s="12">
        <f t="shared" si="24"/>
        <v>65</v>
      </c>
      <c r="Z138" s="11">
        <f t="shared" si="25"/>
        <v>4.904296875</v>
      </c>
      <c r="AA138" s="6">
        <v>0</v>
      </c>
      <c r="AB138" s="6">
        <v>0</v>
      </c>
      <c r="AC138" s="6">
        <v>0</v>
      </c>
      <c r="AD138" s="7">
        <v>1</v>
      </c>
      <c r="AE138" s="9">
        <v>20</v>
      </c>
      <c r="AF138" s="10">
        <f t="shared" si="33"/>
        <v>8</v>
      </c>
      <c r="AG138" s="12">
        <f t="shared" si="27"/>
        <v>179.86041839863714</v>
      </c>
      <c r="AH138" s="11">
        <f t="shared" si="28"/>
        <v>8.2693481952725723</v>
      </c>
      <c r="AJ138" s="6">
        <f t="shared" si="34"/>
        <v>1500</v>
      </c>
      <c r="AK138" s="4">
        <v>121</v>
      </c>
      <c r="AM138" s="2" t="str">
        <f t="shared" si="29"/>
        <v>6</v>
      </c>
      <c r="AN138" s="2" t="str">
        <f t="shared" si="35"/>
        <v>5DC</v>
      </c>
      <c r="AO138" s="2"/>
      <c r="AP138" s="2" t="str">
        <f t="shared" si="36"/>
        <v>65DC</v>
      </c>
    </row>
    <row r="139" spans="1:42" x14ac:dyDescent="0.2">
      <c r="A139">
        <v>122</v>
      </c>
      <c r="B139">
        <v>12.1</v>
      </c>
      <c r="C139" s="6">
        <v>0</v>
      </c>
      <c r="D139" s="6">
        <v>1</v>
      </c>
      <c r="E139" s="6">
        <v>1</v>
      </c>
      <c r="F139" s="7">
        <v>0</v>
      </c>
      <c r="G139" s="9">
        <v>150</v>
      </c>
      <c r="H139" s="10">
        <f t="shared" si="30"/>
        <v>6</v>
      </c>
      <c r="I139" s="12">
        <f t="shared" si="19"/>
        <v>926.4531379897785</v>
      </c>
      <c r="J139" s="11">
        <f t="shared" si="20"/>
        <v>30.142181777044289</v>
      </c>
      <c r="K139" s="6">
        <v>0</v>
      </c>
      <c r="L139" s="6">
        <v>1</v>
      </c>
      <c r="M139" s="6">
        <v>1</v>
      </c>
      <c r="N139" s="7">
        <v>0</v>
      </c>
      <c r="O139" s="9">
        <v>0</v>
      </c>
      <c r="P139" s="10">
        <f t="shared" si="31"/>
        <v>6</v>
      </c>
      <c r="Q139" s="12">
        <f t="shared" si="21"/>
        <v>65</v>
      </c>
      <c r="R139" s="11">
        <f t="shared" si="22"/>
        <v>4.904296875</v>
      </c>
      <c r="S139" s="6">
        <v>0</v>
      </c>
      <c r="T139" s="6">
        <v>1</v>
      </c>
      <c r="U139" s="6">
        <v>1</v>
      </c>
      <c r="V139" s="7">
        <v>0</v>
      </c>
      <c r="W139" s="9">
        <v>0</v>
      </c>
      <c r="X139" s="10">
        <f t="shared" si="32"/>
        <v>6</v>
      </c>
      <c r="Y139" s="12">
        <f t="shared" si="24"/>
        <v>65</v>
      </c>
      <c r="Z139" s="11">
        <f t="shared" si="25"/>
        <v>4.904296875</v>
      </c>
      <c r="AA139" s="6">
        <v>0</v>
      </c>
      <c r="AB139" s="6">
        <v>0</v>
      </c>
      <c r="AC139" s="6">
        <v>0</v>
      </c>
      <c r="AD139" s="7">
        <v>1</v>
      </c>
      <c r="AE139" s="9">
        <v>20</v>
      </c>
      <c r="AF139" s="10">
        <f t="shared" si="33"/>
        <v>8</v>
      </c>
      <c r="AG139" s="12">
        <f t="shared" si="27"/>
        <v>179.86041839863714</v>
      </c>
      <c r="AH139" s="11">
        <f t="shared" si="28"/>
        <v>8.2693481952725723</v>
      </c>
      <c r="AJ139" s="6">
        <f t="shared" si="34"/>
        <v>1500</v>
      </c>
      <c r="AK139" s="4">
        <v>122</v>
      </c>
      <c r="AM139" s="2" t="str">
        <f t="shared" si="29"/>
        <v>6</v>
      </c>
      <c r="AN139" s="2" t="str">
        <f t="shared" si="35"/>
        <v>5DC</v>
      </c>
      <c r="AO139" s="2"/>
      <c r="AP139" s="2" t="str">
        <f t="shared" si="36"/>
        <v>65DC</v>
      </c>
    </row>
    <row r="140" spans="1:42" x14ac:dyDescent="0.2">
      <c r="A140">
        <v>123</v>
      </c>
      <c r="B140">
        <v>12.2</v>
      </c>
      <c r="C140" s="6">
        <v>0</v>
      </c>
      <c r="D140" s="6">
        <v>1</v>
      </c>
      <c r="E140" s="6">
        <v>1</v>
      </c>
      <c r="F140" s="7">
        <v>0</v>
      </c>
      <c r="G140" s="9">
        <v>150</v>
      </c>
      <c r="H140" s="10">
        <f t="shared" si="30"/>
        <v>6</v>
      </c>
      <c r="I140" s="12">
        <f t="shared" si="19"/>
        <v>926.4531379897785</v>
      </c>
      <c r="J140" s="11">
        <f t="shared" si="20"/>
        <v>30.142181777044289</v>
      </c>
      <c r="K140" s="6">
        <v>0</v>
      </c>
      <c r="L140" s="6">
        <v>1</v>
      </c>
      <c r="M140" s="6">
        <v>1</v>
      </c>
      <c r="N140" s="7">
        <v>0</v>
      </c>
      <c r="O140" s="9">
        <v>0</v>
      </c>
      <c r="P140" s="10">
        <f t="shared" si="31"/>
        <v>6</v>
      </c>
      <c r="Q140" s="12">
        <f t="shared" si="21"/>
        <v>65</v>
      </c>
      <c r="R140" s="11">
        <f t="shared" si="22"/>
        <v>4.904296875</v>
      </c>
      <c r="S140" s="6">
        <v>0</v>
      </c>
      <c r="T140" s="6">
        <v>1</v>
      </c>
      <c r="U140" s="6">
        <v>1</v>
      </c>
      <c r="V140" s="7">
        <v>0</v>
      </c>
      <c r="W140" s="9">
        <v>0</v>
      </c>
      <c r="X140" s="10">
        <f t="shared" si="32"/>
        <v>6</v>
      </c>
      <c r="Y140" s="12">
        <f t="shared" si="24"/>
        <v>65</v>
      </c>
      <c r="Z140" s="11">
        <f t="shared" si="25"/>
        <v>4.904296875</v>
      </c>
      <c r="AA140" s="6">
        <v>0</v>
      </c>
      <c r="AB140" s="6">
        <v>0</v>
      </c>
      <c r="AC140" s="6">
        <v>0</v>
      </c>
      <c r="AD140" s="7">
        <v>1</v>
      </c>
      <c r="AE140" s="9">
        <v>20</v>
      </c>
      <c r="AF140" s="10">
        <f t="shared" si="33"/>
        <v>8</v>
      </c>
      <c r="AG140" s="12">
        <f t="shared" si="27"/>
        <v>179.86041839863714</v>
      </c>
      <c r="AH140" s="11">
        <f t="shared" si="28"/>
        <v>8.2693481952725723</v>
      </c>
      <c r="AJ140" s="6">
        <f t="shared" si="34"/>
        <v>1500</v>
      </c>
      <c r="AK140" s="4">
        <v>123</v>
      </c>
      <c r="AM140" s="2" t="str">
        <f t="shared" si="29"/>
        <v>6</v>
      </c>
      <c r="AN140" s="2" t="str">
        <f t="shared" si="35"/>
        <v>5DC</v>
      </c>
      <c r="AO140" s="2"/>
      <c r="AP140" s="2" t="str">
        <f t="shared" si="36"/>
        <v>65DC</v>
      </c>
    </row>
    <row r="141" spans="1:42" x14ac:dyDescent="0.2">
      <c r="A141">
        <v>124</v>
      </c>
      <c r="B141">
        <v>12.3</v>
      </c>
      <c r="C141" s="6">
        <v>0</v>
      </c>
      <c r="D141" s="6">
        <v>1</v>
      </c>
      <c r="E141" s="6">
        <v>1</v>
      </c>
      <c r="F141" s="7">
        <v>0</v>
      </c>
      <c r="G141" s="9">
        <v>150</v>
      </c>
      <c r="H141" s="10">
        <f t="shared" si="30"/>
        <v>6</v>
      </c>
      <c r="I141" s="12">
        <f t="shared" si="19"/>
        <v>926.4531379897785</v>
      </c>
      <c r="J141" s="11">
        <f t="shared" si="20"/>
        <v>30.142181777044289</v>
      </c>
      <c r="K141" s="6">
        <v>0</v>
      </c>
      <c r="L141" s="6">
        <v>1</v>
      </c>
      <c r="M141" s="6">
        <v>1</v>
      </c>
      <c r="N141" s="7">
        <v>0</v>
      </c>
      <c r="O141" s="9">
        <v>0</v>
      </c>
      <c r="P141" s="10">
        <f t="shared" si="31"/>
        <v>6</v>
      </c>
      <c r="Q141" s="12">
        <f t="shared" si="21"/>
        <v>65</v>
      </c>
      <c r="R141" s="11">
        <f t="shared" si="22"/>
        <v>4.904296875</v>
      </c>
      <c r="S141" s="6">
        <v>0</v>
      </c>
      <c r="T141" s="6">
        <v>1</v>
      </c>
      <c r="U141" s="6">
        <v>1</v>
      </c>
      <c r="V141" s="7">
        <v>0</v>
      </c>
      <c r="W141" s="9">
        <v>0</v>
      </c>
      <c r="X141" s="10">
        <f t="shared" si="32"/>
        <v>6</v>
      </c>
      <c r="Y141" s="12">
        <f t="shared" si="24"/>
        <v>65</v>
      </c>
      <c r="Z141" s="11">
        <f t="shared" si="25"/>
        <v>4.904296875</v>
      </c>
      <c r="AA141" s="6">
        <v>0</v>
      </c>
      <c r="AB141" s="6">
        <v>0</v>
      </c>
      <c r="AC141" s="6">
        <v>0</v>
      </c>
      <c r="AD141" s="7">
        <v>1</v>
      </c>
      <c r="AE141" s="9">
        <v>20</v>
      </c>
      <c r="AF141" s="10">
        <f t="shared" si="33"/>
        <v>8</v>
      </c>
      <c r="AG141" s="12">
        <f t="shared" si="27"/>
        <v>179.86041839863714</v>
      </c>
      <c r="AH141" s="11">
        <f t="shared" si="28"/>
        <v>8.2693481952725723</v>
      </c>
      <c r="AJ141" s="6">
        <f t="shared" si="34"/>
        <v>1500</v>
      </c>
      <c r="AK141" s="4">
        <v>124</v>
      </c>
      <c r="AM141" s="2" t="str">
        <f t="shared" si="29"/>
        <v>6</v>
      </c>
      <c r="AN141" s="2" t="str">
        <f t="shared" si="35"/>
        <v>5DC</v>
      </c>
      <c r="AO141" s="2"/>
      <c r="AP141" s="2" t="str">
        <f t="shared" si="36"/>
        <v>65DC</v>
      </c>
    </row>
    <row r="142" spans="1:42" x14ac:dyDescent="0.2">
      <c r="A142">
        <v>125</v>
      </c>
      <c r="B142">
        <v>12.4</v>
      </c>
      <c r="C142" s="6">
        <v>0</v>
      </c>
      <c r="D142" s="6">
        <v>1</v>
      </c>
      <c r="E142" s="6">
        <v>1</v>
      </c>
      <c r="F142" s="7">
        <v>0</v>
      </c>
      <c r="G142" s="9">
        <v>150</v>
      </c>
      <c r="H142" s="10">
        <f t="shared" si="30"/>
        <v>6</v>
      </c>
      <c r="I142" s="12">
        <f t="shared" si="19"/>
        <v>926.4531379897785</v>
      </c>
      <c r="J142" s="11">
        <f t="shared" si="20"/>
        <v>30.142181777044289</v>
      </c>
      <c r="K142" s="6">
        <v>0</v>
      </c>
      <c r="L142" s="6">
        <v>1</v>
      </c>
      <c r="M142" s="6">
        <v>1</v>
      </c>
      <c r="N142" s="7">
        <v>0</v>
      </c>
      <c r="O142" s="9">
        <v>0</v>
      </c>
      <c r="P142" s="10">
        <f t="shared" si="31"/>
        <v>6</v>
      </c>
      <c r="Q142" s="12">
        <f t="shared" si="21"/>
        <v>65</v>
      </c>
      <c r="R142" s="11">
        <f t="shared" si="22"/>
        <v>4.904296875</v>
      </c>
      <c r="S142" s="6">
        <v>0</v>
      </c>
      <c r="T142" s="6">
        <v>1</v>
      </c>
      <c r="U142" s="6">
        <v>1</v>
      </c>
      <c r="V142" s="7">
        <v>0</v>
      </c>
      <c r="W142" s="9">
        <v>0</v>
      </c>
      <c r="X142" s="10">
        <f t="shared" si="32"/>
        <v>6</v>
      </c>
      <c r="Y142" s="12">
        <f t="shared" si="24"/>
        <v>65</v>
      </c>
      <c r="Z142" s="11">
        <f t="shared" si="25"/>
        <v>4.904296875</v>
      </c>
      <c r="AA142" s="6">
        <v>0</v>
      </c>
      <c r="AB142" s="6">
        <v>0</v>
      </c>
      <c r="AC142" s="6">
        <v>0</v>
      </c>
      <c r="AD142" s="7">
        <v>1</v>
      </c>
      <c r="AE142" s="9">
        <v>20</v>
      </c>
      <c r="AF142" s="10">
        <f t="shared" si="33"/>
        <v>8</v>
      </c>
      <c r="AG142" s="12">
        <f t="shared" si="27"/>
        <v>179.86041839863714</v>
      </c>
      <c r="AH142" s="11">
        <f t="shared" si="28"/>
        <v>8.2693481952725723</v>
      </c>
      <c r="AJ142" s="6">
        <f t="shared" si="34"/>
        <v>1500</v>
      </c>
      <c r="AK142" s="4">
        <v>125</v>
      </c>
      <c r="AM142" s="2" t="str">
        <f t="shared" si="29"/>
        <v>6</v>
      </c>
      <c r="AN142" s="2" t="str">
        <f t="shared" si="35"/>
        <v>5DC</v>
      </c>
      <c r="AO142" s="2"/>
      <c r="AP142" s="2" t="str">
        <f t="shared" si="36"/>
        <v>65DC</v>
      </c>
    </row>
    <row r="143" spans="1:42" x14ac:dyDescent="0.2">
      <c r="A143">
        <v>126</v>
      </c>
      <c r="B143">
        <v>12.5</v>
      </c>
      <c r="C143" s="6">
        <v>0</v>
      </c>
      <c r="D143" s="6">
        <v>1</v>
      </c>
      <c r="E143" s="6">
        <v>1</v>
      </c>
      <c r="F143" s="7">
        <v>0</v>
      </c>
      <c r="G143" s="9">
        <v>150</v>
      </c>
      <c r="H143" s="10">
        <f t="shared" si="30"/>
        <v>6</v>
      </c>
      <c r="I143" s="12">
        <f t="shared" si="19"/>
        <v>926.4531379897785</v>
      </c>
      <c r="J143" s="11">
        <f t="shared" si="20"/>
        <v>30.142181777044289</v>
      </c>
      <c r="K143" s="6">
        <v>0</v>
      </c>
      <c r="L143" s="6">
        <v>1</v>
      </c>
      <c r="M143" s="6">
        <v>1</v>
      </c>
      <c r="N143" s="7">
        <v>0</v>
      </c>
      <c r="O143" s="9">
        <v>0</v>
      </c>
      <c r="P143" s="10">
        <f t="shared" si="31"/>
        <v>6</v>
      </c>
      <c r="Q143" s="12">
        <f t="shared" si="21"/>
        <v>65</v>
      </c>
      <c r="R143" s="11">
        <f t="shared" si="22"/>
        <v>4.904296875</v>
      </c>
      <c r="S143" s="6">
        <v>0</v>
      </c>
      <c r="T143" s="6">
        <v>1</v>
      </c>
      <c r="U143" s="6">
        <v>1</v>
      </c>
      <c r="V143" s="7">
        <v>0</v>
      </c>
      <c r="W143" s="9">
        <v>0</v>
      </c>
      <c r="X143" s="10">
        <f t="shared" si="32"/>
        <v>6</v>
      </c>
      <c r="Y143" s="12">
        <f t="shared" si="24"/>
        <v>65</v>
      </c>
      <c r="Z143" s="11">
        <f t="shared" si="25"/>
        <v>4.904296875</v>
      </c>
      <c r="AA143" s="6">
        <v>0</v>
      </c>
      <c r="AB143" s="6">
        <v>0</v>
      </c>
      <c r="AC143" s="6">
        <v>0</v>
      </c>
      <c r="AD143" s="7">
        <v>1</v>
      </c>
      <c r="AE143" s="9">
        <v>20</v>
      </c>
      <c r="AF143" s="10">
        <f t="shared" si="33"/>
        <v>8</v>
      </c>
      <c r="AG143" s="12">
        <f t="shared" si="27"/>
        <v>179.86041839863714</v>
      </c>
      <c r="AH143" s="11">
        <f t="shared" si="28"/>
        <v>8.2693481952725723</v>
      </c>
      <c r="AJ143" s="6">
        <f t="shared" si="34"/>
        <v>1500</v>
      </c>
      <c r="AK143" s="4">
        <v>126</v>
      </c>
      <c r="AM143" s="2" t="str">
        <f t="shared" si="29"/>
        <v>6</v>
      </c>
      <c r="AN143" s="2" t="str">
        <f t="shared" si="35"/>
        <v>5DC</v>
      </c>
      <c r="AO143" s="2"/>
      <c r="AP143" s="2" t="str">
        <f t="shared" si="36"/>
        <v>65DC</v>
      </c>
    </row>
    <row r="144" spans="1:42" x14ac:dyDescent="0.2">
      <c r="A144">
        <v>127</v>
      </c>
      <c r="B144">
        <v>12.6</v>
      </c>
      <c r="C144" s="6">
        <v>0</v>
      </c>
      <c r="D144" s="6">
        <v>1</v>
      </c>
      <c r="E144" s="6">
        <v>1</v>
      </c>
      <c r="F144" s="7">
        <v>0</v>
      </c>
      <c r="G144" s="9">
        <v>150</v>
      </c>
      <c r="H144" s="10">
        <f t="shared" si="30"/>
        <v>6</v>
      </c>
      <c r="I144" s="12">
        <f t="shared" si="19"/>
        <v>926.4531379897785</v>
      </c>
      <c r="J144" s="11">
        <f t="shared" si="20"/>
        <v>30.142181777044289</v>
      </c>
      <c r="K144" s="6">
        <v>0</v>
      </c>
      <c r="L144" s="6">
        <v>1</v>
      </c>
      <c r="M144" s="6">
        <v>1</v>
      </c>
      <c r="N144" s="7">
        <v>0</v>
      </c>
      <c r="O144" s="9">
        <v>0</v>
      </c>
      <c r="P144" s="10">
        <f t="shared" si="31"/>
        <v>6</v>
      </c>
      <c r="Q144" s="12">
        <f t="shared" si="21"/>
        <v>65</v>
      </c>
      <c r="R144" s="11">
        <f t="shared" si="22"/>
        <v>4.904296875</v>
      </c>
      <c r="S144" s="6">
        <v>0</v>
      </c>
      <c r="T144" s="6">
        <v>1</v>
      </c>
      <c r="U144" s="6">
        <v>1</v>
      </c>
      <c r="V144" s="7">
        <v>0</v>
      </c>
      <c r="W144" s="9">
        <v>0</v>
      </c>
      <c r="X144" s="10">
        <f t="shared" si="32"/>
        <v>6</v>
      </c>
      <c r="Y144" s="12">
        <f t="shared" si="24"/>
        <v>65</v>
      </c>
      <c r="Z144" s="11">
        <f t="shared" si="25"/>
        <v>4.904296875</v>
      </c>
      <c r="AA144" s="6">
        <v>0</v>
      </c>
      <c r="AB144" s="6">
        <v>0</v>
      </c>
      <c r="AC144" s="6">
        <v>0</v>
      </c>
      <c r="AD144" s="7">
        <v>1</v>
      </c>
      <c r="AE144" s="9">
        <v>20</v>
      </c>
      <c r="AF144" s="10">
        <f t="shared" si="33"/>
        <v>8</v>
      </c>
      <c r="AG144" s="12">
        <f t="shared" si="27"/>
        <v>179.86041839863714</v>
      </c>
      <c r="AH144" s="11">
        <f t="shared" si="28"/>
        <v>8.2693481952725723</v>
      </c>
      <c r="AJ144" s="6">
        <f t="shared" si="34"/>
        <v>1500</v>
      </c>
      <c r="AK144" s="4">
        <v>127</v>
      </c>
      <c r="AM144" s="2" t="str">
        <f t="shared" si="29"/>
        <v>6</v>
      </c>
      <c r="AN144" s="2" t="str">
        <f t="shared" si="35"/>
        <v>5DC</v>
      </c>
      <c r="AO144" s="2"/>
      <c r="AP144" s="2" t="str">
        <f t="shared" si="36"/>
        <v>65DC</v>
      </c>
    </row>
    <row r="145" spans="1:42" x14ac:dyDescent="0.2">
      <c r="A145">
        <v>128</v>
      </c>
      <c r="B145">
        <v>12.7</v>
      </c>
      <c r="C145" s="6">
        <v>0</v>
      </c>
      <c r="D145" s="6">
        <v>1</v>
      </c>
      <c r="E145" s="6">
        <v>1</v>
      </c>
      <c r="F145" s="7">
        <v>0</v>
      </c>
      <c r="G145" s="9">
        <v>150</v>
      </c>
      <c r="H145" s="10">
        <f t="shared" si="30"/>
        <v>6</v>
      </c>
      <c r="I145" s="12">
        <f t="shared" si="19"/>
        <v>926.4531379897785</v>
      </c>
      <c r="J145" s="11">
        <f t="shared" si="20"/>
        <v>30.142181777044289</v>
      </c>
      <c r="K145" s="6">
        <v>0</v>
      </c>
      <c r="L145" s="6">
        <v>1</v>
      </c>
      <c r="M145" s="6">
        <v>1</v>
      </c>
      <c r="N145" s="7">
        <v>0</v>
      </c>
      <c r="O145" s="9">
        <v>0</v>
      </c>
      <c r="P145" s="10">
        <f t="shared" si="31"/>
        <v>6</v>
      </c>
      <c r="Q145" s="12">
        <f t="shared" si="21"/>
        <v>65</v>
      </c>
      <c r="R145" s="11">
        <f t="shared" si="22"/>
        <v>4.904296875</v>
      </c>
      <c r="S145" s="6">
        <v>0</v>
      </c>
      <c r="T145" s="6">
        <v>1</v>
      </c>
      <c r="U145" s="6">
        <v>1</v>
      </c>
      <c r="V145" s="7">
        <v>0</v>
      </c>
      <c r="W145" s="9">
        <v>0</v>
      </c>
      <c r="X145" s="10">
        <f t="shared" si="32"/>
        <v>6</v>
      </c>
      <c r="Y145" s="12">
        <f t="shared" si="24"/>
        <v>65</v>
      </c>
      <c r="Z145" s="11">
        <f t="shared" si="25"/>
        <v>4.904296875</v>
      </c>
      <c r="AA145" s="6">
        <v>0</v>
      </c>
      <c r="AB145" s="6">
        <v>0</v>
      </c>
      <c r="AC145" s="6">
        <v>0</v>
      </c>
      <c r="AD145" s="7">
        <v>1</v>
      </c>
      <c r="AE145" s="9">
        <v>20</v>
      </c>
      <c r="AF145" s="10">
        <f t="shared" si="33"/>
        <v>8</v>
      </c>
      <c r="AG145" s="12">
        <f t="shared" si="27"/>
        <v>179.86041839863714</v>
      </c>
      <c r="AH145" s="11">
        <f t="shared" si="28"/>
        <v>8.2693481952725723</v>
      </c>
      <c r="AJ145" s="6">
        <f t="shared" si="34"/>
        <v>1500</v>
      </c>
      <c r="AK145" s="4">
        <v>128</v>
      </c>
      <c r="AM145" s="2" t="str">
        <f t="shared" si="29"/>
        <v>6</v>
      </c>
      <c r="AN145" s="2" t="str">
        <f t="shared" si="35"/>
        <v>5DC</v>
      </c>
      <c r="AO145" s="2"/>
      <c r="AP145" s="2" t="str">
        <f t="shared" si="36"/>
        <v>65DC</v>
      </c>
    </row>
    <row r="146" spans="1:42" x14ac:dyDescent="0.2">
      <c r="A146">
        <v>129</v>
      </c>
      <c r="B146">
        <v>12.8</v>
      </c>
      <c r="C146" s="6">
        <v>0</v>
      </c>
      <c r="D146" s="6">
        <v>1</v>
      </c>
      <c r="E146" s="6">
        <v>1</v>
      </c>
      <c r="F146" s="7">
        <v>0</v>
      </c>
      <c r="G146" s="9">
        <v>150</v>
      </c>
      <c r="H146" s="10">
        <f t="shared" si="30"/>
        <v>6</v>
      </c>
      <c r="I146" s="12">
        <f t="shared" ref="I146:I209" si="39">PH_FIRE_VOLTAGE_OFFSET + 1023*(G146/100*G$16*$I$7+$I$6)*$S$10/(PH_FIRE_VOLTAGE_AMPLITUDE*0.01)</f>
        <v>926.4531379897785</v>
      </c>
      <c r="J146" s="11">
        <f t="shared" ref="J146:J209" si="40">I146/(DAC_LIMIT_MAX-DAC_LIMIT_MIN+1)*GAIN_PREAMP*GAIN_POWERAMP+OFFSET_AMP</f>
        <v>30.142181777044289</v>
      </c>
      <c r="K146" s="6">
        <v>0</v>
      </c>
      <c r="L146" s="6">
        <v>1</v>
      </c>
      <c r="M146" s="6">
        <v>1</v>
      </c>
      <c r="N146" s="7">
        <v>0</v>
      </c>
      <c r="O146" s="9">
        <v>0</v>
      </c>
      <c r="P146" s="10">
        <f t="shared" si="31"/>
        <v>6</v>
      </c>
      <c r="Q146" s="12">
        <f t="shared" ref="Q146:Q209" si="41">PH_FIRE_VOLTAGE_OFFSET + 1023*(O146/100*O$16*$I$7+$I$6)*$S$10/(PH_FIRE_VOLTAGE_AMPLITUDE*0.01)</f>
        <v>65</v>
      </c>
      <c r="R146" s="11">
        <f t="shared" ref="R146:R209" si="42">Q146/(DAC_LIMIT_MAX-DAC_LIMIT_MIN+1)*GAIN_PREAMP*GAIN_POWERAMP+OFFSET_AMP</f>
        <v>4.904296875</v>
      </c>
      <c r="S146" s="6">
        <v>0</v>
      </c>
      <c r="T146" s="6">
        <v>1</v>
      </c>
      <c r="U146" s="6">
        <v>1</v>
      </c>
      <c r="V146" s="7">
        <v>0</v>
      </c>
      <c r="W146" s="9">
        <v>0</v>
      </c>
      <c r="X146" s="10">
        <f t="shared" si="32"/>
        <v>6</v>
      </c>
      <c r="Y146" s="12">
        <f t="shared" ref="Y146:Y209" si="43">PH_FIRE_VOLTAGE_OFFSET + 1023*(W146/100*W$16*$I$7+$I$6)*$S$10/(PH_FIRE_VOLTAGE_AMPLITUDE*0.01)</f>
        <v>65</v>
      </c>
      <c r="Z146" s="11">
        <f t="shared" ref="Z146:Z209" si="44">Y146/(DAC_LIMIT_MAX-DAC_LIMIT_MIN+1)*GAIN_PREAMP*GAIN_POWERAMP+OFFSET_AMP</f>
        <v>4.904296875</v>
      </c>
      <c r="AA146" s="6">
        <v>0</v>
      </c>
      <c r="AB146" s="6">
        <v>0</v>
      </c>
      <c r="AC146" s="6">
        <v>0</v>
      </c>
      <c r="AD146" s="7">
        <v>1</v>
      </c>
      <c r="AE146" s="9">
        <v>20</v>
      </c>
      <c r="AF146" s="10">
        <f t="shared" si="33"/>
        <v>8</v>
      </c>
      <c r="AG146" s="12">
        <f t="shared" ref="AG146:AG209" si="45">PH_FIRE_VOLTAGE_OFFSET + 1023*(AE146/100*AE$16*$I$7+$I$6)*$S$10/(PH_FIRE_VOLTAGE_AMPLITUDE*0.01)</f>
        <v>179.86041839863714</v>
      </c>
      <c r="AH146" s="11">
        <f t="shared" ref="AH146:AH209" si="46">AG146/(DAC_LIMIT_MAX-DAC_LIMIT_MIN+1)*GAIN_PREAMP*GAIN_POWERAMP+OFFSET_AMP</f>
        <v>8.2693481952725723</v>
      </c>
      <c r="AJ146" s="6">
        <f t="shared" si="34"/>
        <v>1500</v>
      </c>
      <c r="AK146" s="4">
        <v>129</v>
      </c>
      <c r="AM146" s="2" t="str">
        <f t="shared" ref="AM146:AM209" si="47">BIN2HEX(C146+10*D146+100*E146+1000*F146,1)</f>
        <v>6</v>
      </c>
      <c r="AN146" s="2" t="str">
        <f t="shared" si="35"/>
        <v>5DC</v>
      </c>
      <c r="AO146" s="2"/>
      <c r="AP146" s="2" t="str">
        <f t="shared" si="36"/>
        <v>65DC</v>
      </c>
    </row>
    <row r="147" spans="1:42" x14ac:dyDescent="0.2">
      <c r="A147">
        <v>130</v>
      </c>
      <c r="B147">
        <v>12.9</v>
      </c>
      <c r="C147" s="6">
        <v>0</v>
      </c>
      <c r="D147" s="6">
        <v>1</v>
      </c>
      <c r="E147" s="6">
        <v>1</v>
      </c>
      <c r="F147" s="7">
        <v>0</v>
      </c>
      <c r="G147" s="9">
        <v>150</v>
      </c>
      <c r="H147" s="10">
        <f t="shared" ref="H147:H210" si="48">BIN2DEC(C147+10*D147+100*E147+1000*F147)</f>
        <v>6</v>
      </c>
      <c r="I147" s="12">
        <f t="shared" si="39"/>
        <v>926.4531379897785</v>
      </c>
      <c r="J147" s="11">
        <f t="shared" si="40"/>
        <v>30.142181777044289</v>
      </c>
      <c r="K147" s="6">
        <v>0</v>
      </c>
      <c r="L147" s="6">
        <v>1</v>
      </c>
      <c r="M147" s="6">
        <v>1</v>
      </c>
      <c r="N147" s="7">
        <v>0</v>
      </c>
      <c r="O147" s="9">
        <v>0</v>
      </c>
      <c r="P147" s="10">
        <f t="shared" ref="P147:P210" si="49">BIN2DEC(K147+10*L147+100*M147+1000*N147)</f>
        <v>6</v>
      </c>
      <c r="Q147" s="12">
        <f t="shared" si="41"/>
        <v>65</v>
      </c>
      <c r="R147" s="11">
        <f t="shared" si="42"/>
        <v>4.904296875</v>
      </c>
      <c r="S147" s="6">
        <v>0</v>
      </c>
      <c r="T147" s="6">
        <v>1</v>
      </c>
      <c r="U147" s="6">
        <v>1</v>
      </c>
      <c r="V147" s="7">
        <v>0</v>
      </c>
      <c r="W147" s="9">
        <v>0</v>
      </c>
      <c r="X147" s="10">
        <f t="shared" ref="X147:X210" si="50">BIN2DEC(S147+10*T147+100*U147+1000*V147)</f>
        <v>6</v>
      </c>
      <c r="Y147" s="12">
        <f t="shared" si="43"/>
        <v>65</v>
      </c>
      <c r="Z147" s="11">
        <f t="shared" si="44"/>
        <v>4.904296875</v>
      </c>
      <c r="AA147" s="6">
        <v>0</v>
      </c>
      <c r="AB147" s="6">
        <v>0</v>
      </c>
      <c r="AC147" s="6">
        <v>0</v>
      </c>
      <c r="AD147" s="7">
        <v>1</v>
      </c>
      <c r="AE147" s="9">
        <v>20</v>
      </c>
      <c r="AF147" s="10">
        <f t="shared" ref="AF147:AF210" si="51">BIN2DEC(AA147+10*AB147+100*AC147+1000*AD147)</f>
        <v>8</v>
      </c>
      <c r="AG147" s="12">
        <f t="shared" si="45"/>
        <v>179.86041839863714</v>
      </c>
      <c r="AH147" s="11">
        <f t="shared" si="46"/>
        <v>8.2693481952725723</v>
      </c>
      <c r="AJ147" s="6">
        <f t="shared" ref="AJ147:AJ210" si="52">ROUNDDOWN(($G147*$G$16+$I$6*100)*10,0)</f>
        <v>1500</v>
      </c>
      <c r="AK147" s="4">
        <v>130</v>
      </c>
      <c r="AM147" s="2" t="str">
        <f t="shared" si="47"/>
        <v>6</v>
      </c>
      <c r="AN147" s="2" t="str">
        <f t="shared" ref="AN147:AN210" si="53">DEC2HEX(AJ147,3)</f>
        <v>5DC</v>
      </c>
      <c r="AO147" s="2"/>
      <c r="AP147" s="2" t="str">
        <f t="shared" ref="AP147:AP210" si="54">CONCATENATE(AM147,AN147)</f>
        <v>65DC</v>
      </c>
    </row>
    <row r="148" spans="1:42" x14ac:dyDescent="0.2">
      <c r="A148">
        <v>131</v>
      </c>
      <c r="B148">
        <v>13</v>
      </c>
      <c r="C148" s="6">
        <v>0</v>
      </c>
      <c r="D148" s="6">
        <v>1</v>
      </c>
      <c r="E148" s="6">
        <v>1</v>
      </c>
      <c r="F148" s="7">
        <v>0</v>
      </c>
      <c r="G148" s="9">
        <v>150</v>
      </c>
      <c r="H148" s="10">
        <f t="shared" si="48"/>
        <v>6</v>
      </c>
      <c r="I148" s="12">
        <f t="shared" si="39"/>
        <v>926.4531379897785</v>
      </c>
      <c r="J148" s="11">
        <f t="shared" si="40"/>
        <v>30.142181777044289</v>
      </c>
      <c r="K148" s="6">
        <v>0</v>
      </c>
      <c r="L148" s="6">
        <v>1</v>
      </c>
      <c r="M148" s="6">
        <v>1</v>
      </c>
      <c r="N148" s="7">
        <v>0</v>
      </c>
      <c r="O148" s="9">
        <v>0</v>
      </c>
      <c r="P148" s="10">
        <f t="shared" si="49"/>
        <v>6</v>
      </c>
      <c r="Q148" s="12">
        <f t="shared" si="41"/>
        <v>65</v>
      </c>
      <c r="R148" s="11">
        <f t="shared" si="42"/>
        <v>4.904296875</v>
      </c>
      <c r="S148" s="6">
        <v>0</v>
      </c>
      <c r="T148" s="6">
        <v>1</v>
      </c>
      <c r="U148" s="6">
        <v>1</v>
      </c>
      <c r="V148" s="7">
        <v>0</v>
      </c>
      <c r="W148" s="9">
        <v>0</v>
      </c>
      <c r="X148" s="10">
        <f t="shared" si="50"/>
        <v>6</v>
      </c>
      <c r="Y148" s="12">
        <f t="shared" si="43"/>
        <v>65</v>
      </c>
      <c r="Z148" s="11">
        <f t="shared" si="44"/>
        <v>4.904296875</v>
      </c>
      <c r="AA148" s="6">
        <v>0</v>
      </c>
      <c r="AB148" s="6">
        <v>0</v>
      </c>
      <c r="AC148" s="6">
        <v>0</v>
      </c>
      <c r="AD148" s="7">
        <v>1</v>
      </c>
      <c r="AE148" s="9">
        <v>20</v>
      </c>
      <c r="AF148" s="10">
        <f t="shared" si="51"/>
        <v>8</v>
      </c>
      <c r="AG148" s="12">
        <f t="shared" si="45"/>
        <v>179.86041839863714</v>
      </c>
      <c r="AH148" s="11">
        <f t="shared" si="46"/>
        <v>8.2693481952725723</v>
      </c>
      <c r="AJ148" s="6">
        <f t="shared" si="52"/>
        <v>1500</v>
      </c>
      <c r="AK148" s="4">
        <v>131</v>
      </c>
      <c r="AM148" s="2" t="str">
        <f t="shared" si="47"/>
        <v>6</v>
      </c>
      <c r="AN148" s="2" t="str">
        <f t="shared" si="53"/>
        <v>5DC</v>
      </c>
      <c r="AO148" s="2"/>
      <c r="AP148" s="2" t="str">
        <f t="shared" si="54"/>
        <v>65DC</v>
      </c>
    </row>
    <row r="149" spans="1:42" x14ac:dyDescent="0.2">
      <c r="A149">
        <v>132</v>
      </c>
      <c r="B149">
        <v>13.1</v>
      </c>
      <c r="C149" s="6">
        <v>0</v>
      </c>
      <c r="D149" s="6">
        <v>1</v>
      </c>
      <c r="E149" s="6">
        <v>1</v>
      </c>
      <c r="F149" s="7">
        <v>0</v>
      </c>
      <c r="G149" s="9">
        <v>150</v>
      </c>
      <c r="H149" s="10">
        <f t="shared" si="48"/>
        <v>6</v>
      </c>
      <c r="I149" s="12">
        <f t="shared" si="39"/>
        <v>926.4531379897785</v>
      </c>
      <c r="J149" s="11">
        <f t="shared" si="40"/>
        <v>30.142181777044289</v>
      </c>
      <c r="K149" s="6">
        <v>0</v>
      </c>
      <c r="L149" s="6">
        <v>1</v>
      </c>
      <c r="M149" s="6">
        <v>1</v>
      </c>
      <c r="N149" s="7">
        <v>0</v>
      </c>
      <c r="O149" s="9">
        <v>0</v>
      </c>
      <c r="P149" s="10">
        <f t="shared" si="49"/>
        <v>6</v>
      </c>
      <c r="Q149" s="12">
        <f t="shared" si="41"/>
        <v>65</v>
      </c>
      <c r="R149" s="11">
        <f t="shared" si="42"/>
        <v>4.904296875</v>
      </c>
      <c r="S149" s="6">
        <v>0</v>
      </c>
      <c r="T149" s="6">
        <v>1</v>
      </c>
      <c r="U149" s="6">
        <v>1</v>
      </c>
      <c r="V149" s="7">
        <v>0</v>
      </c>
      <c r="W149" s="9">
        <v>0</v>
      </c>
      <c r="X149" s="10">
        <f t="shared" si="50"/>
        <v>6</v>
      </c>
      <c r="Y149" s="12">
        <f t="shared" si="43"/>
        <v>65</v>
      </c>
      <c r="Z149" s="11">
        <f t="shared" si="44"/>
        <v>4.904296875</v>
      </c>
      <c r="AA149" s="6">
        <v>0</v>
      </c>
      <c r="AB149" s="6">
        <v>0</v>
      </c>
      <c r="AC149" s="6">
        <v>0</v>
      </c>
      <c r="AD149" s="7">
        <v>1</v>
      </c>
      <c r="AE149" s="9">
        <v>20</v>
      </c>
      <c r="AF149" s="10">
        <f t="shared" si="51"/>
        <v>8</v>
      </c>
      <c r="AG149" s="12">
        <f t="shared" si="45"/>
        <v>179.86041839863714</v>
      </c>
      <c r="AH149" s="11">
        <f t="shared" si="46"/>
        <v>8.2693481952725723</v>
      </c>
      <c r="AJ149" s="6">
        <f t="shared" si="52"/>
        <v>1500</v>
      </c>
      <c r="AK149" s="4">
        <v>132</v>
      </c>
      <c r="AM149" s="2" t="str">
        <f t="shared" si="47"/>
        <v>6</v>
      </c>
      <c r="AN149" s="2" t="str">
        <f t="shared" si="53"/>
        <v>5DC</v>
      </c>
      <c r="AO149" s="2"/>
      <c r="AP149" s="2" t="str">
        <f t="shared" si="54"/>
        <v>65DC</v>
      </c>
    </row>
    <row r="150" spans="1:42" x14ac:dyDescent="0.2">
      <c r="A150">
        <v>133</v>
      </c>
      <c r="B150">
        <v>13.2</v>
      </c>
      <c r="C150" s="6">
        <v>0</v>
      </c>
      <c r="D150" s="6">
        <v>1</v>
      </c>
      <c r="E150" s="6">
        <v>1</v>
      </c>
      <c r="F150" s="7">
        <v>0</v>
      </c>
      <c r="G150" s="9">
        <v>150</v>
      </c>
      <c r="H150" s="10">
        <f t="shared" si="48"/>
        <v>6</v>
      </c>
      <c r="I150" s="12">
        <f t="shared" si="39"/>
        <v>926.4531379897785</v>
      </c>
      <c r="J150" s="11">
        <f t="shared" si="40"/>
        <v>30.142181777044289</v>
      </c>
      <c r="K150" s="6">
        <v>0</v>
      </c>
      <c r="L150" s="6">
        <v>1</v>
      </c>
      <c r="M150" s="6">
        <v>1</v>
      </c>
      <c r="N150" s="7">
        <v>0</v>
      </c>
      <c r="O150" s="9">
        <v>0</v>
      </c>
      <c r="P150" s="10">
        <f t="shared" si="49"/>
        <v>6</v>
      </c>
      <c r="Q150" s="12">
        <f t="shared" si="41"/>
        <v>65</v>
      </c>
      <c r="R150" s="11">
        <f t="shared" si="42"/>
        <v>4.904296875</v>
      </c>
      <c r="S150" s="6">
        <v>0</v>
      </c>
      <c r="T150" s="6">
        <v>1</v>
      </c>
      <c r="U150" s="6">
        <v>1</v>
      </c>
      <c r="V150" s="7">
        <v>0</v>
      </c>
      <c r="W150" s="9">
        <v>0</v>
      </c>
      <c r="X150" s="10">
        <f t="shared" si="50"/>
        <v>6</v>
      </c>
      <c r="Y150" s="12">
        <f t="shared" si="43"/>
        <v>65</v>
      </c>
      <c r="Z150" s="11">
        <f t="shared" si="44"/>
        <v>4.904296875</v>
      </c>
      <c r="AA150" s="6">
        <v>0</v>
      </c>
      <c r="AB150" s="6">
        <v>0</v>
      </c>
      <c r="AC150" s="6">
        <v>0</v>
      </c>
      <c r="AD150" s="7">
        <v>1</v>
      </c>
      <c r="AE150" s="9">
        <v>20</v>
      </c>
      <c r="AF150" s="10">
        <f t="shared" si="51"/>
        <v>8</v>
      </c>
      <c r="AG150" s="12">
        <f t="shared" si="45"/>
        <v>179.86041839863714</v>
      </c>
      <c r="AH150" s="11">
        <f t="shared" si="46"/>
        <v>8.2693481952725723</v>
      </c>
      <c r="AJ150" s="6">
        <f t="shared" si="52"/>
        <v>1500</v>
      </c>
      <c r="AK150" s="4">
        <v>133</v>
      </c>
      <c r="AM150" s="2" t="str">
        <f t="shared" si="47"/>
        <v>6</v>
      </c>
      <c r="AN150" s="2" t="str">
        <f t="shared" si="53"/>
        <v>5DC</v>
      </c>
      <c r="AO150" s="2"/>
      <c r="AP150" s="2" t="str">
        <f t="shared" si="54"/>
        <v>65DC</v>
      </c>
    </row>
    <row r="151" spans="1:42" x14ac:dyDescent="0.2">
      <c r="A151">
        <v>134</v>
      </c>
      <c r="B151">
        <v>13.3</v>
      </c>
      <c r="C151" s="6">
        <v>0</v>
      </c>
      <c r="D151" s="6">
        <v>1</v>
      </c>
      <c r="E151" s="6">
        <v>1</v>
      </c>
      <c r="F151" s="7">
        <v>0</v>
      </c>
      <c r="G151" s="9">
        <v>150</v>
      </c>
      <c r="H151" s="10">
        <f t="shared" si="48"/>
        <v>6</v>
      </c>
      <c r="I151" s="12">
        <f t="shared" si="39"/>
        <v>926.4531379897785</v>
      </c>
      <c r="J151" s="11">
        <f t="shared" si="40"/>
        <v>30.142181777044289</v>
      </c>
      <c r="K151" s="6">
        <v>0</v>
      </c>
      <c r="L151" s="6">
        <v>1</v>
      </c>
      <c r="M151" s="6">
        <v>1</v>
      </c>
      <c r="N151" s="7">
        <v>0</v>
      </c>
      <c r="O151" s="9">
        <v>0</v>
      </c>
      <c r="P151" s="10">
        <f t="shared" si="49"/>
        <v>6</v>
      </c>
      <c r="Q151" s="12">
        <f t="shared" si="41"/>
        <v>65</v>
      </c>
      <c r="R151" s="11">
        <f t="shared" si="42"/>
        <v>4.904296875</v>
      </c>
      <c r="S151" s="6">
        <v>0</v>
      </c>
      <c r="T151" s="6">
        <v>1</v>
      </c>
      <c r="U151" s="6">
        <v>1</v>
      </c>
      <c r="V151" s="7">
        <v>0</v>
      </c>
      <c r="W151" s="9">
        <v>0</v>
      </c>
      <c r="X151" s="10">
        <f t="shared" si="50"/>
        <v>6</v>
      </c>
      <c r="Y151" s="12">
        <f t="shared" si="43"/>
        <v>65</v>
      </c>
      <c r="Z151" s="11">
        <f t="shared" si="44"/>
        <v>4.904296875</v>
      </c>
      <c r="AA151" s="6">
        <v>0</v>
      </c>
      <c r="AB151" s="6">
        <v>0</v>
      </c>
      <c r="AC151" s="6">
        <v>0</v>
      </c>
      <c r="AD151" s="7">
        <v>1</v>
      </c>
      <c r="AE151" s="9">
        <v>20</v>
      </c>
      <c r="AF151" s="10">
        <f t="shared" si="51"/>
        <v>8</v>
      </c>
      <c r="AG151" s="12">
        <f t="shared" si="45"/>
        <v>179.86041839863714</v>
      </c>
      <c r="AH151" s="11">
        <f t="shared" si="46"/>
        <v>8.2693481952725723</v>
      </c>
      <c r="AJ151" s="6">
        <f t="shared" si="52"/>
        <v>1500</v>
      </c>
      <c r="AK151" s="4">
        <v>134</v>
      </c>
      <c r="AM151" s="2" t="str">
        <f t="shared" si="47"/>
        <v>6</v>
      </c>
      <c r="AN151" s="2" t="str">
        <f t="shared" si="53"/>
        <v>5DC</v>
      </c>
      <c r="AO151" s="2"/>
      <c r="AP151" s="2" t="str">
        <f t="shared" si="54"/>
        <v>65DC</v>
      </c>
    </row>
    <row r="152" spans="1:42" x14ac:dyDescent="0.2">
      <c r="A152">
        <v>135</v>
      </c>
      <c r="B152">
        <v>13.4</v>
      </c>
      <c r="C152" s="6">
        <v>0</v>
      </c>
      <c r="D152" s="6">
        <v>1</v>
      </c>
      <c r="E152" s="6">
        <v>1</v>
      </c>
      <c r="F152" s="7">
        <v>0</v>
      </c>
      <c r="G152" s="9">
        <v>150</v>
      </c>
      <c r="H152" s="10">
        <f t="shared" si="48"/>
        <v>6</v>
      </c>
      <c r="I152" s="12">
        <f t="shared" si="39"/>
        <v>926.4531379897785</v>
      </c>
      <c r="J152" s="11">
        <f t="shared" si="40"/>
        <v>30.142181777044289</v>
      </c>
      <c r="K152" s="6">
        <v>0</v>
      </c>
      <c r="L152" s="6">
        <v>1</v>
      </c>
      <c r="M152" s="6">
        <v>1</v>
      </c>
      <c r="N152" s="7">
        <v>0</v>
      </c>
      <c r="O152" s="9">
        <v>0</v>
      </c>
      <c r="P152" s="10">
        <f t="shared" si="49"/>
        <v>6</v>
      </c>
      <c r="Q152" s="12">
        <f t="shared" si="41"/>
        <v>65</v>
      </c>
      <c r="R152" s="11">
        <f t="shared" si="42"/>
        <v>4.904296875</v>
      </c>
      <c r="S152" s="6">
        <v>0</v>
      </c>
      <c r="T152" s="6">
        <v>1</v>
      </c>
      <c r="U152" s="6">
        <v>1</v>
      </c>
      <c r="V152" s="7">
        <v>0</v>
      </c>
      <c r="W152" s="9">
        <v>0</v>
      </c>
      <c r="X152" s="10">
        <f t="shared" si="50"/>
        <v>6</v>
      </c>
      <c r="Y152" s="12">
        <f t="shared" si="43"/>
        <v>65</v>
      </c>
      <c r="Z152" s="11">
        <f t="shared" si="44"/>
        <v>4.904296875</v>
      </c>
      <c r="AA152" s="6">
        <v>0</v>
      </c>
      <c r="AB152" s="6">
        <v>0</v>
      </c>
      <c r="AC152" s="6">
        <v>0</v>
      </c>
      <c r="AD152" s="7">
        <v>1</v>
      </c>
      <c r="AE152" s="9">
        <v>20</v>
      </c>
      <c r="AF152" s="10">
        <f t="shared" si="51"/>
        <v>8</v>
      </c>
      <c r="AG152" s="12">
        <f t="shared" si="45"/>
        <v>179.86041839863714</v>
      </c>
      <c r="AH152" s="11">
        <f t="shared" si="46"/>
        <v>8.2693481952725723</v>
      </c>
      <c r="AJ152" s="6">
        <f t="shared" si="52"/>
        <v>1500</v>
      </c>
      <c r="AK152" s="4">
        <v>135</v>
      </c>
      <c r="AM152" s="2" t="str">
        <f t="shared" si="47"/>
        <v>6</v>
      </c>
      <c r="AN152" s="2" t="str">
        <f t="shared" si="53"/>
        <v>5DC</v>
      </c>
      <c r="AO152" s="2"/>
      <c r="AP152" s="2" t="str">
        <f t="shared" si="54"/>
        <v>65DC</v>
      </c>
    </row>
    <row r="153" spans="1:42" x14ac:dyDescent="0.2">
      <c r="A153">
        <v>136</v>
      </c>
      <c r="B153">
        <v>13.5</v>
      </c>
      <c r="C153" s="6">
        <v>0</v>
      </c>
      <c r="D153" s="6">
        <v>1</v>
      </c>
      <c r="E153" s="6">
        <v>1</v>
      </c>
      <c r="F153" s="7">
        <v>0</v>
      </c>
      <c r="G153" s="9">
        <v>150</v>
      </c>
      <c r="H153" s="10">
        <f t="shared" si="48"/>
        <v>6</v>
      </c>
      <c r="I153" s="12">
        <f t="shared" si="39"/>
        <v>926.4531379897785</v>
      </c>
      <c r="J153" s="11">
        <f t="shared" si="40"/>
        <v>30.142181777044289</v>
      </c>
      <c r="K153" s="6">
        <v>0</v>
      </c>
      <c r="L153" s="6">
        <v>1</v>
      </c>
      <c r="M153" s="6">
        <v>1</v>
      </c>
      <c r="N153" s="7">
        <v>0</v>
      </c>
      <c r="O153" s="9">
        <v>0</v>
      </c>
      <c r="P153" s="10">
        <f t="shared" si="49"/>
        <v>6</v>
      </c>
      <c r="Q153" s="12">
        <f t="shared" si="41"/>
        <v>65</v>
      </c>
      <c r="R153" s="11">
        <f t="shared" si="42"/>
        <v>4.904296875</v>
      </c>
      <c r="S153" s="6">
        <v>0</v>
      </c>
      <c r="T153" s="6">
        <v>1</v>
      </c>
      <c r="U153" s="6">
        <v>1</v>
      </c>
      <c r="V153" s="7">
        <v>0</v>
      </c>
      <c r="W153" s="9">
        <v>0</v>
      </c>
      <c r="X153" s="10">
        <f t="shared" si="50"/>
        <v>6</v>
      </c>
      <c r="Y153" s="12">
        <f t="shared" si="43"/>
        <v>65</v>
      </c>
      <c r="Z153" s="11">
        <f t="shared" si="44"/>
        <v>4.904296875</v>
      </c>
      <c r="AA153" s="6">
        <v>0</v>
      </c>
      <c r="AB153" s="6">
        <v>0</v>
      </c>
      <c r="AC153" s="6">
        <v>0</v>
      </c>
      <c r="AD153" s="7">
        <v>1</v>
      </c>
      <c r="AE153" s="9">
        <v>20</v>
      </c>
      <c r="AF153" s="10">
        <f t="shared" si="51"/>
        <v>8</v>
      </c>
      <c r="AG153" s="12">
        <f t="shared" si="45"/>
        <v>179.86041839863714</v>
      </c>
      <c r="AH153" s="11">
        <f t="shared" si="46"/>
        <v>8.2693481952725723</v>
      </c>
      <c r="AJ153" s="6">
        <f t="shared" si="52"/>
        <v>1500</v>
      </c>
      <c r="AK153" s="4">
        <v>136</v>
      </c>
      <c r="AM153" s="2" t="str">
        <f t="shared" si="47"/>
        <v>6</v>
      </c>
      <c r="AN153" s="2" t="str">
        <f t="shared" si="53"/>
        <v>5DC</v>
      </c>
      <c r="AO153" s="2"/>
      <c r="AP153" s="2" t="str">
        <f t="shared" si="54"/>
        <v>65DC</v>
      </c>
    </row>
    <row r="154" spans="1:42" x14ac:dyDescent="0.2">
      <c r="A154">
        <v>137</v>
      </c>
      <c r="B154">
        <v>13.6</v>
      </c>
      <c r="C154" s="6">
        <v>0</v>
      </c>
      <c r="D154" s="6">
        <v>1</v>
      </c>
      <c r="E154" s="6">
        <v>1</v>
      </c>
      <c r="F154" s="7">
        <v>0</v>
      </c>
      <c r="G154" s="9">
        <v>150</v>
      </c>
      <c r="H154" s="10">
        <f t="shared" si="48"/>
        <v>6</v>
      </c>
      <c r="I154" s="12">
        <f t="shared" si="39"/>
        <v>926.4531379897785</v>
      </c>
      <c r="J154" s="11">
        <f t="shared" si="40"/>
        <v>30.142181777044289</v>
      </c>
      <c r="K154" s="6">
        <v>0</v>
      </c>
      <c r="L154" s="6">
        <v>1</v>
      </c>
      <c r="M154" s="6">
        <v>1</v>
      </c>
      <c r="N154" s="7">
        <v>0</v>
      </c>
      <c r="O154" s="9">
        <v>0</v>
      </c>
      <c r="P154" s="10">
        <f t="shared" si="49"/>
        <v>6</v>
      </c>
      <c r="Q154" s="12">
        <f t="shared" si="41"/>
        <v>65</v>
      </c>
      <c r="R154" s="11">
        <f t="shared" si="42"/>
        <v>4.904296875</v>
      </c>
      <c r="S154" s="6">
        <v>0</v>
      </c>
      <c r="T154" s="6">
        <v>1</v>
      </c>
      <c r="U154" s="6">
        <v>1</v>
      </c>
      <c r="V154" s="7">
        <v>0</v>
      </c>
      <c r="W154" s="9">
        <v>0</v>
      </c>
      <c r="X154" s="10">
        <f t="shared" si="50"/>
        <v>6</v>
      </c>
      <c r="Y154" s="12">
        <f t="shared" si="43"/>
        <v>65</v>
      </c>
      <c r="Z154" s="11">
        <f t="shared" si="44"/>
        <v>4.904296875</v>
      </c>
      <c r="AA154" s="6">
        <v>0</v>
      </c>
      <c r="AB154" s="6">
        <v>0</v>
      </c>
      <c r="AC154" s="6">
        <v>0</v>
      </c>
      <c r="AD154" s="7">
        <v>1</v>
      </c>
      <c r="AE154" s="9">
        <v>20</v>
      </c>
      <c r="AF154" s="10">
        <f t="shared" si="51"/>
        <v>8</v>
      </c>
      <c r="AG154" s="12">
        <f t="shared" si="45"/>
        <v>179.86041839863714</v>
      </c>
      <c r="AH154" s="11">
        <f t="shared" si="46"/>
        <v>8.2693481952725723</v>
      </c>
      <c r="AJ154" s="6">
        <f t="shared" si="52"/>
        <v>1500</v>
      </c>
      <c r="AK154" s="4">
        <v>137</v>
      </c>
      <c r="AM154" s="2" t="str">
        <f t="shared" si="47"/>
        <v>6</v>
      </c>
      <c r="AN154" s="2" t="str">
        <f t="shared" si="53"/>
        <v>5DC</v>
      </c>
      <c r="AO154" s="2"/>
      <c r="AP154" s="2" t="str">
        <f t="shared" si="54"/>
        <v>65DC</v>
      </c>
    </row>
    <row r="155" spans="1:42" x14ac:dyDescent="0.2">
      <c r="A155">
        <v>138</v>
      </c>
      <c r="B155">
        <v>13.7</v>
      </c>
      <c r="C155" s="6">
        <v>0</v>
      </c>
      <c r="D155" s="6">
        <v>1</v>
      </c>
      <c r="E155" s="6">
        <v>1</v>
      </c>
      <c r="F155" s="7">
        <v>0</v>
      </c>
      <c r="G155" s="9">
        <v>150</v>
      </c>
      <c r="H155" s="10">
        <f t="shared" si="48"/>
        <v>6</v>
      </c>
      <c r="I155" s="12">
        <f t="shared" si="39"/>
        <v>926.4531379897785</v>
      </c>
      <c r="J155" s="11">
        <f t="shared" si="40"/>
        <v>30.142181777044289</v>
      </c>
      <c r="K155" s="6">
        <v>0</v>
      </c>
      <c r="L155" s="6">
        <v>1</v>
      </c>
      <c r="M155" s="6">
        <v>1</v>
      </c>
      <c r="N155" s="7">
        <v>0</v>
      </c>
      <c r="O155" s="9">
        <v>0</v>
      </c>
      <c r="P155" s="10">
        <f t="shared" si="49"/>
        <v>6</v>
      </c>
      <c r="Q155" s="12">
        <f t="shared" si="41"/>
        <v>65</v>
      </c>
      <c r="R155" s="11">
        <f t="shared" si="42"/>
        <v>4.904296875</v>
      </c>
      <c r="S155" s="6">
        <v>0</v>
      </c>
      <c r="T155" s="6">
        <v>1</v>
      </c>
      <c r="U155" s="6">
        <v>1</v>
      </c>
      <c r="V155" s="7">
        <v>0</v>
      </c>
      <c r="W155" s="9">
        <v>0</v>
      </c>
      <c r="X155" s="10">
        <f t="shared" si="50"/>
        <v>6</v>
      </c>
      <c r="Y155" s="12">
        <f t="shared" si="43"/>
        <v>65</v>
      </c>
      <c r="Z155" s="11">
        <f t="shared" si="44"/>
        <v>4.904296875</v>
      </c>
      <c r="AA155" s="6">
        <v>0</v>
      </c>
      <c r="AB155" s="6">
        <v>0</v>
      </c>
      <c r="AC155" s="6">
        <v>0</v>
      </c>
      <c r="AD155" s="7">
        <v>1</v>
      </c>
      <c r="AE155" s="9">
        <v>20</v>
      </c>
      <c r="AF155" s="10">
        <f t="shared" si="51"/>
        <v>8</v>
      </c>
      <c r="AG155" s="12">
        <f t="shared" si="45"/>
        <v>179.86041839863714</v>
      </c>
      <c r="AH155" s="11">
        <f t="shared" si="46"/>
        <v>8.2693481952725723</v>
      </c>
      <c r="AJ155" s="6">
        <f t="shared" si="52"/>
        <v>1500</v>
      </c>
      <c r="AK155" s="4">
        <v>138</v>
      </c>
      <c r="AM155" s="2" t="str">
        <f t="shared" si="47"/>
        <v>6</v>
      </c>
      <c r="AN155" s="2" t="str">
        <f t="shared" si="53"/>
        <v>5DC</v>
      </c>
      <c r="AO155" s="2"/>
      <c r="AP155" s="2" t="str">
        <f t="shared" si="54"/>
        <v>65DC</v>
      </c>
    </row>
    <row r="156" spans="1:42" x14ac:dyDescent="0.2">
      <c r="A156">
        <v>139</v>
      </c>
      <c r="B156">
        <v>13.8</v>
      </c>
      <c r="C156" s="6">
        <v>0</v>
      </c>
      <c r="D156" s="6">
        <v>1</v>
      </c>
      <c r="E156" s="6">
        <v>1</v>
      </c>
      <c r="F156" s="7">
        <v>0</v>
      </c>
      <c r="G156" s="9">
        <v>150</v>
      </c>
      <c r="H156" s="10">
        <f t="shared" si="48"/>
        <v>6</v>
      </c>
      <c r="I156" s="12">
        <f t="shared" si="39"/>
        <v>926.4531379897785</v>
      </c>
      <c r="J156" s="11">
        <f t="shared" si="40"/>
        <v>30.142181777044289</v>
      </c>
      <c r="K156" s="6">
        <v>0</v>
      </c>
      <c r="L156" s="6">
        <v>1</v>
      </c>
      <c r="M156" s="6">
        <v>1</v>
      </c>
      <c r="N156" s="7">
        <v>0</v>
      </c>
      <c r="O156" s="9">
        <v>0</v>
      </c>
      <c r="P156" s="10">
        <f t="shared" si="49"/>
        <v>6</v>
      </c>
      <c r="Q156" s="12">
        <f t="shared" si="41"/>
        <v>65</v>
      </c>
      <c r="R156" s="11">
        <f t="shared" si="42"/>
        <v>4.904296875</v>
      </c>
      <c r="S156" s="6">
        <v>0</v>
      </c>
      <c r="T156" s="6">
        <v>1</v>
      </c>
      <c r="U156" s="6">
        <v>1</v>
      </c>
      <c r="V156" s="7">
        <v>0</v>
      </c>
      <c r="W156" s="9">
        <v>0</v>
      </c>
      <c r="X156" s="10">
        <f t="shared" si="50"/>
        <v>6</v>
      </c>
      <c r="Y156" s="12">
        <f t="shared" si="43"/>
        <v>65</v>
      </c>
      <c r="Z156" s="11">
        <f t="shared" si="44"/>
        <v>4.904296875</v>
      </c>
      <c r="AA156" s="6">
        <v>0</v>
      </c>
      <c r="AB156" s="6">
        <v>0</v>
      </c>
      <c r="AC156" s="6">
        <v>0</v>
      </c>
      <c r="AD156" s="7">
        <v>1</v>
      </c>
      <c r="AE156" s="9">
        <v>20</v>
      </c>
      <c r="AF156" s="10">
        <f t="shared" si="51"/>
        <v>8</v>
      </c>
      <c r="AG156" s="12">
        <f t="shared" si="45"/>
        <v>179.86041839863714</v>
      </c>
      <c r="AH156" s="11">
        <f t="shared" si="46"/>
        <v>8.2693481952725723</v>
      </c>
      <c r="AJ156" s="6">
        <f t="shared" si="52"/>
        <v>1500</v>
      </c>
      <c r="AK156" s="4">
        <v>139</v>
      </c>
      <c r="AM156" s="2" t="str">
        <f t="shared" si="47"/>
        <v>6</v>
      </c>
      <c r="AN156" s="2" t="str">
        <f t="shared" si="53"/>
        <v>5DC</v>
      </c>
      <c r="AO156" s="2"/>
      <c r="AP156" s="2" t="str">
        <f t="shared" si="54"/>
        <v>65DC</v>
      </c>
    </row>
    <row r="157" spans="1:42" x14ac:dyDescent="0.2">
      <c r="A157">
        <v>140</v>
      </c>
      <c r="B157">
        <v>13.9</v>
      </c>
      <c r="C157" s="6">
        <v>0</v>
      </c>
      <c r="D157" s="6">
        <v>1</v>
      </c>
      <c r="E157" s="6">
        <v>1</v>
      </c>
      <c r="F157" s="7">
        <v>0</v>
      </c>
      <c r="G157" s="9">
        <v>150</v>
      </c>
      <c r="H157" s="10">
        <f t="shared" si="48"/>
        <v>6</v>
      </c>
      <c r="I157" s="12">
        <f t="shared" si="39"/>
        <v>926.4531379897785</v>
      </c>
      <c r="J157" s="11">
        <f t="shared" si="40"/>
        <v>30.142181777044289</v>
      </c>
      <c r="K157" s="6">
        <v>0</v>
      </c>
      <c r="L157" s="6">
        <v>1</v>
      </c>
      <c r="M157" s="6">
        <v>1</v>
      </c>
      <c r="N157" s="7">
        <v>0</v>
      </c>
      <c r="O157" s="9">
        <v>0</v>
      </c>
      <c r="P157" s="10">
        <f t="shared" si="49"/>
        <v>6</v>
      </c>
      <c r="Q157" s="12">
        <f t="shared" si="41"/>
        <v>65</v>
      </c>
      <c r="R157" s="11">
        <f t="shared" si="42"/>
        <v>4.904296875</v>
      </c>
      <c r="S157" s="6">
        <v>0</v>
      </c>
      <c r="T157" s="6">
        <v>1</v>
      </c>
      <c r="U157" s="6">
        <v>1</v>
      </c>
      <c r="V157" s="7">
        <v>0</v>
      </c>
      <c r="W157" s="9">
        <f>W156+4</f>
        <v>4</v>
      </c>
      <c r="X157" s="10">
        <f t="shared" si="50"/>
        <v>6</v>
      </c>
      <c r="Y157" s="12">
        <f t="shared" si="43"/>
        <v>87.972083679727433</v>
      </c>
      <c r="Z157" s="11">
        <f t="shared" si="44"/>
        <v>5.5773071390545148</v>
      </c>
      <c r="AA157" s="6">
        <v>0</v>
      </c>
      <c r="AB157" s="6">
        <v>0</v>
      </c>
      <c r="AC157" s="6">
        <v>0</v>
      </c>
      <c r="AD157" s="7">
        <v>1</v>
      </c>
      <c r="AE157" s="9">
        <f>AE156+3</f>
        <v>23</v>
      </c>
      <c r="AF157" s="10">
        <f t="shared" si="51"/>
        <v>8</v>
      </c>
      <c r="AG157" s="12">
        <f t="shared" si="45"/>
        <v>197.08948115843273</v>
      </c>
      <c r="AH157" s="11">
        <f t="shared" si="46"/>
        <v>8.7741058933134592</v>
      </c>
      <c r="AJ157" s="6">
        <f t="shared" si="52"/>
        <v>1500</v>
      </c>
      <c r="AK157" s="4">
        <v>140</v>
      </c>
      <c r="AM157" s="2" t="str">
        <f t="shared" si="47"/>
        <v>6</v>
      </c>
      <c r="AN157" s="2" t="str">
        <f t="shared" si="53"/>
        <v>5DC</v>
      </c>
      <c r="AO157" s="2"/>
      <c r="AP157" s="2" t="str">
        <f t="shared" si="54"/>
        <v>65DC</v>
      </c>
    </row>
    <row r="158" spans="1:42" x14ac:dyDescent="0.2">
      <c r="A158">
        <v>141</v>
      </c>
      <c r="B158">
        <v>14</v>
      </c>
      <c r="C158" s="6">
        <v>0</v>
      </c>
      <c r="D158" s="6">
        <v>1</v>
      </c>
      <c r="E158" s="6">
        <v>1</v>
      </c>
      <c r="F158" s="7">
        <v>0</v>
      </c>
      <c r="G158" s="9">
        <v>150</v>
      </c>
      <c r="H158" s="10">
        <f t="shared" si="48"/>
        <v>6</v>
      </c>
      <c r="I158" s="12">
        <f t="shared" si="39"/>
        <v>926.4531379897785</v>
      </c>
      <c r="J158" s="11">
        <f t="shared" si="40"/>
        <v>30.142181777044289</v>
      </c>
      <c r="K158" s="6">
        <v>0</v>
      </c>
      <c r="L158" s="6">
        <v>1</v>
      </c>
      <c r="M158" s="6">
        <v>1</v>
      </c>
      <c r="N158" s="7">
        <v>0</v>
      </c>
      <c r="O158" s="9">
        <v>0</v>
      </c>
      <c r="P158" s="10">
        <f t="shared" si="49"/>
        <v>6</v>
      </c>
      <c r="Q158" s="12">
        <f t="shared" si="41"/>
        <v>65</v>
      </c>
      <c r="R158" s="11">
        <f t="shared" si="42"/>
        <v>4.904296875</v>
      </c>
      <c r="S158" s="6">
        <v>0</v>
      </c>
      <c r="T158" s="6">
        <v>1</v>
      </c>
      <c r="U158" s="6">
        <v>1</v>
      </c>
      <c r="V158" s="7">
        <v>0</v>
      </c>
      <c r="W158" s="9">
        <f t="shared" ref="W158:W176" si="55">W157+4</f>
        <v>8</v>
      </c>
      <c r="X158" s="10">
        <f t="shared" si="50"/>
        <v>6</v>
      </c>
      <c r="Y158" s="12">
        <f t="shared" si="43"/>
        <v>110.94416735945487</v>
      </c>
      <c r="Z158" s="11">
        <f t="shared" si="44"/>
        <v>6.2503174031090296</v>
      </c>
      <c r="AA158" s="6">
        <v>0</v>
      </c>
      <c r="AB158" s="6">
        <v>0</v>
      </c>
      <c r="AC158" s="6">
        <v>0</v>
      </c>
      <c r="AD158" s="7">
        <v>1</v>
      </c>
      <c r="AE158" s="9">
        <f t="shared" ref="AE158:AE176" si="56">AE157+3</f>
        <v>26</v>
      </c>
      <c r="AF158" s="10">
        <f t="shared" si="51"/>
        <v>8</v>
      </c>
      <c r="AG158" s="12">
        <f t="shared" si="45"/>
        <v>214.3185439182283</v>
      </c>
      <c r="AH158" s="11">
        <f t="shared" si="46"/>
        <v>9.2788635913543445</v>
      </c>
      <c r="AJ158" s="6">
        <f t="shared" si="52"/>
        <v>1500</v>
      </c>
      <c r="AK158" s="4">
        <v>141</v>
      </c>
      <c r="AM158" s="2" t="str">
        <f t="shared" si="47"/>
        <v>6</v>
      </c>
      <c r="AN158" s="2" t="str">
        <f t="shared" si="53"/>
        <v>5DC</v>
      </c>
      <c r="AO158" s="2"/>
      <c r="AP158" s="2" t="str">
        <f t="shared" si="54"/>
        <v>65DC</v>
      </c>
    </row>
    <row r="159" spans="1:42" x14ac:dyDescent="0.2">
      <c r="A159">
        <v>142</v>
      </c>
      <c r="B159">
        <v>14.1</v>
      </c>
      <c r="C159" s="6">
        <v>0</v>
      </c>
      <c r="D159" s="6">
        <v>1</v>
      </c>
      <c r="E159" s="6">
        <v>1</v>
      </c>
      <c r="F159" s="7">
        <v>0</v>
      </c>
      <c r="G159" s="9">
        <v>145</v>
      </c>
      <c r="H159" s="10">
        <f t="shared" si="48"/>
        <v>6</v>
      </c>
      <c r="I159" s="12">
        <f t="shared" si="39"/>
        <v>897.7380333901192</v>
      </c>
      <c r="J159" s="11">
        <f t="shared" si="40"/>
        <v>29.300918946976147</v>
      </c>
      <c r="K159" s="6">
        <v>0</v>
      </c>
      <c r="L159" s="6">
        <v>1</v>
      </c>
      <c r="M159" s="6">
        <v>1</v>
      </c>
      <c r="N159" s="7">
        <v>0</v>
      </c>
      <c r="O159" s="9">
        <v>6</v>
      </c>
      <c r="P159" s="10">
        <f t="shared" si="49"/>
        <v>6</v>
      </c>
      <c r="Q159" s="12">
        <f t="shared" si="41"/>
        <v>99.458125519591135</v>
      </c>
      <c r="R159" s="11">
        <f t="shared" si="42"/>
        <v>5.9138122710817713</v>
      </c>
      <c r="S159" s="6">
        <v>0</v>
      </c>
      <c r="T159" s="6">
        <v>1</v>
      </c>
      <c r="U159" s="6">
        <v>1</v>
      </c>
      <c r="V159" s="7">
        <v>0</v>
      </c>
      <c r="W159" s="9">
        <f t="shared" si="55"/>
        <v>12</v>
      </c>
      <c r="X159" s="10">
        <f t="shared" si="50"/>
        <v>6</v>
      </c>
      <c r="Y159" s="12">
        <f t="shared" si="43"/>
        <v>133.91625103918227</v>
      </c>
      <c r="Z159" s="11">
        <f t="shared" si="44"/>
        <v>6.9233276671635426</v>
      </c>
      <c r="AA159" s="6">
        <v>0</v>
      </c>
      <c r="AB159" s="6">
        <v>0</v>
      </c>
      <c r="AC159" s="6">
        <v>0</v>
      </c>
      <c r="AD159" s="7">
        <v>1</v>
      </c>
      <c r="AE159" s="9">
        <f t="shared" si="56"/>
        <v>29</v>
      </c>
      <c r="AF159" s="10">
        <f t="shared" si="51"/>
        <v>8</v>
      </c>
      <c r="AG159" s="12">
        <f t="shared" si="45"/>
        <v>231.54760667802384</v>
      </c>
      <c r="AH159" s="11">
        <f t="shared" si="46"/>
        <v>9.7836212893952297</v>
      </c>
      <c r="AJ159" s="6">
        <f t="shared" si="52"/>
        <v>1450</v>
      </c>
      <c r="AK159" s="4">
        <v>142</v>
      </c>
      <c r="AM159" s="2" t="str">
        <f t="shared" si="47"/>
        <v>6</v>
      </c>
      <c r="AN159" s="2" t="str">
        <f t="shared" si="53"/>
        <v>5AA</v>
      </c>
      <c r="AO159" s="2"/>
      <c r="AP159" s="2" t="str">
        <f t="shared" si="54"/>
        <v>65AA</v>
      </c>
    </row>
    <row r="160" spans="1:42" x14ac:dyDescent="0.2">
      <c r="A160">
        <v>143</v>
      </c>
      <c r="B160">
        <v>14.2</v>
      </c>
      <c r="C160" s="6">
        <v>0</v>
      </c>
      <c r="D160" s="6">
        <v>1</v>
      </c>
      <c r="E160" s="6">
        <v>1</v>
      </c>
      <c r="F160" s="7">
        <v>0</v>
      </c>
      <c r="G160" s="9">
        <v>140</v>
      </c>
      <c r="H160" s="10">
        <f t="shared" si="48"/>
        <v>6</v>
      </c>
      <c r="I160" s="12">
        <f t="shared" si="39"/>
        <v>869.0229287904599</v>
      </c>
      <c r="J160" s="11">
        <f t="shared" si="40"/>
        <v>28.459656116908008</v>
      </c>
      <c r="K160" s="6">
        <v>0</v>
      </c>
      <c r="L160" s="6">
        <v>1</v>
      </c>
      <c r="M160" s="6">
        <v>1</v>
      </c>
      <c r="N160" s="7">
        <v>0</v>
      </c>
      <c r="O160" s="9">
        <v>12</v>
      </c>
      <c r="P160" s="10">
        <f t="shared" si="49"/>
        <v>6</v>
      </c>
      <c r="Q160" s="12">
        <f t="shared" si="41"/>
        <v>133.91625103918227</v>
      </c>
      <c r="R160" s="11">
        <f t="shared" si="42"/>
        <v>6.9233276671635426</v>
      </c>
      <c r="S160" s="6">
        <v>0</v>
      </c>
      <c r="T160" s="6">
        <v>1</v>
      </c>
      <c r="U160" s="6">
        <v>1</v>
      </c>
      <c r="V160" s="7">
        <v>0</v>
      </c>
      <c r="W160" s="9">
        <f t="shared" si="55"/>
        <v>16</v>
      </c>
      <c r="X160" s="10">
        <f t="shared" si="50"/>
        <v>6</v>
      </c>
      <c r="Y160" s="12">
        <f t="shared" si="43"/>
        <v>156.88833471890973</v>
      </c>
      <c r="Z160" s="11">
        <f t="shared" si="44"/>
        <v>7.5963379312180583</v>
      </c>
      <c r="AA160" s="6">
        <v>0</v>
      </c>
      <c r="AB160" s="6">
        <v>0</v>
      </c>
      <c r="AC160" s="6">
        <v>0</v>
      </c>
      <c r="AD160" s="7">
        <v>1</v>
      </c>
      <c r="AE160" s="9">
        <f t="shared" si="56"/>
        <v>32</v>
      </c>
      <c r="AF160" s="10">
        <f t="shared" si="51"/>
        <v>8</v>
      </c>
      <c r="AG160" s="12">
        <f t="shared" si="45"/>
        <v>248.77666943781944</v>
      </c>
      <c r="AH160" s="11">
        <f t="shared" si="46"/>
        <v>10.288378987436115</v>
      </c>
      <c r="AJ160" s="6">
        <f t="shared" si="52"/>
        <v>1400</v>
      </c>
      <c r="AK160" s="4">
        <v>143</v>
      </c>
      <c r="AM160" s="2" t="str">
        <f t="shared" si="47"/>
        <v>6</v>
      </c>
      <c r="AN160" s="2" t="str">
        <f t="shared" si="53"/>
        <v>578</v>
      </c>
      <c r="AO160" s="2"/>
      <c r="AP160" s="2" t="str">
        <f t="shared" si="54"/>
        <v>6578</v>
      </c>
    </row>
    <row r="161" spans="1:42" x14ac:dyDescent="0.2">
      <c r="A161">
        <v>144</v>
      </c>
      <c r="B161">
        <v>14.3</v>
      </c>
      <c r="C161" s="6">
        <v>0</v>
      </c>
      <c r="D161" s="6">
        <v>1</v>
      </c>
      <c r="E161" s="6">
        <v>1</v>
      </c>
      <c r="F161" s="7">
        <v>0</v>
      </c>
      <c r="G161" s="9">
        <v>135</v>
      </c>
      <c r="H161" s="10">
        <f t="shared" si="48"/>
        <v>6</v>
      </c>
      <c r="I161" s="12">
        <f t="shared" si="39"/>
        <v>840.30782419080083</v>
      </c>
      <c r="J161" s="11">
        <f t="shared" si="40"/>
        <v>27.618393286839868</v>
      </c>
      <c r="K161" s="6">
        <v>0</v>
      </c>
      <c r="L161" s="6">
        <v>1</v>
      </c>
      <c r="M161" s="6">
        <v>1</v>
      </c>
      <c r="N161" s="7">
        <v>0</v>
      </c>
      <c r="O161" s="9">
        <v>18</v>
      </c>
      <c r="P161" s="10">
        <f t="shared" si="49"/>
        <v>6</v>
      </c>
      <c r="Q161" s="12">
        <f t="shared" si="41"/>
        <v>168.37437655877341</v>
      </c>
      <c r="R161" s="11">
        <f t="shared" si="42"/>
        <v>7.9328430632453149</v>
      </c>
      <c r="S161" s="6">
        <v>0</v>
      </c>
      <c r="T161" s="6">
        <v>1</v>
      </c>
      <c r="U161" s="6">
        <v>1</v>
      </c>
      <c r="V161" s="7">
        <v>0</v>
      </c>
      <c r="W161" s="9">
        <f t="shared" si="55"/>
        <v>20</v>
      </c>
      <c r="X161" s="10">
        <f t="shared" si="50"/>
        <v>6</v>
      </c>
      <c r="Y161" s="12">
        <f t="shared" si="43"/>
        <v>179.86041839863714</v>
      </c>
      <c r="Z161" s="11">
        <f t="shared" si="44"/>
        <v>8.2693481952725723</v>
      </c>
      <c r="AA161" s="6">
        <v>0</v>
      </c>
      <c r="AB161" s="6">
        <v>0</v>
      </c>
      <c r="AC161" s="6">
        <v>0</v>
      </c>
      <c r="AD161" s="7">
        <v>1</v>
      </c>
      <c r="AE161" s="9">
        <f t="shared" si="56"/>
        <v>35</v>
      </c>
      <c r="AF161" s="10">
        <f t="shared" si="51"/>
        <v>8</v>
      </c>
      <c r="AG161" s="12">
        <f t="shared" si="45"/>
        <v>266.00573219761498</v>
      </c>
      <c r="AH161" s="11">
        <f t="shared" si="46"/>
        <v>10.793136685477002</v>
      </c>
      <c r="AJ161" s="6">
        <f t="shared" si="52"/>
        <v>1350</v>
      </c>
      <c r="AK161" s="4">
        <v>144</v>
      </c>
      <c r="AM161" s="2" t="str">
        <f t="shared" si="47"/>
        <v>6</v>
      </c>
      <c r="AN161" s="2" t="str">
        <f t="shared" si="53"/>
        <v>546</v>
      </c>
      <c r="AO161" s="2"/>
      <c r="AP161" s="2" t="str">
        <f t="shared" si="54"/>
        <v>6546</v>
      </c>
    </row>
    <row r="162" spans="1:42" x14ac:dyDescent="0.2">
      <c r="A162">
        <v>145</v>
      </c>
      <c r="B162">
        <v>14.4</v>
      </c>
      <c r="C162" s="6">
        <v>0</v>
      </c>
      <c r="D162" s="6">
        <v>1</v>
      </c>
      <c r="E162" s="6">
        <v>1</v>
      </c>
      <c r="F162" s="7">
        <v>0</v>
      </c>
      <c r="G162" s="9">
        <v>130</v>
      </c>
      <c r="H162" s="10">
        <f t="shared" si="48"/>
        <v>6</v>
      </c>
      <c r="I162" s="12">
        <f t="shared" si="39"/>
        <v>811.59271959114142</v>
      </c>
      <c r="J162" s="11">
        <f t="shared" si="40"/>
        <v>26.777130456771722</v>
      </c>
      <c r="K162" s="6">
        <v>0</v>
      </c>
      <c r="L162" s="6">
        <v>1</v>
      </c>
      <c r="M162" s="6">
        <v>1</v>
      </c>
      <c r="N162" s="7">
        <v>0</v>
      </c>
      <c r="O162" s="9">
        <v>24</v>
      </c>
      <c r="P162" s="10">
        <f t="shared" si="49"/>
        <v>6</v>
      </c>
      <c r="Q162" s="12">
        <f t="shared" si="41"/>
        <v>202.83250207836454</v>
      </c>
      <c r="R162" s="11">
        <f t="shared" si="42"/>
        <v>8.9423584593270853</v>
      </c>
      <c r="S162" s="6">
        <v>0</v>
      </c>
      <c r="T162" s="6">
        <v>1</v>
      </c>
      <c r="U162" s="6">
        <v>1</v>
      </c>
      <c r="V162" s="7">
        <v>0</v>
      </c>
      <c r="W162" s="9">
        <f t="shared" si="55"/>
        <v>24</v>
      </c>
      <c r="X162" s="10">
        <f t="shared" si="50"/>
        <v>6</v>
      </c>
      <c r="Y162" s="12">
        <f t="shared" si="43"/>
        <v>202.83250207836454</v>
      </c>
      <c r="Z162" s="11">
        <f t="shared" si="44"/>
        <v>8.9423584593270853</v>
      </c>
      <c r="AA162" s="6">
        <v>0</v>
      </c>
      <c r="AB162" s="6">
        <v>0</v>
      </c>
      <c r="AC162" s="6">
        <v>0</v>
      </c>
      <c r="AD162" s="7">
        <v>1</v>
      </c>
      <c r="AE162" s="9">
        <f t="shared" si="56"/>
        <v>38</v>
      </c>
      <c r="AF162" s="10">
        <f t="shared" si="51"/>
        <v>8</v>
      </c>
      <c r="AG162" s="12">
        <f t="shared" si="45"/>
        <v>283.23479495741054</v>
      </c>
      <c r="AH162" s="11">
        <f t="shared" si="46"/>
        <v>11.297894383517887</v>
      </c>
      <c r="AJ162" s="6">
        <f t="shared" si="52"/>
        <v>1300</v>
      </c>
      <c r="AK162" s="4">
        <v>145</v>
      </c>
      <c r="AM162" s="2" t="str">
        <f t="shared" si="47"/>
        <v>6</v>
      </c>
      <c r="AN162" s="2" t="str">
        <f t="shared" si="53"/>
        <v>514</v>
      </c>
      <c r="AO162" s="2"/>
      <c r="AP162" s="2" t="str">
        <f t="shared" si="54"/>
        <v>6514</v>
      </c>
    </row>
    <row r="163" spans="1:42" x14ac:dyDescent="0.2">
      <c r="A163">
        <v>146</v>
      </c>
      <c r="B163">
        <v>14.5</v>
      </c>
      <c r="C163" s="6">
        <v>0</v>
      </c>
      <c r="D163" s="6">
        <v>1</v>
      </c>
      <c r="E163" s="6">
        <v>1</v>
      </c>
      <c r="F163" s="7">
        <v>0</v>
      </c>
      <c r="G163" s="9">
        <v>125</v>
      </c>
      <c r="H163" s="10">
        <f t="shared" si="48"/>
        <v>6</v>
      </c>
      <c r="I163" s="12">
        <f t="shared" si="39"/>
        <v>782.87761499148212</v>
      </c>
      <c r="J163" s="11">
        <f t="shared" si="40"/>
        <v>25.935867626703576</v>
      </c>
      <c r="K163" s="6">
        <v>0</v>
      </c>
      <c r="L163" s="6">
        <v>1</v>
      </c>
      <c r="M163" s="6">
        <v>1</v>
      </c>
      <c r="N163" s="7">
        <v>0</v>
      </c>
      <c r="O163" s="9">
        <v>30</v>
      </c>
      <c r="P163" s="10">
        <f t="shared" si="49"/>
        <v>6</v>
      </c>
      <c r="Q163" s="12">
        <f t="shared" si="41"/>
        <v>237.29062759795568</v>
      </c>
      <c r="R163" s="11">
        <f t="shared" si="42"/>
        <v>9.9518738554088593</v>
      </c>
      <c r="S163" s="6">
        <v>0</v>
      </c>
      <c r="T163" s="6">
        <v>1</v>
      </c>
      <c r="U163" s="6">
        <v>1</v>
      </c>
      <c r="V163" s="7">
        <v>0</v>
      </c>
      <c r="W163" s="9">
        <f t="shared" si="55"/>
        <v>28</v>
      </c>
      <c r="X163" s="10">
        <f t="shared" si="50"/>
        <v>6</v>
      </c>
      <c r="Y163" s="12">
        <f t="shared" si="43"/>
        <v>225.804585758092</v>
      </c>
      <c r="Z163" s="11">
        <f t="shared" si="44"/>
        <v>9.6153687233816001</v>
      </c>
      <c r="AA163" s="6">
        <v>0</v>
      </c>
      <c r="AB163" s="6">
        <v>0</v>
      </c>
      <c r="AC163" s="6">
        <v>0</v>
      </c>
      <c r="AD163" s="7">
        <v>1</v>
      </c>
      <c r="AE163" s="9">
        <f t="shared" si="56"/>
        <v>41</v>
      </c>
      <c r="AF163" s="10">
        <f t="shared" si="51"/>
        <v>8</v>
      </c>
      <c r="AG163" s="12">
        <f t="shared" si="45"/>
        <v>300.46385771720611</v>
      </c>
      <c r="AH163" s="11">
        <f t="shared" si="46"/>
        <v>11.802652081558772</v>
      </c>
      <c r="AJ163" s="6">
        <f t="shared" si="52"/>
        <v>1250</v>
      </c>
      <c r="AK163" s="4">
        <v>146</v>
      </c>
      <c r="AM163" s="2" t="str">
        <f t="shared" si="47"/>
        <v>6</v>
      </c>
      <c r="AN163" s="2" t="str">
        <f t="shared" si="53"/>
        <v>4E2</v>
      </c>
      <c r="AO163" s="2"/>
      <c r="AP163" s="2" t="str">
        <f t="shared" si="54"/>
        <v>64E2</v>
      </c>
    </row>
    <row r="164" spans="1:42" x14ac:dyDescent="0.2">
      <c r="A164">
        <v>147</v>
      </c>
      <c r="B164">
        <v>14.6</v>
      </c>
      <c r="C164" s="6">
        <v>0</v>
      </c>
      <c r="D164" s="6">
        <v>1</v>
      </c>
      <c r="E164" s="6">
        <v>1</v>
      </c>
      <c r="F164" s="7">
        <v>0</v>
      </c>
      <c r="G164" s="9">
        <v>120</v>
      </c>
      <c r="H164" s="10">
        <f t="shared" si="48"/>
        <v>6</v>
      </c>
      <c r="I164" s="12">
        <f t="shared" si="39"/>
        <v>754.16251039182271</v>
      </c>
      <c r="J164" s="11">
        <f t="shared" si="40"/>
        <v>25.09460479663543</v>
      </c>
      <c r="K164" s="6">
        <v>0</v>
      </c>
      <c r="L164" s="6">
        <v>1</v>
      </c>
      <c r="M164" s="6">
        <v>1</v>
      </c>
      <c r="N164" s="7">
        <v>0</v>
      </c>
      <c r="O164" s="9">
        <v>36</v>
      </c>
      <c r="P164" s="10">
        <f t="shared" si="49"/>
        <v>6</v>
      </c>
      <c r="Q164" s="12">
        <f t="shared" si="41"/>
        <v>271.74875311754681</v>
      </c>
      <c r="R164" s="11">
        <f t="shared" si="42"/>
        <v>10.96138925149063</v>
      </c>
      <c r="S164" s="6">
        <v>0</v>
      </c>
      <c r="T164" s="6">
        <v>1</v>
      </c>
      <c r="U164" s="6">
        <v>1</v>
      </c>
      <c r="V164" s="7">
        <v>0</v>
      </c>
      <c r="W164" s="9">
        <f t="shared" si="55"/>
        <v>32</v>
      </c>
      <c r="X164" s="10">
        <f t="shared" si="50"/>
        <v>6</v>
      </c>
      <c r="Y164" s="12">
        <f t="shared" si="43"/>
        <v>248.77666943781944</v>
      </c>
      <c r="Z164" s="11">
        <f t="shared" si="44"/>
        <v>10.288378987436115</v>
      </c>
      <c r="AA164" s="6">
        <v>0</v>
      </c>
      <c r="AB164" s="6">
        <v>0</v>
      </c>
      <c r="AC164" s="6">
        <v>0</v>
      </c>
      <c r="AD164" s="7">
        <v>1</v>
      </c>
      <c r="AE164" s="9">
        <f t="shared" si="56"/>
        <v>44</v>
      </c>
      <c r="AF164" s="10">
        <f t="shared" si="51"/>
        <v>8</v>
      </c>
      <c r="AG164" s="12">
        <f t="shared" si="45"/>
        <v>317.69292047700173</v>
      </c>
      <c r="AH164" s="11">
        <f t="shared" si="46"/>
        <v>12.307409779599659</v>
      </c>
      <c r="AJ164" s="6">
        <f t="shared" si="52"/>
        <v>1200</v>
      </c>
      <c r="AK164" s="4">
        <v>147</v>
      </c>
      <c r="AM164" s="2" t="str">
        <f t="shared" si="47"/>
        <v>6</v>
      </c>
      <c r="AN164" s="2" t="str">
        <f t="shared" si="53"/>
        <v>4B0</v>
      </c>
      <c r="AO164" s="2"/>
      <c r="AP164" s="2" t="str">
        <f t="shared" si="54"/>
        <v>64B0</v>
      </c>
    </row>
    <row r="165" spans="1:42" x14ac:dyDescent="0.2">
      <c r="A165">
        <v>148</v>
      </c>
      <c r="B165">
        <v>14.7</v>
      </c>
      <c r="C165" s="6">
        <v>0</v>
      </c>
      <c r="D165" s="6">
        <v>1</v>
      </c>
      <c r="E165" s="6">
        <v>1</v>
      </c>
      <c r="F165" s="7">
        <v>0</v>
      </c>
      <c r="G165" s="9">
        <v>115</v>
      </c>
      <c r="H165" s="10">
        <f t="shared" si="48"/>
        <v>6</v>
      </c>
      <c r="I165" s="12">
        <f t="shared" si="39"/>
        <v>725.44740579216352</v>
      </c>
      <c r="J165" s="11">
        <f t="shared" si="40"/>
        <v>24.253341966567291</v>
      </c>
      <c r="K165" s="6">
        <v>0</v>
      </c>
      <c r="L165" s="6">
        <v>1</v>
      </c>
      <c r="M165" s="6">
        <v>1</v>
      </c>
      <c r="N165" s="7">
        <v>0</v>
      </c>
      <c r="O165" s="9">
        <v>42</v>
      </c>
      <c r="P165" s="10">
        <f t="shared" si="49"/>
        <v>6</v>
      </c>
      <c r="Q165" s="12">
        <f t="shared" si="41"/>
        <v>306.20687863713795</v>
      </c>
      <c r="R165" s="11">
        <f t="shared" si="42"/>
        <v>11.9709046475724</v>
      </c>
      <c r="S165" s="6">
        <v>0</v>
      </c>
      <c r="T165" s="6">
        <v>1</v>
      </c>
      <c r="U165" s="6">
        <v>1</v>
      </c>
      <c r="V165" s="7">
        <v>0</v>
      </c>
      <c r="W165" s="9">
        <f t="shared" si="55"/>
        <v>36</v>
      </c>
      <c r="X165" s="10">
        <f t="shared" si="50"/>
        <v>6</v>
      </c>
      <c r="Y165" s="12">
        <f t="shared" si="43"/>
        <v>271.74875311754681</v>
      </c>
      <c r="Z165" s="11">
        <f t="shared" si="44"/>
        <v>10.96138925149063</v>
      </c>
      <c r="AA165" s="6">
        <v>0</v>
      </c>
      <c r="AB165" s="6">
        <v>0</v>
      </c>
      <c r="AC165" s="6">
        <v>0</v>
      </c>
      <c r="AD165" s="7">
        <v>1</v>
      </c>
      <c r="AE165" s="9">
        <f t="shared" si="56"/>
        <v>47</v>
      </c>
      <c r="AF165" s="10">
        <f t="shared" si="51"/>
        <v>8</v>
      </c>
      <c r="AG165" s="12">
        <f t="shared" si="45"/>
        <v>334.92198323679725</v>
      </c>
      <c r="AH165" s="11">
        <f t="shared" si="46"/>
        <v>12.812167477640543</v>
      </c>
      <c r="AJ165" s="6">
        <f t="shared" si="52"/>
        <v>1150</v>
      </c>
      <c r="AK165" s="4">
        <v>148</v>
      </c>
      <c r="AM165" s="2" t="str">
        <f t="shared" si="47"/>
        <v>6</v>
      </c>
      <c r="AN165" s="2" t="str">
        <f t="shared" si="53"/>
        <v>47E</v>
      </c>
      <c r="AO165" s="2"/>
      <c r="AP165" s="2" t="str">
        <f t="shared" si="54"/>
        <v>647E</v>
      </c>
    </row>
    <row r="166" spans="1:42" x14ac:dyDescent="0.2">
      <c r="A166">
        <v>149</v>
      </c>
      <c r="B166">
        <v>14.8</v>
      </c>
      <c r="C166" s="6">
        <v>0</v>
      </c>
      <c r="D166" s="6">
        <v>1</v>
      </c>
      <c r="E166" s="6">
        <v>1</v>
      </c>
      <c r="F166" s="7">
        <v>0</v>
      </c>
      <c r="G166" s="9">
        <v>110</v>
      </c>
      <c r="H166" s="10">
        <f t="shared" si="48"/>
        <v>6</v>
      </c>
      <c r="I166" s="12">
        <f t="shared" si="39"/>
        <v>696.73230119250434</v>
      </c>
      <c r="J166" s="11">
        <f t="shared" si="40"/>
        <v>23.412079136499152</v>
      </c>
      <c r="K166" s="6">
        <v>0</v>
      </c>
      <c r="L166" s="6">
        <v>1</v>
      </c>
      <c r="M166" s="6">
        <v>1</v>
      </c>
      <c r="N166" s="7">
        <v>0</v>
      </c>
      <c r="O166" s="9">
        <v>48</v>
      </c>
      <c r="P166" s="10">
        <f t="shared" si="49"/>
        <v>6</v>
      </c>
      <c r="Q166" s="12">
        <f t="shared" si="41"/>
        <v>340.66500415672908</v>
      </c>
      <c r="R166" s="11">
        <f t="shared" si="42"/>
        <v>12.980420043654172</v>
      </c>
      <c r="S166" s="6">
        <v>0</v>
      </c>
      <c r="T166" s="6">
        <v>1</v>
      </c>
      <c r="U166" s="6">
        <v>1</v>
      </c>
      <c r="V166" s="7">
        <v>0</v>
      </c>
      <c r="W166" s="9">
        <f t="shared" si="55"/>
        <v>40</v>
      </c>
      <c r="X166" s="10">
        <f t="shared" si="50"/>
        <v>6</v>
      </c>
      <c r="Y166" s="12">
        <f t="shared" si="43"/>
        <v>294.72083679727427</v>
      </c>
      <c r="Z166" s="11">
        <f t="shared" si="44"/>
        <v>11.634399515545145</v>
      </c>
      <c r="AA166" s="6">
        <v>0</v>
      </c>
      <c r="AB166" s="6">
        <v>0</v>
      </c>
      <c r="AC166" s="6">
        <v>0</v>
      </c>
      <c r="AD166" s="7">
        <v>1</v>
      </c>
      <c r="AE166" s="9">
        <f t="shared" si="56"/>
        <v>50</v>
      </c>
      <c r="AF166" s="10">
        <f t="shared" si="51"/>
        <v>8</v>
      </c>
      <c r="AG166" s="12">
        <f t="shared" si="45"/>
        <v>352.15104599659281</v>
      </c>
      <c r="AH166" s="11">
        <f t="shared" si="46"/>
        <v>13.31692517568143</v>
      </c>
      <c r="AJ166" s="6">
        <f t="shared" si="52"/>
        <v>1100</v>
      </c>
      <c r="AK166" s="4">
        <v>149</v>
      </c>
      <c r="AM166" s="2" t="str">
        <f t="shared" si="47"/>
        <v>6</v>
      </c>
      <c r="AN166" s="2" t="str">
        <f t="shared" si="53"/>
        <v>44C</v>
      </c>
      <c r="AO166" s="2"/>
      <c r="AP166" s="2" t="str">
        <f t="shared" si="54"/>
        <v>644C</v>
      </c>
    </row>
    <row r="167" spans="1:42" x14ac:dyDescent="0.2">
      <c r="A167">
        <v>150</v>
      </c>
      <c r="B167">
        <v>14.9</v>
      </c>
      <c r="C167" s="6">
        <v>0</v>
      </c>
      <c r="D167" s="6">
        <v>1</v>
      </c>
      <c r="E167" s="6">
        <v>1</v>
      </c>
      <c r="F167" s="7">
        <v>0</v>
      </c>
      <c r="G167" s="9">
        <v>105</v>
      </c>
      <c r="H167" s="10">
        <f t="shared" si="48"/>
        <v>6</v>
      </c>
      <c r="I167" s="12">
        <f t="shared" si="39"/>
        <v>668.01719659284504</v>
      </c>
      <c r="J167" s="11">
        <f t="shared" si="40"/>
        <v>22.570816306431006</v>
      </c>
      <c r="K167" s="6">
        <v>0</v>
      </c>
      <c r="L167" s="6">
        <v>1</v>
      </c>
      <c r="M167" s="6">
        <v>1</v>
      </c>
      <c r="N167" s="7">
        <v>0</v>
      </c>
      <c r="O167" s="9">
        <v>54</v>
      </c>
      <c r="P167" s="10">
        <f t="shared" si="49"/>
        <v>6</v>
      </c>
      <c r="Q167" s="12">
        <f t="shared" si="41"/>
        <v>375.12312967632033</v>
      </c>
      <c r="R167" s="11">
        <f t="shared" si="42"/>
        <v>13.989935439735948</v>
      </c>
      <c r="S167" s="6">
        <v>0</v>
      </c>
      <c r="T167" s="6">
        <v>1</v>
      </c>
      <c r="U167" s="6">
        <v>1</v>
      </c>
      <c r="V167" s="7">
        <v>0</v>
      </c>
      <c r="W167" s="9">
        <f t="shared" si="55"/>
        <v>44</v>
      </c>
      <c r="X167" s="10">
        <f t="shared" si="50"/>
        <v>6</v>
      </c>
      <c r="Y167" s="12">
        <f t="shared" si="43"/>
        <v>317.69292047700173</v>
      </c>
      <c r="Z167" s="11">
        <f t="shared" si="44"/>
        <v>12.307409779599659</v>
      </c>
      <c r="AA167" s="6">
        <v>0</v>
      </c>
      <c r="AB167" s="6">
        <v>0</v>
      </c>
      <c r="AC167" s="6">
        <v>0</v>
      </c>
      <c r="AD167" s="7">
        <v>1</v>
      </c>
      <c r="AE167" s="9">
        <f t="shared" si="56"/>
        <v>53</v>
      </c>
      <c r="AF167" s="10">
        <f t="shared" si="51"/>
        <v>8</v>
      </c>
      <c r="AG167" s="12">
        <f t="shared" si="45"/>
        <v>369.38010875638844</v>
      </c>
      <c r="AH167" s="11">
        <f t="shared" si="46"/>
        <v>13.821682873722317</v>
      </c>
      <c r="AJ167" s="6">
        <f t="shared" si="52"/>
        <v>1050</v>
      </c>
      <c r="AK167" s="4">
        <v>150</v>
      </c>
      <c r="AM167" s="2" t="str">
        <f t="shared" si="47"/>
        <v>6</v>
      </c>
      <c r="AN167" s="2" t="str">
        <f t="shared" si="53"/>
        <v>41A</v>
      </c>
      <c r="AO167" s="2"/>
      <c r="AP167" s="2" t="str">
        <f t="shared" si="54"/>
        <v>641A</v>
      </c>
    </row>
    <row r="168" spans="1:42" x14ac:dyDescent="0.2">
      <c r="A168">
        <v>151</v>
      </c>
      <c r="B168">
        <v>15</v>
      </c>
      <c r="C168" s="6">
        <v>0</v>
      </c>
      <c r="D168" s="6">
        <v>1</v>
      </c>
      <c r="E168" s="6">
        <v>1</v>
      </c>
      <c r="F168" s="7">
        <v>0</v>
      </c>
      <c r="G168" s="9">
        <v>100</v>
      </c>
      <c r="H168" s="10">
        <f t="shared" si="48"/>
        <v>6</v>
      </c>
      <c r="I168" s="12">
        <f t="shared" si="39"/>
        <v>639.30209199318563</v>
      </c>
      <c r="J168" s="11">
        <f t="shared" si="40"/>
        <v>21.729553476362859</v>
      </c>
      <c r="K168" s="6">
        <v>0</v>
      </c>
      <c r="L168" s="6">
        <v>1</v>
      </c>
      <c r="M168" s="6">
        <v>1</v>
      </c>
      <c r="N168" s="7">
        <v>0</v>
      </c>
      <c r="O168" s="9">
        <v>60</v>
      </c>
      <c r="P168" s="10">
        <f t="shared" si="49"/>
        <v>6</v>
      </c>
      <c r="Q168" s="12">
        <f t="shared" si="41"/>
        <v>409.58125519591135</v>
      </c>
      <c r="R168" s="11">
        <f t="shared" si="42"/>
        <v>14.999450835817715</v>
      </c>
      <c r="S168" s="6">
        <v>0</v>
      </c>
      <c r="T168" s="6">
        <v>1</v>
      </c>
      <c r="U168" s="6">
        <v>1</v>
      </c>
      <c r="V168" s="7">
        <v>0</v>
      </c>
      <c r="W168" s="9">
        <f t="shared" si="55"/>
        <v>48</v>
      </c>
      <c r="X168" s="10">
        <f t="shared" si="50"/>
        <v>6</v>
      </c>
      <c r="Y168" s="12">
        <f t="shared" si="43"/>
        <v>340.66500415672908</v>
      </c>
      <c r="Z168" s="11">
        <f t="shared" si="44"/>
        <v>12.980420043654172</v>
      </c>
      <c r="AA168" s="6">
        <v>0</v>
      </c>
      <c r="AB168" s="6">
        <v>0</v>
      </c>
      <c r="AC168" s="6">
        <v>0</v>
      </c>
      <c r="AD168" s="7">
        <v>1</v>
      </c>
      <c r="AE168" s="9">
        <f t="shared" si="56"/>
        <v>56</v>
      </c>
      <c r="AF168" s="10">
        <f t="shared" si="51"/>
        <v>8</v>
      </c>
      <c r="AG168" s="12">
        <f t="shared" si="45"/>
        <v>386.60917151618401</v>
      </c>
      <c r="AH168" s="11">
        <f t="shared" si="46"/>
        <v>14.326440571763204</v>
      </c>
      <c r="AJ168" s="6">
        <f t="shared" si="52"/>
        <v>1000</v>
      </c>
      <c r="AK168" s="4">
        <v>151</v>
      </c>
      <c r="AM168" s="2" t="str">
        <f t="shared" si="47"/>
        <v>6</v>
      </c>
      <c r="AN168" s="2" t="str">
        <f t="shared" si="53"/>
        <v>3E8</v>
      </c>
      <c r="AO168" s="2"/>
      <c r="AP168" s="2" t="str">
        <f t="shared" si="54"/>
        <v>63E8</v>
      </c>
    </row>
    <row r="169" spans="1:42" x14ac:dyDescent="0.2">
      <c r="A169">
        <v>152</v>
      </c>
      <c r="B169">
        <v>15.1</v>
      </c>
      <c r="C169" s="6">
        <v>0</v>
      </c>
      <c r="D169" s="6">
        <v>1</v>
      </c>
      <c r="E169" s="6">
        <v>1</v>
      </c>
      <c r="F169" s="7">
        <v>0</v>
      </c>
      <c r="G169" s="9">
        <v>100</v>
      </c>
      <c r="H169" s="10">
        <f t="shared" si="48"/>
        <v>6</v>
      </c>
      <c r="I169" s="12">
        <f t="shared" si="39"/>
        <v>639.30209199318563</v>
      </c>
      <c r="J169" s="11">
        <f t="shared" si="40"/>
        <v>21.729553476362859</v>
      </c>
      <c r="K169" s="6">
        <v>0</v>
      </c>
      <c r="L169" s="6">
        <v>1</v>
      </c>
      <c r="M169" s="6">
        <v>1</v>
      </c>
      <c r="N169" s="7">
        <v>0</v>
      </c>
      <c r="O169" s="9">
        <v>60</v>
      </c>
      <c r="P169" s="10">
        <f t="shared" si="49"/>
        <v>6</v>
      </c>
      <c r="Q169" s="12">
        <f t="shared" si="41"/>
        <v>409.58125519591135</v>
      </c>
      <c r="R169" s="11">
        <f t="shared" si="42"/>
        <v>14.999450835817715</v>
      </c>
      <c r="S169" s="6">
        <v>0</v>
      </c>
      <c r="T169" s="6">
        <v>1</v>
      </c>
      <c r="U169" s="6">
        <v>1</v>
      </c>
      <c r="V169" s="7">
        <v>0</v>
      </c>
      <c r="W169" s="9">
        <f t="shared" si="55"/>
        <v>52</v>
      </c>
      <c r="X169" s="10">
        <f t="shared" si="50"/>
        <v>6</v>
      </c>
      <c r="Y169" s="12">
        <f t="shared" si="43"/>
        <v>363.6370878364566</v>
      </c>
      <c r="Z169" s="11">
        <f t="shared" si="44"/>
        <v>13.653430307708689</v>
      </c>
      <c r="AA169" s="6">
        <v>0</v>
      </c>
      <c r="AB169" s="6">
        <v>0</v>
      </c>
      <c r="AC169" s="6">
        <v>0</v>
      </c>
      <c r="AD169" s="7">
        <v>1</v>
      </c>
      <c r="AE169" s="9">
        <f t="shared" si="56"/>
        <v>59</v>
      </c>
      <c r="AF169" s="10">
        <f t="shared" si="51"/>
        <v>8</v>
      </c>
      <c r="AG169" s="12">
        <f t="shared" si="45"/>
        <v>403.83823427597952</v>
      </c>
      <c r="AH169" s="11">
        <f t="shared" si="46"/>
        <v>14.831198269804087</v>
      </c>
      <c r="AJ169" s="6">
        <f t="shared" si="52"/>
        <v>1000</v>
      </c>
      <c r="AK169" s="4">
        <v>152</v>
      </c>
      <c r="AM169" s="2" t="str">
        <f t="shared" si="47"/>
        <v>6</v>
      </c>
      <c r="AN169" s="2" t="str">
        <f t="shared" si="53"/>
        <v>3E8</v>
      </c>
      <c r="AO169" s="2"/>
      <c r="AP169" s="2" t="str">
        <f t="shared" si="54"/>
        <v>63E8</v>
      </c>
    </row>
    <row r="170" spans="1:42" x14ac:dyDescent="0.2">
      <c r="A170">
        <v>153</v>
      </c>
      <c r="B170">
        <v>15.2</v>
      </c>
      <c r="C170" s="6">
        <v>0</v>
      </c>
      <c r="D170" s="6">
        <v>1</v>
      </c>
      <c r="E170" s="6">
        <v>1</v>
      </c>
      <c r="F170" s="7">
        <v>0</v>
      </c>
      <c r="G170" s="9">
        <v>100</v>
      </c>
      <c r="H170" s="10">
        <f t="shared" si="48"/>
        <v>6</v>
      </c>
      <c r="I170" s="12">
        <f t="shared" si="39"/>
        <v>639.30209199318563</v>
      </c>
      <c r="J170" s="11">
        <f t="shared" si="40"/>
        <v>21.729553476362859</v>
      </c>
      <c r="K170" s="6">
        <v>0</v>
      </c>
      <c r="L170" s="6">
        <v>1</v>
      </c>
      <c r="M170" s="6">
        <v>1</v>
      </c>
      <c r="N170" s="7">
        <v>0</v>
      </c>
      <c r="O170" s="9">
        <v>60</v>
      </c>
      <c r="P170" s="10">
        <f t="shared" si="49"/>
        <v>6</v>
      </c>
      <c r="Q170" s="12">
        <f t="shared" si="41"/>
        <v>409.58125519591135</v>
      </c>
      <c r="R170" s="11">
        <f t="shared" si="42"/>
        <v>14.999450835817715</v>
      </c>
      <c r="S170" s="6">
        <v>0</v>
      </c>
      <c r="T170" s="6">
        <v>1</v>
      </c>
      <c r="U170" s="6">
        <v>1</v>
      </c>
      <c r="V170" s="7">
        <v>0</v>
      </c>
      <c r="W170" s="9">
        <f t="shared" si="55"/>
        <v>56</v>
      </c>
      <c r="X170" s="10">
        <f t="shared" si="50"/>
        <v>6</v>
      </c>
      <c r="Y170" s="12">
        <f t="shared" si="43"/>
        <v>386.60917151618401</v>
      </c>
      <c r="Z170" s="11">
        <f t="shared" si="44"/>
        <v>14.326440571763204</v>
      </c>
      <c r="AA170" s="6">
        <v>0</v>
      </c>
      <c r="AB170" s="6">
        <v>0</v>
      </c>
      <c r="AC170" s="6">
        <v>0</v>
      </c>
      <c r="AD170" s="7">
        <v>1</v>
      </c>
      <c r="AE170" s="9">
        <f t="shared" si="56"/>
        <v>62</v>
      </c>
      <c r="AF170" s="10">
        <f t="shared" si="51"/>
        <v>8</v>
      </c>
      <c r="AG170" s="12">
        <f t="shared" si="45"/>
        <v>421.06729703577514</v>
      </c>
      <c r="AH170" s="11">
        <f t="shared" si="46"/>
        <v>15.335955967844974</v>
      </c>
      <c r="AJ170" s="6">
        <f t="shared" si="52"/>
        <v>1000</v>
      </c>
      <c r="AK170" s="4">
        <v>153</v>
      </c>
      <c r="AM170" s="2" t="str">
        <f t="shared" si="47"/>
        <v>6</v>
      </c>
      <c r="AN170" s="2" t="str">
        <f t="shared" si="53"/>
        <v>3E8</v>
      </c>
      <c r="AO170" s="2"/>
      <c r="AP170" s="2" t="str">
        <f t="shared" si="54"/>
        <v>63E8</v>
      </c>
    </row>
    <row r="171" spans="1:42" x14ac:dyDescent="0.2">
      <c r="A171">
        <v>154</v>
      </c>
      <c r="B171">
        <v>15.3</v>
      </c>
      <c r="C171" s="6">
        <v>0</v>
      </c>
      <c r="D171" s="6">
        <v>1</v>
      </c>
      <c r="E171" s="6">
        <v>1</v>
      </c>
      <c r="F171" s="7">
        <v>0</v>
      </c>
      <c r="G171" s="9">
        <v>100</v>
      </c>
      <c r="H171" s="10">
        <f t="shared" si="48"/>
        <v>6</v>
      </c>
      <c r="I171" s="12">
        <f t="shared" si="39"/>
        <v>639.30209199318563</v>
      </c>
      <c r="J171" s="11">
        <f t="shared" si="40"/>
        <v>21.729553476362859</v>
      </c>
      <c r="K171" s="6">
        <v>0</v>
      </c>
      <c r="L171" s="6">
        <v>1</v>
      </c>
      <c r="M171" s="6">
        <v>1</v>
      </c>
      <c r="N171" s="7">
        <v>0</v>
      </c>
      <c r="O171" s="9">
        <v>60</v>
      </c>
      <c r="P171" s="10">
        <f t="shared" si="49"/>
        <v>6</v>
      </c>
      <c r="Q171" s="12">
        <f t="shared" si="41"/>
        <v>409.58125519591135</v>
      </c>
      <c r="R171" s="11">
        <f t="shared" si="42"/>
        <v>14.999450835817715</v>
      </c>
      <c r="S171" s="6">
        <v>0</v>
      </c>
      <c r="T171" s="6">
        <v>1</v>
      </c>
      <c r="U171" s="6">
        <v>1</v>
      </c>
      <c r="V171" s="7">
        <v>0</v>
      </c>
      <c r="W171" s="9">
        <f t="shared" si="55"/>
        <v>60</v>
      </c>
      <c r="X171" s="10">
        <f t="shared" si="50"/>
        <v>6</v>
      </c>
      <c r="Y171" s="12">
        <f t="shared" si="43"/>
        <v>409.58125519591135</v>
      </c>
      <c r="Z171" s="11">
        <f t="shared" si="44"/>
        <v>14.999450835817715</v>
      </c>
      <c r="AA171" s="6">
        <v>0</v>
      </c>
      <c r="AB171" s="6">
        <v>0</v>
      </c>
      <c r="AC171" s="6">
        <v>0</v>
      </c>
      <c r="AD171" s="7">
        <v>1</v>
      </c>
      <c r="AE171" s="9">
        <f t="shared" si="56"/>
        <v>65</v>
      </c>
      <c r="AF171" s="10">
        <f t="shared" si="51"/>
        <v>8</v>
      </c>
      <c r="AG171" s="12">
        <f t="shared" si="45"/>
        <v>438.29635979557071</v>
      </c>
      <c r="AH171" s="11">
        <f t="shared" si="46"/>
        <v>15.840713665885861</v>
      </c>
      <c r="AJ171" s="6">
        <f t="shared" si="52"/>
        <v>1000</v>
      </c>
      <c r="AK171" s="4">
        <v>154</v>
      </c>
      <c r="AM171" s="2" t="str">
        <f t="shared" si="47"/>
        <v>6</v>
      </c>
      <c r="AN171" s="2" t="str">
        <f t="shared" si="53"/>
        <v>3E8</v>
      </c>
      <c r="AO171" s="2"/>
      <c r="AP171" s="2" t="str">
        <f t="shared" si="54"/>
        <v>63E8</v>
      </c>
    </row>
    <row r="172" spans="1:42" x14ac:dyDescent="0.2">
      <c r="A172">
        <v>155</v>
      </c>
      <c r="B172">
        <v>15.4</v>
      </c>
      <c r="C172" s="6">
        <v>0</v>
      </c>
      <c r="D172" s="6">
        <v>1</v>
      </c>
      <c r="E172" s="6">
        <v>1</v>
      </c>
      <c r="F172" s="7">
        <v>0</v>
      </c>
      <c r="G172" s="9">
        <v>100</v>
      </c>
      <c r="H172" s="10">
        <f t="shared" si="48"/>
        <v>6</v>
      </c>
      <c r="I172" s="12">
        <f t="shared" si="39"/>
        <v>639.30209199318563</v>
      </c>
      <c r="J172" s="11">
        <f t="shared" si="40"/>
        <v>21.729553476362859</v>
      </c>
      <c r="K172" s="6">
        <v>0</v>
      </c>
      <c r="L172" s="6">
        <v>1</v>
      </c>
      <c r="M172" s="6">
        <v>1</v>
      </c>
      <c r="N172" s="7">
        <v>0</v>
      </c>
      <c r="O172" s="9">
        <v>60</v>
      </c>
      <c r="P172" s="10">
        <f t="shared" si="49"/>
        <v>6</v>
      </c>
      <c r="Q172" s="12">
        <f t="shared" si="41"/>
        <v>409.58125519591135</v>
      </c>
      <c r="R172" s="11">
        <f t="shared" si="42"/>
        <v>14.999450835817715</v>
      </c>
      <c r="S172" s="6">
        <v>0</v>
      </c>
      <c r="T172" s="6">
        <v>1</v>
      </c>
      <c r="U172" s="6">
        <v>1</v>
      </c>
      <c r="V172" s="7">
        <v>0</v>
      </c>
      <c r="W172" s="9">
        <f t="shared" si="55"/>
        <v>64</v>
      </c>
      <c r="X172" s="10">
        <f t="shared" si="50"/>
        <v>6</v>
      </c>
      <c r="Y172" s="12">
        <f t="shared" si="43"/>
        <v>432.55333887563887</v>
      </c>
      <c r="Z172" s="11">
        <f t="shared" si="44"/>
        <v>15.672461099872232</v>
      </c>
      <c r="AA172" s="6">
        <v>0</v>
      </c>
      <c r="AB172" s="6">
        <v>0</v>
      </c>
      <c r="AC172" s="6">
        <v>0</v>
      </c>
      <c r="AD172" s="7">
        <v>1</v>
      </c>
      <c r="AE172" s="9">
        <f t="shared" si="56"/>
        <v>68</v>
      </c>
      <c r="AF172" s="10">
        <f t="shared" si="51"/>
        <v>8</v>
      </c>
      <c r="AG172" s="12">
        <f t="shared" si="45"/>
        <v>455.52542255536633</v>
      </c>
      <c r="AH172" s="11">
        <f t="shared" si="46"/>
        <v>16.345471363926748</v>
      </c>
      <c r="AJ172" s="6">
        <f t="shared" si="52"/>
        <v>1000</v>
      </c>
      <c r="AK172" s="4">
        <v>155</v>
      </c>
      <c r="AM172" s="2" t="str">
        <f t="shared" si="47"/>
        <v>6</v>
      </c>
      <c r="AN172" s="2" t="str">
        <f t="shared" si="53"/>
        <v>3E8</v>
      </c>
      <c r="AO172" s="2"/>
      <c r="AP172" s="2" t="str">
        <f t="shared" si="54"/>
        <v>63E8</v>
      </c>
    </row>
    <row r="173" spans="1:42" x14ac:dyDescent="0.2">
      <c r="A173">
        <v>156</v>
      </c>
      <c r="B173">
        <v>15.5</v>
      </c>
      <c r="C173" s="6">
        <v>0</v>
      </c>
      <c r="D173" s="6">
        <v>1</v>
      </c>
      <c r="E173" s="6">
        <v>1</v>
      </c>
      <c r="F173" s="7">
        <v>0</v>
      </c>
      <c r="G173" s="9">
        <v>100</v>
      </c>
      <c r="H173" s="10">
        <f t="shared" si="48"/>
        <v>6</v>
      </c>
      <c r="I173" s="12">
        <f t="shared" si="39"/>
        <v>639.30209199318563</v>
      </c>
      <c r="J173" s="11">
        <f t="shared" si="40"/>
        <v>21.729553476362859</v>
      </c>
      <c r="K173" s="6">
        <v>0</v>
      </c>
      <c r="L173" s="6">
        <v>1</v>
      </c>
      <c r="M173" s="6">
        <v>1</v>
      </c>
      <c r="N173" s="7">
        <v>0</v>
      </c>
      <c r="O173" s="9">
        <v>60</v>
      </c>
      <c r="P173" s="10">
        <f t="shared" si="49"/>
        <v>6</v>
      </c>
      <c r="Q173" s="12">
        <f t="shared" si="41"/>
        <v>409.58125519591135</v>
      </c>
      <c r="R173" s="11">
        <f t="shared" si="42"/>
        <v>14.999450835817715</v>
      </c>
      <c r="S173" s="6">
        <v>0</v>
      </c>
      <c r="T173" s="6">
        <v>1</v>
      </c>
      <c r="U173" s="6">
        <v>1</v>
      </c>
      <c r="V173" s="7">
        <v>0</v>
      </c>
      <c r="W173" s="9">
        <f t="shared" si="55"/>
        <v>68</v>
      </c>
      <c r="X173" s="10">
        <f t="shared" si="50"/>
        <v>6</v>
      </c>
      <c r="Y173" s="12">
        <f t="shared" si="43"/>
        <v>455.52542255536633</v>
      </c>
      <c r="Z173" s="11">
        <f t="shared" si="44"/>
        <v>16.345471363926748</v>
      </c>
      <c r="AA173" s="6">
        <v>0</v>
      </c>
      <c r="AB173" s="6">
        <v>0</v>
      </c>
      <c r="AC173" s="6">
        <v>0</v>
      </c>
      <c r="AD173" s="7">
        <v>1</v>
      </c>
      <c r="AE173" s="9">
        <f t="shared" si="56"/>
        <v>71</v>
      </c>
      <c r="AF173" s="10">
        <f t="shared" si="51"/>
        <v>8</v>
      </c>
      <c r="AG173" s="12">
        <f t="shared" si="45"/>
        <v>472.75448531516179</v>
      </c>
      <c r="AH173" s="11">
        <f t="shared" si="46"/>
        <v>16.850229061967632</v>
      </c>
      <c r="AJ173" s="6">
        <f t="shared" si="52"/>
        <v>1000</v>
      </c>
      <c r="AK173" s="4">
        <v>156</v>
      </c>
      <c r="AM173" s="2" t="str">
        <f t="shared" si="47"/>
        <v>6</v>
      </c>
      <c r="AN173" s="2" t="str">
        <f t="shared" si="53"/>
        <v>3E8</v>
      </c>
      <c r="AO173" s="2"/>
      <c r="AP173" s="2" t="str">
        <f t="shared" si="54"/>
        <v>63E8</v>
      </c>
    </row>
    <row r="174" spans="1:42" x14ac:dyDescent="0.2">
      <c r="A174">
        <v>157</v>
      </c>
      <c r="B174">
        <v>15.6</v>
      </c>
      <c r="C174" s="6">
        <v>0</v>
      </c>
      <c r="D174" s="6">
        <v>1</v>
      </c>
      <c r="E174" s="6">
        <v>1</v>
      </c>
      <c r="F174" s="7">
        <v>0</v>
      </c>
      <c r="G174" s="9">
        <v>100</v>
      </c>
      <c r="H174" s="10">
        <f t="shared" si="48"/>
        <v>6</v>
      </c>
      <c r="I174" s="12">
        <f t="shared" si="39"/>
        <v>639.30209199318563</v>
      </c>
      <c r="J174" s="11">
        <f t="shared" si="40"/>
        <v>21.729553476362859</v>
      </c>
      <c r="K174" s="6">
        <v>0</v>
      </c>
      <c r="L174" s="6">
        <v>1</v>
      </c>
      <c r="M174" s="6">
        <v>1</v>
      </c>
      <c r="N174" s="7">
        <v>0</v>
      </c>
      <c r="O174" s="9">
        <v>60</v>
      </c>
      <c r="P174" s="10">
        <f t="shared" si="49"/>
        <v>6</v>
      </c>
      <c r="Q174" s="12">
        <f t="shared" si="41"/>
        <v>409.58125519591135</v>
      </c>
      <c r="R174" s="11">
        <f t="shared" si="42"/>
        <v>14.999450835817715</v>
      </c>
      <c r="S174" s="6">
        <v>0</v>
      </c>
      <c r="T174" s="6">
        <v>1</v>
      </c>
      <c r="U174" s="6">
        <v>1</v>
      </c>
      <c r="V174" s="7">
        <v>0</v>
      </c>
      <c r="W174" s="9">
        <f t="shared" si="55"/>
        <v>72</v>
      </c>
      <c r="X174" s="10">
        <f t="shared" si="50"/>
        <v>6</v>
      </c>
      <c r="Y174" s="12">
        <f t="shared" si="43"/>
        <v>478.49750623509368</v>
      </c>
      <c r="Z174" s="11">
        <f t="shared" si="44"/>
        <v>17.018481627981259</v>
      </c>
      <c r="AA174" s="6">
        <v>0</v>
      </c>
      <c r="AB174" s="6">
        <v>0</v>
      </c>
      <c r="AC174" s="6">
        <v>0</v>
      </c>
      <c r="AD174" s="7">
        <v>1</v>
      </c>
      <c r="AE174" s="9">
        <f t="shared" si="56"/>
        <v>74</v>
      </c>
      <c r="AF174" s="10">
        <f t="shared" si="51"/>
        <v>8</v>
      </c>
      <c r="AG174" s="12">
        <f t="shared" si="45"/>
        <v>489.98354807495741</v>
      </c>
      <c r="AH174" s="11">
        <f t="shared" si="46"/>
        <v>17.354986760008519</v>
      </c>
      <c r="AJ174" s="6">
        <f t="shared" si="52"/>
        <v>1000</v>
      </c>
      <c r="AK174" s="4">
        <v>157</v>
      </c>
      <c r="AM174" s="2" t="str">
        <f t="shared" si="47"/>
        <v>6</v>
      </c>
      <c r="AN174" s="2" t="str">
        <f t="shared" si="53"/>
        <v>3E8</v>
      </c>
      <c r="AO174" s="2"/>
      <c r="AP174" s="2" t="str">
        <f t="shared" si="54"/>
        <v>63E8</v>
      </c>
    </row>
    <row r="175" spans="1:42" x14ac:dyDescent="0.2">
      <c r="A175">
        <v>158</v>
      </c>
      <c r="B175">
        <v>15.7</v>
      </c>
      <c r="C175" s="6">
        <v>0</v>
      </c>
      <c r="D175" s="6">
        <v>1</v>
      </c>
      <c r="E175" s="6">
        <v>1</v>
      </c>
      <c r="F175" s="7">
        <v>0</v>
      </c>
      <c r="G175" s="9">
        <v>100</v>
      </c>
      <c r="H175" s="10">
        <f t="shared" si="48"/>
        <v>6</v>
      </c>
      <c r="I175" s="12">
        <f t="shared" si="39"/>
        <v>639.30209199318563</v>
      </c>
      <c r="J175" s="11">
        <f t="shared" si="40"/>
        <v>21.729553476362859</v>
      </c>
      <c r="K175" s="6">
        <v>0</v>
      </c>
      <c r="L175" s="6">
        <v>1</v>
      </c>
      <c r="M175" s="6">
        <v>1</v>
      </c>
      <c r="N175" s="7">
        <v>0</v>
      </c>
      <c r="O175" s="9">
        <v>60</v>
      </c>
      <c r="P175" s="10">
        <f t="shared" si="49"/>
        <v>6</v>
      </c>
      <c r="Q175" s="12">
        <f t="shared" si="41"/>
        <v>409.58125519591135</v>
      </c>
      <c r="R175" s="11">
        <f t="shared" si="42"/>
        <v>14.999450835817715</v>
      </c>
      <c r="S175" s="6">
        <v>0</v>
      </c>
      <c r="T175" s="6">
        <v>1</v>
      </c>
      <c r="U175" s="6">
        <v>1</v>
      </c>
      <c r="V175" s="7">
        <v>0</v>
      </c>
      <c r="W175" s="9">
        <f t="shared" si="55"/>
        <v>76</v>
      </c>
      <c r="X175" s="10">
        <f t="shared" si="50"/>
        <v>6</v>
      </c>
      <c r="Y175" s="12">
        <f t="shared" si="43"/>
        <v>501.46958991482109</v>
      </c>
      <c r="Z175" s="11">
        <f t="shared" si="44"/>
        <v>17.691491892035774</v>
      </c>
      <c r="AA175" s="6">
        <v>0</v>
      </c>
      <c r="AB175" s="6">
        <v>0</v>
      </c>
      <c r="AC175" s="6">
        <v>0</v>
      </c>
      <c r="AD175" s="7">
        <v>1</v>
      </c>
      <c r="AE175" s="9">
        <f t="shared" si="56"/>
        <v>77</v>
      </c>
      <c r="AF175" s="10">
        <f t="shared" si="51"/>
        <v>8</v>
      </c>
      <c r="AG175" s="12">
        <f t="shared" si="45"/>
        <v>507.21261083475304</v>
      </c>
      <c r="AH175" s="11">
        <f t="shared" si="46"/>
        <v>17.859744458049406</v>
      </c>
      <c r="AJ175" s="6">
        <f t="shared" si="52"/>
        <v>1000</v>
      </c>
      <c r="AK175" s="4">
        <v>158</v>
      </c>
      <c r="AM175" s="2" t="str">
        <f t="shared" si="47"/>
        <v>6</v>
      </c>
      <c r="AN175" s="2" t="str">
        <f t="shared" si="53"/>
        <v>3E8</v>
      </c>
      <c r="AO175" s="2"/>
      <c r="AP175" s="2" t="str">
        <f t="shared" si="54"/>
        <v>63E8</v>
      </c>
    </row>
    <row r="176" spans="1:42" x14ac:dyDescent="0.2">
      <c r="A176">
        <v>159</v>
      </c>
      <c r="B176">
        <v>15.8</v>
      </c>
      <c r="C176" s="6">
        <v>0</v>
      </c>
      <c r="D176" s="6">
        <v>1</v>
      </c>
      <c r="E176" s="6">
        <v>1</v>
      </c>
      <c r="F176" s="7">
        <v>0</v>
      </c>
      <c r="G176" s="9">
        <v>100</v>
      </c>
      <c r="H176" s="10">
        <f t="shared" si="48"/>
        <v>6</v>
      </c>
      <c r="I176" s="12">
        <f t="shared" si="39"/>
        <v>639.30209199318563</v>
      </c>
      <c r="J176" s="11">
        <f t="shared" si="40"/>
        <v>21.729553476362859</v>
      </c>
      <c r="K176" s="6">
        <v>0</v>
      </c>
      <c r="L176" s="6">
        <v>1</v>
      </c>
      <c r="M176" s="6">
        <v>1</v>
      </c>
      <c r="N176" s="7">
        <v>0</v>
      </c>
      <c r="O176" s="9">
        <v>60</v>
      </c>
      <c r="P176" s="10">
        <f t="shared" si="49"/>
        <v>6</v>
      </c>
      <c r="Q176" s="12">
        <f t="shared" si="41"/>
        <v>409.58125519591135</v>
      </c>
      <c r="R176" s="11">
        <f t="shared" si="42"/>
        <v>14.999450835817715</v>
      </c>
      <c r="S176" s="6">
        <v>0</v>
      </c>
      <c r="T176" s="6">
        <v>1</v>
      </c>
      <c r="U176" s="6">
        <v>1</v>
      </c>
      <c r="V176" s="7">
        <v>0</v>
      </c>
      <c r="W176" s="9">
        <f t="shared" si="55"/>
        <v>80</v>
      </c>
      <c r="X176" s="10">
        <f t="shared" si="50"/>
        <v>6</v>
      </c>
      <c r="Y176" s="12">
        <f t="shared" si="43"/>
        <v>524.44167359454855</v>
      </c>
      <c r="Z176" s="11">
        <f t="shared" si="44"/>
        <v>18.364502156090289</v>
      </c>
      <c r="AA176" s="6">
        <v>0</v>
      </c>
      <c r="AB176" s="6">
        <v>0</v>
      </c>
      <c r="AC176" s="6">
        <v>0</v>
      </c>
      <c r="AD176" s="7">
        <v>1</v>
      </c>
      <c r="AE176" s="9">
        <f t="shared" si="56"/>
        <v>80</v>
      </c>
      <c r="AF176" s="10">
        <f t="shared" si="51"/>
        <v>8</v>
      </c>
      <c r="AG176" s="12">
        <f t="shared" si="45"/>
        <v>524.44167359454855</v>
      </c>
      <c r="AH176" s="11">
        <f t="shared" si="46"/>
        <v>18.364502156090289</v>
      </c>
      <c r="AJ176" s="6">
        <f t="shared" si="52"/>
        <v>1000</v>
      </c>
      <c r="AK176" s="4">
        <v>159</v>
      </c>
      <c r="AM176" s="2" t="str">
        <f t="shared" si="47"/>
        <v>6</v>
      </c>
      <c r="AN176" s="2" t="str">
        <f t="shared" si="53"/>
        <v>3E8</v>
      </c>
      <c r="AO176" s="2"/>
      <c r="AP176" s="2" t="str">
        <f t="shared" si="54"/>
        <v>63E8</v>
      </c>
    </row>
    <row r="177" spans="1:42" x14ac:dyDescent="0.2">
      <c r="A177">
        <v>160</v>
      </c>
      <c r="B177">
        <v>15.9</v>
      </c>
      <c r="C177" s="6">
        <v>0</v>
      </c>
      <c r="D177" s="6">
        <v>1</v>
      </c>
      <c r="E177" s="6">
        <v>1</v>
      </c>
      <c r="F177" s="7">
        <v>0</v>
      </c>
      <c r="G177" s="9">
        <v>100</v>
      </c>
      <c r="H177" s="10">
        <f t="shared" si="48"/>
        <v>6</v>
      </c>
      <c r="I177" s="12">
        <f t="shared" si="39"/>
        <v>639.30209199318563</v>
      </c>
      <c r="J177" s="11">
        <f t="shared" si="40"/>
        <v>21.729553476362859</v>
      </c>
      <c r="K177" s="6">
        <v>0</v>
      </c>
      <c r="L177" s="6">
        <v>1</v>
      </c>
      <c r="M177" s="6">
        <v>1</v>
      </c>
      <c r="N177" s="7">
        <v>0</v>
      </c>
      <c r="O177" s="9">
        <v>60</v>
      </c>
      <c r="P177" s="10">
        <f t="shared" si="49"/>
        <v>6</v>
      </c>
      <c r="Q177" s="12">
        <f t="shared" si="41"/>
        <v>409.58125519591135</v>
      </c>
      <c r="R177" s="11">
        <f t="shared" si="42"/>
        <v>14.999450835817715</v>
      </c>
      <c r="S177" s="6">
        <v>0</v>
      </c>
      <c r="T177" s="6">
        <v>1</v>
      </c>
      <c r="U177" s="6">
        <v>1</v>
      </c>
      <c r="V177" s="7">
        <v>0</v>
      </c>
      <c r="W177" s="9">
        <v>80</v>
      </c>
      <c r="X177" s="10">
        <f t="shared" si="50"/>
        <v>6</v>
      </c>
      <c r="Y177" s="12">
        <f t="shared" si="43"/>
        <v>524.44167359454855</v>
      </c>
      <c r="Z177" s="11">
        <f t="shared" si="44"/>
        <v>18.364502156090289</v>
      </c>
      <c r="AA177" s="6">
        <v>0</v>
      </c>
      <c r="AB177" s="6">
        <v>0</v>
      </c>
      <c r="AC177" s="6">
        <v>0</v>
      </c>
      <c r="AD177" s="7">
        <v>1</v>
      </c>
      <c r="AE177" s="9">
        <v>80</v>
      </c>
      <c r="AF177" s="10">
        <f t="shared" si="51"/>
        <v>8</v>
      </c>
      <c r="AG177" s="12">
        <f t="shared" si="45"/>
        <v>524.44167359454855</v>
      </c>
      <c r="AH177" s="11">
        <f t="shared" si="46"/>
        <v>18.364502156090289</v>
      </c>
      <c r="AJ177" s="6">
        <f t="shared" si="52"/>
        <v>1000</v>
      </c>
      <c r="AK177" s="4">
        <v>160</v>
      </c>
      <c r="AM177" s="2" t="str">
        <f t="shared" si="47"/>
        <v>6</v>
      </c>
      <c r="AN177" s="2" t="str">
        <f t="shared" si="53"/>
        <v>3E8</v>
      </c>
      <c r="AO177" s="2"/>
      <c r="AP177" s="2" t="str">
        <f t="shared" si="54"/>
        <v>63E8</v>
      </c>
    </row>
    <row r="178" spans="1:42" x14ac:dyDescent="0.2">
      <c r="A178">
        <v>161</v>
      </c>
      <c r="B178">
        <v>16</v>
      </c>
      <c r="C178" s="6">
        <v>0</v>
      </c>
      <c r="D178" s="6">
        <v>1</v>
      </c>
      <c r="E178" s="6">
        <v>1</v>
      </c>
      <c r="F178" s="7">
        <v>0</v>
      </c>
      <c r="G178" s="9">
        <v>100</v>
      </c>
      <c r="H178" s="10">
        <f t="shared" si="48"/>
        <v>6</v>
      </c>
      <c r="I178" s="12">
        <f t="shared" si="39"/>
        <v>639.30209199318563</v>
      </c>
      <c r="J178" s="11">
        <f t="shared" si="40"/>
        <v>21.729553476362859</v>
      </c>
      <c r="K178" s="6">
        <v>0</v>
      </c>
      <c r="L178" s="6">
        <v>1</v>
      </c>
      <c r="M178" s="6">
        <v>1</v>
      </c>
      <c r="N178" s="7">
        <v>0</v>
      </c>
      <c r="O178" s="9">
        <v>60</v>
      </c>
      <c r="P178" s="10">
        <f t="shared" si="49"/>
        <v>6</v>
      </c>
      <c r="Q178" s="12">
        <f t="shared" si="41"/>
        <v>409.58125519591135</v>
      </c>
      <c r="R178" s="11">
        <f t="shared" si="42"/>
        <v>14.999450835817715</v>
      </c>
      <c r="S178" s="6">
        <v>0</v>
      </c>
      <c r="T178" s="6">
        <v>1</v>
      </c>
      <c r="U178" s="6">
        <v>1</v>
      </c>
      <c r="V178" s="7">
        <v>0</v>
      </c>
      <c r="W178" s="9">
        <v>80</v>
      </c>
      <c r="X178" s="10">
        <f t="shared" si="50"/>
        <v>6</v>
      </c>
      <c r="Y178" s="12">
        <f t="shared" si="43"/>
        <v>524.44167359454855</v>
      </c>
      <c r="Z178" s="11">
        <f t="shared" si="44"/>
        <v>18.364502156090289</v>
      </c>
      <c r="AA178" s="6">
        <v>0</v>
      </c>
      <c r="AB178" s="6">
        <v>0</v>
      </c>
      <c r="AC178" s="6">
        <v>0</v>
      </c>
      <c r="AD178" s="7">
        <v>1</v>
      </c>
      <c r="AE178" s="9">
        <v>80</v>
      </c>
      <c r="AF178" s="10">
        <f t="shared" si="51"/>
        <v>8</v>
      </c>
      <c r="AG178" s="12">
        <f t="shared" si="45"/>
        <v>524.44167359454855</v>
      </c>
      <c r="AH178" s="11">
        <f t="shared" si="46"/>
        <v>18.364502156090289</v>
      </c>
      <c r="AJ178" s="6">
        <f t="shared" si="52"/>
        <v>1000</v>
      </c>
      <c r="AK178" s="4">
        <v>161</v>
      </c>
      <c r="AM178" s="2" t="str">
        <f t="shared" si="47"/>
        <v>6</v>
      </c>
      <c r="AN178" s="2" t="str">
        <f t="shared" si="53"/>
        <v>3E8</v>
      </c>
      <c r="AO178" s="2"/>
      <c r="AP178" s="2" t="str">
        <f t="shared" si="54"/>
        <v>63E8</v>
      </c>
    </row>
    <row r="179" spans="1:42" x14ac:dyDescent="0.2">
      <c r="A179">
        <v>162</v>
      </c>
      <c r="B179">
        <v>16.100000000000001</v>
      </c>
      <c r="C179" s="6">
        <v>0</v>
      </c>
      <c r="D179" s="6">
        <v>1</v>
      </c>
      <c r="E179" s="6">
        <v>1</v>
      </c>
      <c r="F179" s="7">
        <v>0</v>
      </c>
      <c r="G179" s="9">
        <v>100</v>
      </c>
      <c r="H179" s="10">
        <f t="shared" si="48"/>
        <v>6</v>
      </c>
      <c r="I179" s="12">
        <f t="shared" si="39"/>
        <v>639.30209199318563</v>
      </c>
      <c r="J179" s="11">
        <f t="shared" si="40"/>
        <v>21.729553476362859</v>
      </c>
      <c r="K179" s="6">
        <v>0</v>
      </c>
      <c r="L179" s="6">
        <v>1</v>
      </c>
      <c r="M179" s="6">
        <v>1</v>
      </c>
      <c r="N179" s="7">
        <v>0</v>
      </c>
      <c r="O179" s="9">
        <v>60</v>
      </c>
      <c r="P179" s="10">
        <f t="shared" si="49"/>
        <v>6</v>
      </c>
      <c r="Q179" s="12">
        <f t="shared" si="41"/>
        <v>409.58125519591135</v>
      </c>
      <c r="R179" s="11">
        <f t="shared" si="42"/>
        <v>14.999450835817715</v>
      </c>
      <c r="S179" s="6">
        <v>0</v>
      </c>
      <c r="T179" s="6">
        <v>1</v>
      </c>
      <c r="U179" s="6">
        <v>1</v>
      </c>
      <c r="V179" s="7">
        <v>0</v>
      </c>
      <c r="W179" s="9">
        <v>80</v>
      </c>
      <c r="X179" s="10">
        <f t="shared" si="50"/>
        <v>6</v>
      </c>
      <c r="Y179" s="12">
        <f t="shared" si="43"/>
        <v>524.44167359454855</v>
      </c>
      <c r="Z179" s="11">
        <f t="shared" si="44"/>
        <v>18.364502156090289</v>
      </c>
      <c r="AA179" s="6">
        <v>0</v>
      </c>
      <c r="AB179" s="6">
        <v>0</v>
      </c>
      <c r="AC179" s="6">
        <v>0</v>
      </c>
      <c r="AD179" s="7">
        <v>1</v>
      </c>
      <c r="AE179" s="9">
        <v>80</v>
      </c>
      <c r="AF179" s="10">
        <f t="shared" si="51"/>
        <v>8</v>
      </c>
      <c r="AG179" s="12">
        <f t="shared" si="45"/>
        <v>524.44167359454855</v>
      </c>
      <c r="AH179" s="11">
        <f t="shared" si="46"/>
        <v>18.364502156090289</v>
      </c>
      <c r="AJ179" s="6">
        <f t="shared" si="52"/>
        <v>1000</v>
      </c>
      <c r="AK179" s="4">
        <v>162</v>
      </c>
      <c r="AM179" s="2" t="str">
        <f t="shared" si="47"/>
        <v>6</v>
      </c>
      <c r="AN179" s="2" t="str">
        <f t="shared" si="53"/>
        <v>3E8</v>
      </c>
      <c r="AO179" s="2"/>
      <c r="AP179" s="2" t="str">
        <f t="shared" si="54"/>
        <v>63E8</v>
      </c>
    </row>
    <row r="180" spans="1:42" x14ac:dyDescent="0.2">
      <c r="A180">
        <v>163</v>
      </c>
      <c r="B180">
        <v>16.2</v>
      </c>
      <c r="C180" s="6">
        <v>0</v>
      </c>
      <c r="D180" s="6">
        <v>1</v>
      </c>
      <c r="E180" s="6">
        <v>1</v>
      </c>
      <c r="F180" s="7">
        <v>0</v>
      </c>
      <c r="G180" s="9">
        <v>100</v>
      </c>
      <c r="H180" s="10">
        <f t="shared" si="48"/>
        <v>6</v>
      </c>
      <c r="I180" s="12">
        <f t="shared" si="39"/>
        <v>639.30209199318563</v>
      </c>
      <c r="J180" s="11">
        <f t="shared" si="40"/>
        <v>21.729553476362859</v>
      </c>
      <c r="K180" s="6">
        <v>0</v>
      </c>
      <c r="L180" s="6">
        <v>1</v>
      </c>
      <c r="M180" s="6">
        <v>1</v>
      </c>
      <c r="N180" s="7">
        <v>0</v>
      </c>
      <c r="O180" s="9">
        <v>60</v>
      </c>
      <c r="P180" s="10">
        <f t="shared" si="49"/>
        <v>6</v>
      </c>
      <c r="Q180" s="12">
        <f t="shared" si="41"/>
        <v>409.58125519591135</v>
      </c>
      <c r="R180" s="11">
        <f t="shared" si="42"/>
        <v>14.999450835817715</v>
      </c>
      <c r="S180" s="6">
        <v>0</v>
      </c>
      <c r="T180" s="6">
        <v>1</v>
      </c>
      <c r="U180" s="6">
        <v>1</v>
      </c>
      <c r="V180" s="7">
        <v>0</v>
      </c>
      <c r="W180" s="9">
        <v>80</v>
      </c>
      <c r="X180" s="10">
        <f t="shared" si="50"/>
        <v>6</v>
      </c>
      <c r="Y180" s="12">
        <f t="shared" si="43"/>
        <v>524.44167359454855</v>
      </c>
      <c r="Z180" s="11">
        <f t="shared" si="44"/>
        <v>18.364502156090289</v>
      </c>
      <c r="AA180" s="6">
        <v>0</v>
      </c>
      <c r="AB180" s="6">
        <v>0</v>
      </c>
      <c r="AC180" s="6">
        <v>0</v>
      </c>
      <c r="AD180" s="7">
        <v>1</v>
      </c>
      <c r="AE180" s="9">
        <v>80</v>
      </c>
      <c r="AF180" s="10">
        <f t="shared" si="51"/>
        <v>8</v>
      </c>
      <c r="AG180" s="12">
        <f t="shared" si="45"/>
        <v>524.44167359454855</v>
      </c>
      <c r="AH180" s="11">
        <f t="shared" si="46"/>
        <v>18.364502156090289</v>
      </c>
      <c r="AJ180" s="6">
        <f t="shared" si="52"/>
        <v>1000</v>
      </c>
      <c r="AK180" s="4">
        <v>163</v>
      </c>
      <c r="AM180" s="2" t="str">
        <f t="shared" si="47"/>
        <v>6</v>
      </c>
      <c r="AN180" s="2" t="str">
        <f t="shared" si="53"/>
        <v>3E8</v>
      </c>
      <c r="AO180" s="2"/>
      <c r="AP180" s="2" t="str">
        <f t="shared" si="54"/>
        <v>63E8</v>
      </c>
    </row>
    <row r="181" spans="1:42" x14ac:dyDescent="0.2">
      <c r="A181">
        <v>164</v>
      </c>
      <c r="B181">
        <v>16.3</v>
      </c>
      <c r="C181" s="6">
        <v>0</v>
      </c>
      <c r="D181" s="6">
        <v>1</v>
      </c>
      <c r="E181" s="6">
        <v>1</v>
      </c>
      <c r="F181" s="7">
        <v>0</v>
      </c>
      <c r="G181" s="9">
        <v>100</v>
      </c>
      <c r="H181" s="10">
        <f t="shared" si="48"/>
        <v>6</v>
      </c>
      <c r="I181" s="12">
        <f t="shared" si="39"/>
        <v>639.30209199318563</v>
      </c>
      <c r="J181" s="11">
        <f t="shared" si="40"/>
        <v>21.729553476362859</v>
      </c>
      <c r="K181" s="6">
        <v>0</v>
      </c>
      <c r="L181" s="6">
        <v>1</v>
      </c>
      <c r="M181" s="6">
        <v>1</v>
      </c>
      <c r="N181" s="7">
        <v>0</v>
      </c>
      <c r="O181" s="9">
        <v>60</v>
      </c>
      <c r="P181" s="10">
        <f t="shared" si="49"/>
        <v>6</v>
      </c>
      <c r="Q181" s="12">
        <f t="shared" si="41"/>
        <v>409.58125519591135</v>
      </c>
      <c r="R181" s="11">
        <f t="shared" si="42"/>
        <v>14.999450835817715</v>
      </c>
      <c r="S181" s="6">
        <v>0</v>
      </c>
      <c r="T181" s="6">
        <v>1</v>
      </c>
      <c r="U181" s="6">
        <v>1</v>
      </c>
      <c r="V181" s="7">
        <v>0</v>
      </c>
      <c r="W181" s="9">
        <v>80</v>
      </c>
      <c r="X181" s="10">
        <f t="shared" si="50"/>
        <v>6</v>
      </c>
      <c r="Y181" s="12">
        <f t="shared" si="43"/>
        <v>524.44167359454855</v>
      </c>
      <c r="Z181" s="11">
        <f t="shared" si="44"/>
        <v>18.364502156090289</v>
      </c>
      <c r="AA181" s="6">
        <v>0</v>
      </c>
      <c r="AB181" s="6">
        <v>0</v>
      </c>
      <c r="AC181" s="6">
        <v>0</v>
      </c>
      <c r="AD181" s="7">
        <v>1</v>
      </c>
      <c r="AE181" s="9">
        <v>80</v>
      </c>
      <c r="AF181" s="10">
        <f t="shared" si="51"/>
        <v>8</v>
      </c>
      <c r="AG181" s="12">
        <f t="shared" si="45"/>
        <v>524.44167359454855</v>
      </c>
      <c r="AH181" s="11">
        <f t="shared" si="46"/>
        <v>18.364502156090289</v>
      </c>
      <c r="AJ181" s="6">
        <f t="shared" si="52"/>
        <v>1000</v>
      </c>
      <c r="AK181" s="4">
        <v>164</v>
      </c>
      <c r="AM181" s="2" t="str">
        <f t="shared" si="47"/>
        <v>6</v>
      </c>
      <c r="AN181" s="2" t="str">
        <f t="shared" si="53"/>
        <v>3E8</v>
      </c>
      <c r="AO181" s="2"/>
      <c r="AP181" s="2" t="str">
        <f t="shared" si="54"/>
        <v>63E8</v>
      </c>
    </row>
    <row r="182" spans="1:42" x14ac:dyDescent="0.2">
      <c r="A182">
        <v>165</v>
      </c>
      <c r="B182">
        <v>16.399999999999999</v>
      </c>
      <c r="C182" s="6">
        <v>0</v>
      </c>
      <c r="D182" s="6">
        <v>1</v>
      </c>
      <c r="E182" s="6">
        <v>1</v>
      </c>
      <c r="F182" s="7">
        <v>0</v>
      </c>
      <c r="G182" s="9">
        <v>100</v>
      </c>
      <c r="H182" s="10">
        <f t="shared" si="48"/>
        <v>6</v>
      </c>
      <c r="I182" s="12">
        <f t="shared" si="39"/>
        <v>639.30209199318563</v>
      </c>
      <c r="J182" s="11">
        <f t="shared" si="40"/>
        <v>21.729553476362859</v>
      </c>
      <c r="K182" s="6">
        <v>0</v>
      </c>
      <c r="L182" s="6">
        <v>1</v>
      </c>
      <c r="M182" s="6">
        <v>1</v>
      </c>
      <c r="N182" s="7">
        <v>0</v>
      </c>
      <c r="O182" s="9">
        <v>60</v>
      </c>
      <c r="P182" s="10">
        <f t="shared" si="49"/>
        <v>6</v>
      </c>
      <c r="Q182" s="12">
        <f t="shared" si="41"/>
        <v>409.58125519591135</v>
      </c>
      <c r="R182" s="11">
        <f t="shared" si="42"/>
        <v>14.999450835817715</v>
      </c>
      <c r="S182" s="6">
        <v>0</v>
      </c>
      <c r="T182" s="6">
        <v>1</v>
      </c>
      <c r="U182" s="6">
        <v>1</v>
      </c>
      <c r="V182" s="7">
        <v>0</v>
      </c>
      <c r="W182" s="9">
        <v>80</v>
      </c>
      <c r="X182" s="10">
        <f t="shared" si="50"/>
        <v>6</v>
      </c>
      <c r="Y182" s="12">
        <f t="shared" si="43"/>
        <v>524.44167359454855</v>
      </c>
      <c r="Z182" s="11">
        <f t="shared" si="44"/>
        <v>18.364502156090289</v>
      </c>
      <c r="AA182" s="6">
        <v>0</v>
      </c>
      <c r="AB182" s="6">
        <v>0</v>
      </c>
      <c r="AC182" s="6">
        <v>0</v>
      </c>
      <c r="AD182" s="7">
        <v>1</v>
      </c>
      <c r="AE182" s="9">
        <v>80</v>
      </c>
      <c r="AF182" s="10">
        <f t="shared" si="51"/>
        <v>8</v>
      </c>
      <c r="AG182" s="12">
        <f t="shared" si="45"/>
        <v>524.44167359454855</v>
      </c>
      <c r="AH182" s="11">
        <f t="shared" si="46"/>
        <v>18.364502156090289</v>
      </c>
      <c r="AJ182" s="6">
        <f t="shared" si="52"/>
        <v>1000</v>
      </c>
      <c r="AK182" s="4">
        <v>165</v>
      </c>
      <c r="AM182" s="2" t="str">
        <f t="shared" si="47"/>
        <v>6</v>
      </c>
      <c r="AN182" s="2" t="str">
        <f t="shared" si="53"/>
        <v>3E8</v>
      </c>
      <c r="AO182" s="2"/>
      <c r="AP182" s="2" t="str">
        <f t="shared" si="54"/>
        <v>63E8</v>
      </c>
    </row>
    <row r="183" spans="1:42" x14ac:dyDescent="0.2">
      <c r="A183">
        <v>166</v>
      </c>
      <c r="B183">
        <v>16.5</v>
      </c>
      <c r="C183" s="6">
        <v>0</v>
      </c>
      <c r="D183" s="6">
        <v>1</v>
      </c>
      <c r="E183" s="6">
        <v>1</v>
      </c>
      <c r="F183" s="7">
        <v>0</v>
      </c>
      <c r="G183" s="9">
        <v>100</v>
      </c>
      <c r="H183" s="10">
        <f t="shared" si="48"/>
        <v>6</v>
      </c>
      <c r="I183" s="12">
        <f t="shared" si="39"/>
        <v>639.30209199318563</v>
      </c>
      <c r="J183" s="11">
        <f t="shared" si="40"/>
        <v>21.729553476362859</v>
      </c>
      <c r="K183" s="6">
        <v>0</v>
      </c>
      <c r="L183" s="6">
        <v>1</v>
      </c>
      <c r="M183" s="6">
        <v>1</v>
      </c>
      <c r="N183" s="7">
        <v>0</v>
      </c>
      <c r="O183" s="9">
        <v>60</v>
      </c>
      <c r="P183" s="10">
        <f t="shared" si="49"/>
        <v>6</v>
      </c>
      <c r="Q183" s="12">
        <f t="shared" si="41"/>
        <v>409.58125519591135</v>
      </c>
      <c r="R183" s="11">
        <f t="shared" si="42"/>
        <v>14.999450835817715</v>
      </c>
      <c r="S183" s="6">
        <v>0</v>
      </c>
      <c r="T183" s="6">
        <v>1</v>
      </c>
      <c r="U183" s="6">
        <v>1</v>
      </c>
      <c r="V183" s="7">
        <v>0</v>
      </c>
      <c r="W183" s="9">
        <v>80</v>
      </c>
      <c r="X183" s="10">
        <f t="shared" si="50"/>
        <v>6</v>
      </c>
      <c r="Y183" s="12">
        <f t="shared" si="43"/>
        <v>524.44167359454855</v>
      </c>
      <c r="Z183" s="11">
        <f t="shared" si="44"/>
        <v>18.364502156090289</v>
      </c>
      <c r="AA183" s="6">
        <v>0</v>
      </c>
      <c r="AB183" s="6">
        <v>0</v>
      </c>
      <c r="AC183" s="6">
        <v>0</v>
      </c>
      <c r="AD183" s="7">
        <v>1</v>
      </c>
      <c r="AE183" s="9">
        <v>80</v>
      </c>
      <c r="AF183" s="10">
        <f t="shared" si="51"/>
        <v>8</v>
      </c>
      <c r="AG183" s="12">
        <f t="shared" si="45"/>
        <v>524.44167359454855</v>
      </c>
      <c r="AH183" s="11">
        <f t="shared" si="46"/>
        <v>18.364502156090289</v>
      </c>
      <c r="AJ183" s="6">
        <f t="shared" si="52"/>
        <v>1000</v>
      </c>
      <c r="AK183" s="4">
        <v>166</v>
      </c>
      <c r="AM183" s="2" t="str">
        <f t="shared" si="47"/>
        <v>6</v>
      </c>
      <c r="AN183" s="2" t="str">
        <f t="shared" si="53"/>
        <v>3E8</v>
      </c>
      <c r="AO183" s="2"/>
      <c r="AP183" s="2" t="str">
        <f t="shared" si="54"/>
        <v>63E8</v>
      </c>
    </row>
    <row r="184" spans="1:42" x14ac:dyDescent="0.2">
      <c r="A184">
        <v>167</v>
      </c>
      <c r="B184">
        <v>16.600000000000001</v>
      </c>
      <c r="C184" s="6">
        <v>0</v>
      </c>
      <c r="D184" s="6">
        <v>1</v>
      </c>
      <c r="E184" s="6">
        <v>1</v>
      </c>
      <c r="F184" s="7">
        <v>0</v>
      </c>
      <c r="G184" s="9">
        <v>100</v>
      </c>
      <c r="H184" s="10">
        <f t="shared" si="48"/>
        <v>6</v>
      </c>
      <c r="I184" s="12">
        <f t="shared" si="39"/>
        <v>639.30209199318563</v>
      </c>
      <c r="J184" s="11">
        <f t="shared" si="40"/>
        <v>21.729553476362859</v>
      </c>
      <c r="K184" s="6">
        <v>0</v>
      </c>
      <c r="L184" s="6">
        <v>1</v>
      </c>
      <c r="M184" s="6">
        <v>1</v>
      </c>
      <c r="N184" s="7">
        <v>0</v>
      </c>
      <c r="O184" s="9">
        <v>60</v>
      </c>
      <c r="P184" s="10">
        <f t="shared" si="49"/>
        <v>6</v>
      </c>
      <c r="Q184" s="12">
        <f t="shared" si="41"/>
        <v>409.58125519591135</v>
      </c>
      <c r="R184" s="11">
        <f t="shared" si="42"/>
        <v>14.999450835817715</v>
      </c>
      <c r="S184" s="6">
        <v>0</v>
      </c>
      <c r="T184" s="6">
        <v>1</v>
      </c>
      <c r="U184" s="6">
        <v>1</v>
      </c>
      <c r="V184" s="7">
        <v>0</v>
      </c>
      <c r="W184" s="9">
        <v>80</v>
      </c>
      <c r="X184" s="10">
        <f t="shared" si="50"/>
        <v>6</v>
      </c>
      <c r="Y184" s="12">
        <f t="shared" si="43"/>
        <v>524.44167359454855</v>
      </c>
      <c r="Z184" s="11">
        <f t="shared" si="44"/>
        <v>18.364502156090289</v>
      </c>
      <c r="AA184" s="6">
        <v>0</v>
      </c>
      <c r="AB184" s="6">
        <v>0</v>
      </c>
      <c r="AC184" s="6">
        <v>0</v>
      </c>
      <c r="AD184" s="7">
        <v>1</v>
      </c>
      <c r="AE184" s="9">
        <v>80</v>
      </c>
      <c r="AF184" s="10">
        <f t="shared" si="51"/>
        <v>8</v>
      </c>
      <c r="AG184" s="12">
        <f t="shared" si="45"/>
        <v>524.44167359454855</v>
      </c>
      <c r="AH184" s="11">
        <f t="shared" si="46"/>
        <v>18.364502156090289</v>
      </c>
      <c r="AJ184" s="6">
        <f t="shared" si="52"/>
        <v>1000</v>
      </c>
      <c r="AK184" s="4">
        <v>167</v>
      </c>
      <c r="AM184" s="2" t="str">
        <f t="shared" si="47"/>
        <v>6</v>
      </c>
      <c r="AN184" s="2" t="str">
        <f t="shared" si="53"/>
        <v>3E8</v>
      </c>
      <c r="AO184" s="2"/>
      <c r="AP184" s="2" t="str">
        <f t="shared" si="54"/>
        <v>63E8</v>
      </c>
    </row>
    <row r="185" spans="1:42" x14ac:dyDescent="0.2">
      <c r="A185">
        <v>168</v>
      </c>
      <c r="B185">
        <v>16.7</v>
      </c>
      <c r="C185" s="6">
        <v>0</v>
      </c>
      <c r="D185" s="6">
        <v>1</v>
      </c>
      <c r="E185" s="6">
        <v>1</v>
      </c>
      <c r="F185" s="7">
        <v>0</v>
      </c>
      <c r="G185" s="9">
        <v>100</v>
      </c>
      <c r="H185" s="10">
        <f t="shared" si="48"/>
        <v>6</v>
      </c>
      <c r="I185" s="12">
        <f t="shared" si="39"/>
        <v>639.30209199318563</v>
      </c>
      <c r="J185" s="11">
        <f t="shared" si="40"/>
        <v>21.729553476362859</v>
      </c>
      <c r="K185" s="6">
        <v>0</v>
      </c>
      <c r="L185" s="6">
        <v>1</v>
      </c>
      <c r="M185" s="6">
        <v>1</v>
      </c>
      <c r="N185" s="7">
        <v>0</v>
      </c>
      <c r="O185" s="9">
        <v>60</v>
      </c>
      <c r="P185" s="10">
        <f t="shared" si="49"/>
        <v>6</v>
      </c>
      <c r="Q185" s="12">
        <f t="shared" si="41"/>
        <v>409.58125519591135</v>
      </c>
      <c r="R185" s="11">
        <f t="shared" si="42"/>
        <v>14.999450835817715</v>
      </c>
      <c r="S185" s="6">
        <v>0</v>
      </c>
      <c r="T185" s="6">
        <v>1</v>
      </c>
      <c r="U185" s="6">
        <v>1</v>
      </c>
      <c r="V185" s="7">
        <v>0</v>
      </c>
      <c r="W185" s="9">
        <v>80</v>
      </c>
      <c r="X185" s="10">
        <f t="shared" si="50"/>
        <v>6</v>
      </c>
      <c r="Y185" s="12">
        <f t="shared" si="43"/>
        <v>524.44167359454855</v>
      </c>
      <c r="Z185" s="11">
        <f t="shared" si="44"/>
        <v>18.364502156090289</v>
      </c>
      <c r="AA185" s="6">
        <v>0</v>
      </c>
      <c r="AB185" s="6">
        <v>0</v>
      </c>
      <c r="AC185" s="6">
        <v>0</v>
      </c>
      <c r="AD185" s="7">
        <v>1</v>
      </c>
      <c r="AE185" s="9">
        <v>80</v>
      </c>
      <c r="AF185" s="10">
        <f t="shared" si="51"/>
        <v>8</v>
      </c>
      <c r="AG185" s="12">
        <f t="shared" si="45"/>
        <v>524.44167359454855</v>
      </c>
      <c r="AH185" s="11">
        <f t="shared" si="46"/>
        <v>18.364502156090289</v>
      </c>
      <c r="AJ185" s="6">
        <f t="shared" si="52"/>
        <v>1000</v>
      </c>
      <c r="AK185" s="4">
        <v>168</v>
      </c>
      <c r="AM185" s="2" t="str">
        <f t="shared" si="47"/>
        <v>6</v>
      </c>
      <c r="AN185" s="2" t="str">
        <f t="shared" si="53"/>
        <v>3E8</v>
      </c>
      <c r="AO185" s="2"/>
      <c r="AP185" s="2" t="str">
        <f t="shared" si="54"/>
        <v>63E8</v>
      </c>
    </row>
    <row r="186" spans="1:42" x14ac:dyDescent="0.2">
      <c r="A186">
        <v>169</v>
      </c>
      <c r="B186">
        <v>16.8</v>
      </c>
      <c r="C186" s="6">
        <v>0</v>
      </c>
      <c r="D186" s="6">
        <v>1</v>
      </c>
      <c r="E186" s="6">
        <v>1</v>
      </c>
      <c r="F186" s="7">
        <v>0</v>
      </c>
      <c r="G186" s="9">
        <v>100</v>
      </c>
      <c r="H186" s="10">
        <f t="shared" si="48"/>
        <v>6</v>
      </c>
      <c r="I186" s="12">
        <f t="shared" si="39"/>
        <v>639.30209199318563</v>
      </c>
      <c r="J186" s="11">
        <f t="shared" si="40"/>
        <v>21.729553476362859</v>
      </c>
      <c r="K186" s="6">
        <v>0</v>
      </c>
      <c r="L186" s="6">
        <v>1</v>
      </c>
      <c r="M186" s="6">
        <v>1</v>
      </c>
      <c r="N186" s="7">
        <v>0</v>
      </c>
      <c r="O186" s="9">
        <v>60</v>
      </c>
      <c r="P186" s="10">
        <f t="shared" si="49"/>
        <v>6</v>
      </c>
      <c r="Q186" s="12">
        <f t="shared" si="41"/>
        <v>409.58125519591135</v>
      </c>
      <c r="R186" s="11">
        <f t="shared" si="42"/>
        <v>14.999450835817715</v>
      </c>
      <c r="S186" s="6">
        <v>0</v>
      </c>
      <c r="T186" s="6">
        <v>1</v>
      </c>
      <c r="U186" s="6">
        <v>1</v>
      </c>
      <c r="V186" s="7">
        <v>0</v>
      </c>
      <c r="W186" s="9">
        <v>80</v>
      </c>
      <c r="X186" s="10">
        <f t="shared" si="50"/>
        <v>6</v>
      </c>
      <c r="Y186" s="12">
        <f t="shared" si="43"/>
        <v>524.44167359454855</v>
      </c>
      <c r="Z186" s="11">
        <f t="shared" si="44"/>
        <v>18.364502156090289</v>
      </c>
      <c r="AA186" s="6">
        <v>0</v>
      </c>
      <c r="AB186" s="6">
        <v>0</v>
      </c>
      <c r="AC186" s="6">
        <v>0</v>
      </c>
      <c r="AD186" s="7">
        <v>1</v>
      </c>
      <c r="AE186" s="9">
        <v>80</v>
      </c>
      <c r="AF186" s="10">
        <f t="shared" si="51"/>
        <v>8</v>
      </c>
      <c r="AG186" s="12">
        <f t="shared" si="45"/>
        <v>524.44167359454855</v>
      </c>
      <c r="AH186" s="11">
        <f t="shared" si="46"/>
        <v>18.364502156090289</v>
      </c>
      <c r="AJ186" s="6">
        <f t="shared" si="52"/>
        <v>1000</v>
      </c>
      <c r="AK186" s="4">
        <v>169</v>
      </c>
      <c r="AM186" s="2" t="str">
        <f t="shared" si="47"/>
        <v>6</v>
      </c>
      <c r="AN186" s="2" t="str">
        <f t="shared" si="53"/>
        <v>3E8</v>
      </c>
      <c r="AO186" s="2"/>
      <c r="AP186" s="2" t="str">
        <f t="shared" si="54"/>
        <v>63E8</v>
      </c>
    </row>
    <row r="187" spans="1:42" x14ac:dyDescent="0.2">
      <c r="A187">
        <v>170</v>
      </c>
      <c r="B187">
        <v>16.899999999999999</v>
      </c>
      <c r="C187" s="6">
        <v>0</v>
      </c>
      <c r="D187" s="6">
        <v>1</v>
      </c>
      <c r="E187" s="6">
        <v>1</v>
      </c>
      <c r="F187" s="7">
        <v>0</v>
      </c>
      <c r="G187" s="9">
        <v>100</v>
      </c>
      <c r="H187" s="10">
        <f t="shared" si="48"/>
        <v>6</v>
      </c>
      <c r="I187" s="12">
        <f t="shared" si="39"/>
        <v>639.30209199318563</v>
      </c>
      <c r="J187" s="11">
        <f t="shared" si="40"/>
        <v>21.729553476362859</v>
      </c>
      <c r="K187" s="6">
        <v>0</v>
      </c>
      <c r="L187" s="6">
        <v>1</v>
      </c>
      <c r="M187" s="6">
        <v>1</v>
      </c>
      <c r="N187" s="7">
        <v>0</v>
      </c>
      <c r="O187" s="9">
        <v>60</v>
      </c>
      <c r="P187" s="10">
        <f t="shared" si="49"/>
        <v>6</v>
      </c>
      <c r="Q187" s="12">
        <f t="shared" si="41"/>
        <v>409.58125519591135</v>
      </c>
      <c r="R187" s="11">
        <f t="shared" si="42"/>
        <v>14.999450835817715</v>
      </c>
      <c r="S187" s="6">
        <v>0</v>
      </c>
      <c r="T187" s="6">
        <v>1</v>
      </c>
      <c r="U187" s="6">
        <v>1</v>
      </c>
      <c r="V187" s="7">
        <v>0</v>
      </c>
      <c r="W187" s="9">
        <v>80</v>
      </c>
      <c r="X187" s="10">
        <f t="shared" si="50"/>
        <v>6</v>
      </c>
      <c r="Y187" s="12">
        <f t="shared" si="43"/>
        <v>524.44167359454855</v>
      </c>
      <c r="Z187" s="11">
        <f t="shared" si="44"/>
        <v>18.364502156090289</v>
      </c>
      <c r="AA187" s="6">
        <v>0</v>
      </c>
      <c r="AB187" s="6">
        <v>0</v>
      </c>
      <c r="AC187" s="6">
        <v>0</v>
      </c>
      <c r="AD187" s="7">
        <v>1</v>
      </c>
      <c r="AE187" s="9">
        <v>80</v>
      </c>
      <c r="AF187" s="10">
        <f t="shared" si="51"/>
        <v>8</v>
      </c>
      <c r="AG187" s="12">
        <f t="shared" si="45"/>
        <v>524.44167359454855</v>
      </c>
      <c r="AH187" s="11">
        <f t="shared" si="46"/>
        <v>18.364502156090289</v>
      </c>
      <c r="AJ187" s="6">
        <f t="shared" si="52"/>
        <v>1000</v>
      </c>
      <c r="AK187" s="4">
        <v>170</v>
      </c>
      <c r="AM187" s="2" t="str">
        <f t="shared" si="47"/>
        <v>6</v>
      </c>
      <c r="AN187" s="2" t="str">
        <f t="shared" si="53"/>
        <v>3E8</v>
      </c>
      <c r="AO187" s="2"/>
      <c r="AP187" s="2" t="str">
        <f t="shared" si="54"/>
        <v>63E8</v>
      </c>
    </row>
    <row r="188" spans="1:42" x14ac:dyDescent="0.2">
      <c r="A188">
        <v>171</v>
      </c>
      <c r="B188">
        <v>17</v>
      </c>
      <c r="C188" s="6">
        <v>0</v>
      </c>
      <c r="D188" s="6">
        <v>1</v>
      </c>
      <c r="E188" s="6">
        <v>1</v>
      </c>
      <c r="F188" s="7">
        <v>0</v>
      </c>
      <c r="G188" s="9">
        <v>100</v>
      </c>
      <c r="H188" s="10">
        <f t="shared" si="48"/>
        <v>6</v>
      </c>
      <c r="I188" s="12">
        <f t="shared" si="39"/>
        <v>639.30209199318563</v>
      </c>
      <c r="J188" s="11">
        <f t="shared" si="40"/>
        <v>21.729553476362859</v>
      </c>
      <c r="K188" s="6">
        <v>0</v>
      </c>
      <c r="L188" s="6">
        <v>1</v>
      </c>
      <c r="M188" s="6">
        <v>1</v>
      </c>
      <c r="N188" s="7">
        <v>0</v>
      </c>
      <c r="O188" s="9">
        <v>60</v>
      </c>
      <c r="P188" s="10">
        <f t="shared" si="49"/>
        <v>6</v>
      </c>
      <c r="Q188" s="12">
        <f t="shared" si="41"/>
        <v>409.58125519591135</v>
      </c>
      <c r="R188" s="11">
        <f t="shared" si="42"/>
        <v>14.999450835817715</v>
      </c>
      <c r="S188" s="6">
        <v>0</v>
      </c>
      <c r="T188" s="6">
        <v>1</v>
      </c>
      <c r="U188" s="6">
        <v>1</v>
      </c>
      <c r="V188" s="7">
        <v>0</v>
      </c>
      <c r="W188" s="9">
        <v>80</v>
      </c>
      <c r="X188" s="10">
        <f t="shared" si="50"/>
        <v>6</v>
      </c>
      <c r="Y188" s="12">
        <f t="shared" si="43"/>
        <v>524.44167359454855</v>
      </c>
      <c r="Z188" s="11">
        <f t="shared" si="44"/>
        <v>18.364502156090289</v>
      </c>
      <c r="AA188" s="6">
        <v>0</v>
      </c>
      <c r="AB188" s="6">
        <v>0</v>
      </c>
      <c r="AC188" s="6">
        <v>0</v>
      </c>
      <c r="AD188" s="7">
        <v>1</v>
      </c>
      <c r="AE188" s="9">
        <v>80</v>
      </c>
      <c r="AF188" s="10">
        <f t="shared" si="51"/>
        <v>8</v>
      </c>
      <c r="AG188" s="12">
        <f t="shared" si="45"/>
        <v>524.44167359454855</v>
      </c>
      <c r="AH188" s="11">
        <f t="shared" si="46"/>
        <v>18.364502156090289</v>
      </c>
      <c r="AJ188" s="6">
        <f t="shared" si="52"/>
        <v>1000</v>
      </c>
      <c r="AK188" s="4">
        <v>171</v>
      </c>
      <c r="AM188" s="2" t="str">
        <f t="shared" si="47"/>
        <v>6</v>
      </c>
      <c r="AN188" s="2" t="str">
        <f t="shared" si="53"/>
        <v>3E8</v>
      </c>
      <c r="AO188" s="2"/>
      <c r="AP188" s="2" t="str">
        <f t="shared" si="54"/>
        <v>63E8</v>
      </c>
    </row>
    <row r="189" spans="1:42" x14ac:dyDescent="0.2">
      <c r="A189">
        <v>172</v>
      </c>
      <c r="B189">
        <v>17.100000000000001</v>
      </c>
      <c r="C189" s="6">
        <v>0</v>
      </c>
      <c r="D189" s="6">
        <v>1</v>
      </c>
      <c r="E189" s="6">
        <v>1</v>
      </c>
      <c r="F189" s="7">
        <v>0</v>
      </c>
      <c r="G189" s="9">
        <v>100</v>
      </c>
      <c r="H189" s="10">
        <f t="shared" si="48"/>
        <v>6</v>
      </c>
      <c r="I189" s="12">
        <f t="shared" si="39"/>
        <v>639.30209199318563</v>
      </c>
      <c r="J189" s="11">
        <f t="shared" si="40"/>
        <v>21.729553476362859</v>
      </c>
      <c r="K189" s="6">
        <v>0</v>
      </c>
      <c r="L189" s="6">
        <v>1</v>
      </c>
      <c r="M189" s="6">
        <v>1</v>
      </c>
      <c r="N189" s="7">
        <v>0</v>
      </c>
      <c r="O189" s="9">
        <v>69</v>
      </c>
      <c r="P189" s="10">
        <f t="shared" si="49"/>
        <v>6</v>
      </c>
      <c r="Q189" s="12">
        <f t="shared" si="41"/>
        <v>461.26844347529806</v>
      </c>
      <c r="R189" s="11">
        <f t="shared" si="42"/>
        <v>16.513723929940372</v>
      </c>
      <c r="S189" s="6">
        <v>0</v>
      </c>
      <c r="T189" s="6">
        <v>1</v>
      </c>
      <c r="U189" s="6">
        <v>1</v>
      </c>
      <c r="V189" s="7">
        <v>0</v>
      </c>
      <c r="W189" s="9">
        <v>80</v>
      </c>
      <c r="X189" s="10">
        <f t="shared" si="50"/>
        <v>6</v>
      </c>
      <c r="Y189" s="12">
        <f t="shared" si="43"/>
        <v>524.44167359454855</v>
      </c>
      <c r="Z189" s="11">
        <f t="shared" si="44"/>
        <v>18.364502156090289</v>
      </c>
      <c r="AA189" s="6">
        <v>0</v>
      </c>
      <c r="AB189" s="6">
        <v>0</v>
      </c>
      <c r="AC189" s="6">
        <v>0</v>
      </c>
      <c r="AD189" s="7">
        <v>1</v>
      </c>
      <c r="AE189" s="9">
        <v>80</v>
      </c>
      <c r="AF189" s="10">
        <f t="shared" si="51"/>
        <v>8</v>
      </c>
      <c r="AG189" s="12">
        <f t="shared" si="45"/>
        <v>524.44167359454855</v>
      </c>
      <c r="AH189" s="11">
        <f t="shared" si="46"/>
        <v>18.364502156090289</v>
      </c>
      <c r="AJ189" s="6">
        <f t="shared" si="52"/>
        <v>1000</v>
      </c>
      <c r="AK189" s="4">
        <v>172</v>
      </c>
      <c r="AM189" s="2" t="str">
        <f t="shared" si="47"/>
        <v>6</v>
      </c>
      <c r="AN189" s="2" t="str">
        <f t="shared" si="53"/>
        <v>3E8</v>
      </c>
      <c r="AO189" s="2"/>
      <c r="AP189" s="2" t="str">
        <f t="shared" si="54"/>
        <v>63E8</v>
      </c>
    </row>
    <row r="190" spans="1:42" x14ac:dyDescent="0.2">
      <c r="A190">
        <v>173</v>
      </c>
      <c r="B190">
        <v>17.2</v>
      </c>
      <c r="C190" s="6">
        <v>0</v>
      </c>
      <c r="D190" s="6">
        <v>1</v>
      </c>
      <c r="E190" s="6">
        <v>1</v>
      </c>
      <c r="F190" s="7">
        <v>0</v>
      </c>
      <c r="G190" s="9">
        <v>100</v>
      </c>
      <c r="H190" s="10">
        <f t="shared" si="48"/>
        <v>6</v>
      </c>
      <c r="I190" s="12">
        <f t="shared" si="39"/>
        <v>639.30209199318563</v>
      </c>
      <c r="J190" s="11">
        <f t="shared" si="40"/>
        <v>21.729553476362859</v>
      </c>
      <c r="K190" s="6">
        <v>0</v>
      </c>
      <c r="L190" s="6">
        <v>1</v>
      </c>
      <c r="M190" s="6">
        <v>1</v>
      </c>
      <c r="N190" s="7">
        <v>0</v>
      </c>
      <c r="O190" s="9">
        <v>78</v>
      </c>
      <c r="P190" s="10">
        <f t="shared" si="49"/>
        <v>6</v>
      </c>
      <c r="Q190" s="12">
        <f t="shared" si="41"/>
        <v>512.95563175468487</v>
      </c>
      <c r="R190" s="11">
        <f t="shared" si="42"/>
        <v>18.027997024063033</v>
      </c>
      <c r="S190" s="6">
        <v>0</v>
      </c>
      <c r="T190" s="6">
        <v>1</v>
      </c>
      <c r="U190" s="6">
        <v>1</v>
      </c>
      <c r="V190" s="7">
        <v>0</v>
      </c>
      <c r="W190" s="9">
        <v>80</v>
      </c>
      <c r="X190" s="10">
        <f t="shared" si="50"/>
        <v>6</v>
      </c>
      <c r="Y190" s="12">
        <f t="shared" si="43"/>
        <v>524.44167359454855</v>
      </c>
      <c r="Z190" s="11">
        <f t="shared" si="44"/>
        <v>18.364502156090289</v>
      </c>
      <c r="AA190" s="6">
        <v>0</v>
      </c>
      <c r="AB190" s="6">
        <v>0</v>
      </c>
      <c r="AC190" s="6">
        <v>0</v>
      </c>
      <c r="AD190" s="7">
        <v>1</v>
      </c>
      <c r="AE190" s="9">
        <v>80</v>
      </c>
      <c r="AF190" s="10">
        <f t="shared" si="51"/>
        <v>8</v>
      </c>
      <c r="AG190" s="12">
        <f t="shared" si="45"/>
        <v>524.44167359454855</v>
      </c>
      <c r="AH190" s="11">
        <f t="shared" si="46"/>
        <v>18.364502156090289</v>
      </c>
      <c r="AJ190" s="6">
        <f t="shared" si="52"/>
        <v>1000</v>
      </c>
      <c r="AK190" s="4">
        <v>173</v>
      </c>
      <c r="AM190" s="2" t="str">
        <f t="shared" si="47"/>
        <v>6</v>
      </c>
      <c r="AN190" s="2" t="str">
        <f t="shared" si="53"/>
        <v>3E8</v>
      </c>
      <c r="AO190" s="2"/>
      <c r="AP190" s="2" t="str">
        <f t="shared" si="54"/>
        <v>63E8</v>
      </c>
    </row>
    <row r="191" spans="1:42" x14ac:dyDescent="0.2">
      <c r="A191">
        <v>174</v>
      </c>
      <c r="B191">
        <v>17.3</v>
      </c>
      <c r="C191" s="6">
        <v>0</v>
      </c>
      <c r="D191" s="6">
        <v>1</v>
      </c>
      <c r="E191" s="6">
        <v>1</v>
      </c>
      <c r="F191" s="7">
        <v>0</v>
      </c>
      <c r="G191" s="9">
        <v>100</v>
      </c>
      <c r="H191" s="10">
        <f t="shared" si="48"/>
        <v>6</v>
      </c>
      <c r="I191" s="12">
        <f t="shared" si="39"/>
        <v>639.30209199318563</v>
      </c>
      <c r="J191" s="11">
        <f t="shared" si="40"/>
        <v>21.729553476362859</v>
      </c>
      <c r="K191" s="6">
        <v>0</v>
      </c>
      <c r="L191" s="6">
        <v>1</v>
      </c>
      <c r="M191" s="6">
        <v>1</v>
      </c>
      <c r="N191" s="7">
        <v>0</v>
      </c>
      <c r="O191" s="9">
        <v>87</v>
      </c>
      <c r="P191" s="10">
        <f t="shared" si="49"/>
        <v>6</v>
      </c>
      <c r="Q191" s="12">
        <f t="shared" si="41"/>
        <v>564.64282003407152</v>
      </c>
      <c r="R191" s="11">
        <f t="shared" si="42"/>
        <v>19.542270118185691</v>
      </c>
      <c r="S191" s="6">
        <v>0</v>
      </c>
      <c r="T191" s="6">
        <v>1</v>
      </c>
      <c r="U191" s="6">
        <v>1</v>
      </c>
      <c r="V191" s="7">
        <v>0</v>
      </c>
      <c r="W191" s="9">
        <f>W190+2</f>
        <v>82</v>
      </c>
      <c r="X191" s="10">
        <f t="shared" si="50"/>
        <v>6</v>
      </c>
      <c r="Y191" s="12">
        <f t="shared" si="43"/>
        <v>535.92771543441222</v>
      </c>
      <c r="Z191" s="11">
        <f t="shared" si="44"/>
        <v>18.701007288117545</v>
      </c>
      <c r="AA191" s="6">
        <v>0</v>
      </c>
      <c r="AB191" s="6">
        <v>0</v>
      </c>
      <c r="AC191" s="6">
        <v>0</v>
      </c>
      <c r="AD191" s="7">
        <v>1</v>
      </c>
      <c r="AE191" s="9">
        <f>AE190+2</f>
        <v>82</v>
      </c>
      <c r="AF191" s="10">
        <f t="shared" si="51"/>
        <v>8</v>
      </c>
      <c r="AG191" s="12">
        <f t="shared" si="45"/>
        <v>535.92771543441222</v>
      </c>
      <c r="AH191" s="11">
        <f t="shared" si="46"/>
        <v>18.701007288117545</v>
      </c>
      <c r="AJ191" s="6">
        <f t="shared" si="52"/>
        <v>1000</v>
      </c>
      <c r="AK191" s="4">
        <v>174</v>
      </c>
      <c r="AM191" s="2" t="str">
        <f t="shared" si="47"/>
        <v>6</v>
      </c>
      <c r="AN191" s="2" t="str">
        <f t="shared" si="53"/>
        <v>3E8</v>
      </c>
      <c r="AO191" s="2"/>
      <c r="AP191" s="2" t="str">
        <f t="shared" si="54"/>
        <v>63E8</v>
      </c>
    </row>
    <row r="192" spans="1:42" x14ac:dyDescent="0.2">
      <c r="A192">
        <v>175</v>
      </c>
      <c r="B192">
        <v>17.399999999999999</v>
      </c>
      <c r="C192" s="6">
        <v>0</v>
      </c>
      <c r="D192" s="6">
        <v>1</v>
      </c>
      <c r="E192" s="6">
        <v>1</v>
      </c>
      <c r="F192" s="7">
        <v>0</v>
      </c>
      <c r="G192" s="9">
        <v>100</v>
      </c>
      <c r="H192" s="10">
        <f t="shared" si="48"/>
        <v>6</v>
      </c>
      <c r="I192" s="12">
        <f t="shared" si="39"/>
        <v>639.30209199318563</v>
      </c>
      <c r="J192" s="11">
        <f t="shared" si="40"/>
        <v>21.729553476362859</v>
      </c>
      <c r="K192" s="6">
        <v>0</v>
      </c>
      <c r="L192" s="6">
        <v>1</v>
      </c>
      <c r="M192" s="6">
        <v>1</v>
      </c>
      <c r="N192" s="7">
        <v>0</v>
      </c>
      <c r="O192" s="9">
        <v>96</v>
      </c>
      <c r="P192" s="10">
        <f t="shared" si="49"/>
        <v>6</v>
      </c>
      <c r="Q192" s="12">
        <f t="shared" si="41"/>
        <v>616.33000831345817</v>
      </c>
      <c r="R192" s="11">
        <f t="shared" si="42"/>
        <v>21.056543212308345</v>
      </c>
      <c r="S192" s="6">
        <v>0</v>
      </c>
      <c r="T192" s="6">
        <v>1</v>
      </c>
      <c r="U192" s="6">
        <v>1</v>
      </c>
      <c r="V192" s="7">
        <v>0</v>
      </c>
      <c r="W192" s="9">
        <f t="shared" ref="W192:W210" si="57">W191+2</f>
        <v>84</v>
      </c>
      <c r="X192" s="10">
        <f t="shared" si="50"/>
        <v>6</v>
      </c>
      <c r="Y192" s="12">
        <f t="shared" si="43"/>
        <v>547.41375727427589</v>
      </c>
      <c r="Z192" s="11">
        <f t="shared" si="44"/>
        <v>19.0375124201448</v>
      </c>
      <c r="AA192" s="6">
        <v>0</v>
      </c>
      <c r="AB192" s="6">
        <v>0</v>
      </c>
      <c r="AC192" s="6">
        <v>0</v>
      </c>
      <c r="AD192" s="7">
        <v>1</v>
      </c>
      <c r="AE192" s="9">
        <f t="shared" ref="AE192:AE210" si="58">AE191+2</f>
        <v>84</v>
      </c>
      <c r="AF192" s="10">
        <f t="shared" si="51"/>
        <v>8</v>
      </c>
      <c r="AG192" s="12">
        <f t="shared" si="45"/>
        <v>547.41375727427589</v>
      </c>
      <c r="AH192" s="11">
        <f t="shared" si="46"/>
        <v>19.0375124201448</v>
      </c>
      <c r="AJ192" s="6">
        <f t="shared" si="52"/>
        <v>1000</v>
      </c>
      <c r="AK192" s="4">
        <v>175</v>
      </c>
      <c r="AM192" s="2" t="str">
        <f t="shared" si="47"/>
        <v>6</v>
      </c>
      <c r="AN192" s="2" t="str">
        <f t="shared" si="53"/>
        <v>3E8</v>
      </c>
      <c r="AO192" s="2"/>
      <c r="AP192" s="2" t="str">
        <f t="shared" si="54"/>
        <v>63E8</v>
      </c>
    </row>
    <row r="193" spans="1:42" x14ac:dyDescent="0.2">
      <c r="A193">
        <v>176</v>
      </c>
      <c r="B193">
        <v>17.5</v>
      </c>
      <c r="C193" s="6">
        <v>0</v>
      </c>
      <c r="D193" s="6">
        <v>1</v>
      </c>
      <c r="E193" s="6">
        <v>1</v>
      </c>
      <c r="F193" s="7">
        <v>0</v>
      </c>
      <c r="G193" s="9">
        <v>100</v>
      </c>
      <c r="H193" s="10">
        <f t="shared" si="48"/>
        <v>6</v>
      </c>
      <c r="I193" s="12">
        <f t="shared" si="39"/>
        <v>639.30209199318563</v>
      </c>
      <c r="J193" s="11">
        <f t="shared" si="40"/>
        <v>21.729553476362859</v>
      </c>
      <c r="K193" s="6">
        <v>0</v>
      </c>
      <c r="L193" s="6">
        <v>1</v>
      </c>
      <c r="M193" s="6">
        <v>1</v>
      </c>
      <c r="N193" s="7">
        <v>0</v>
      </c>
      <c r="O193" s="9">
        <v>105</v>
      </c>
      <c r="P193" s="10">
        <f t="shared" si="49"/>
        <v>6</v>
      </c>
      <c r="Q193" s="12">
        <f t="shared" si="41"/>
        <v>668.01719659284504</v>
      </c>
      <c r="R193" s="11">
        <f t="shared" si="42"/>
        <v>22.570816306431006</v>
      </c>
      <c r="S193" s="6">
        <v>0</v>
      </c>
      <c r="T193" s="6">
        <v>1</v>
      </c>
      <c r="U193" s="6">
        <v>1</v>
      </c>
      <c r="V193" s="7">
        <v>0</v>
      </c>
      <c r="W193" s="9">
        <f t="shared" si="57"/>
        <v>86</v>
      </c>
      <c r="X193" s="10">
        <f t="shared" si="50"/>
        <v>6</v>
      </c>
      <c r="Y193" s="12">
        <f t="shared" si="43"/>
        <v>558.89979911413968</v>
      </c>
      <c r="Z193" s="11">
        <f t="shared" si="44"/>
        <v>19.374017552172059</v>
      </c>
      <c r="AA193" s="6">
        <v>0</v>
      </c>
      <c r="AB193" s="6">
        <v>0</v>
      </c>
      <c r="AC193" s="6">
        <v>0</v>
      </c>
      <c r="AD193" s="7">
        <v>1</v>
      </c>
      <c r="AE193" s="9">
        <f t="shared" si="58"/>
        <v>86</v>
      </c>
      <c r="AF193" s="10">
        <f t="shared" si="51"/>
        <v>8</v>
      </c>
      <c r="AG193" s="12">
        <f t="shared" si="45"/>
        <v>558.89979911413968</v>
      </c>
      <c r="AH193" s="11">
        <f t="shared" si="46"/>
        <v>19.374017552172059</v>
      </c>
      <c r="AJ193" s="6">
        <f t="shared" si="52"/>
        <v>1000</v>
      </c>
      <c r="AK193" s="4">
        <v>176</v>
      </c>
      <c r="AM193" s="2" t="str">
        <f t="shared" si="47"/>
        <v>6</v>
      </c>
      <c r="AN193" s="2" t="str">
        <f t="shared" si="53"/>
        <v>3E8</v>
      </c>
      <c r="AO193" s="2"/>
      <c r="AP193" s="2" t="str">
        <f t="shared" si="54"/>
        <v>63E8</v>
      </c>
    </row>
    <row r="194" spans="1:42" x14ac:dyDescent="0.2">
      <c r="A194">
        <v>177</v>
      </c>
      <c r="B194">
        <v>17.600000000000001</v>
      </c>
      <c r="C194" s="6">
        <v>0</v>
      </c>
      <c r="D194" s="6">
        <v>1</v>
      </c>
      <c r="E194" s="6">
        <v>1</v>
      </c>
      <c r="F194" s="7">
        <v>0</v>
      </c>
      <c r="G194" s="9">
        <v>100</v>
      </c>
      <c r="H194" s="10">
        <f t="shared" si="48"/>
        <v>6</v>
      </c>
      <c r="I194" s="12">
        <f t="shared" si="39"/>
        <v>639.30209199318563</v>
      </c>
      <c r="J194" s="11">
        <f t="shared" si="40"/>
        <v>21.729553476362859</v>
      </c>
      <c r="K194" s="6">
        <v>0</v>
      </c>
      <c r="L194" s="6">
        <v>1</v>
      </c>
      <c r="M194" s="6">
        <v>1</v>
      </c>
      <c r="N194" s="7">
        <v>0</v>
      </c>
      <c r="O194" s="9">
        <v>114</v>
      </c>
      <c r="P194" s="10">
        <f t="shared" si="49"/>
        <v>6</v>
      </c>
      <c r="Q194" s="12">
        <f t="shared" si="41"/>
        <v>719.70438487223146</v>
      </c>
      <c r="R194" s="11">
        <f t="shared" si="42"/>
        <v>24.085089400553656</v>
      </c>
      <c r="S194" s="6">
        <v>0</v>
      </c>
      <c r="T194" s="6">
        <v>1</v>
      </c>
      <c r="U194" s="6">
        <v>1</v>
      </c>
      <c r="V194" s="7">
        <v>0</v>
      </c>
      <c r="W194" s="9">
        <f t="shared" si="57"/>
        <v>88</v>
      </c>
      <c r="X194" s="10">
        <f t="shared" si="50"/>
        <v>6</v>
      </c>
      <c r="Y194" s="12">
        <f t="shared" si="43"/>
        <v>570.38584095400347</v>
      </c>
      <c r="Z194" s="11">
        <f t="shared" si="44"/>
        <v>19.710522684199319</v>
      </c>
      <c r="AA194" s="6">
        <v>0</v>
      </c>
      <c r="AB194" s="6">
        <v>0</v>
      </c>
      <c r="AC194" s="6">
        <v>0</v>
      </c>
      <c r="AD194" s="7">
        <v>1</v>
      </c>
      <c r="AE194" s="9">
        <f t="shared" si="58"/>
        <v>88</v>
      </c>
      <c r="AF194" s="10">
        <f t="shared" si="51"/>
        <v>8</v>
      </c>
      <c r="AG194" s="12">
        <f t="shared" si="45"/>
        <v>570.38584095400347</v>
      </c>
      <c r="AH194" s="11">
        <f t="shared" si="46"/>
        <v>19.710522684199319</v>
      </c>
      <c r="AJ194" s="6">
        <f t="shared" si="52"/>
        <v>1000</v>
      </c>
      <c r="AK194" s="4">
        <v>177</v>
      </c>
      <c r="AM194" s="2" t="str">
        <f t="shared" si="47"/>
        <v>6</v>
      </c>
      <c r="AN194" s="2" t="str">
        <f t="shared" si="53"/>
        <v>3E8</v>
      </c>
      <c r="AO194" s="2"/>
      <c r="AP194" s="2" t="str">
        <f t="shared" si="54"/>
        <v>63E8</v>
      </c>
    </row>
    <row r="195" spans="1:42" x14ac:dyDescent="0.2">
      <c r="A195">
        <v>178</v>
      </c>
      <c r="B195">
        <v>17.7</v>
      </c>
      <c r="C195" s="6">
        <v>0</v>
      </c>
      <c r="D195" s="6">
        <v>1</v>
      </c>
      <c r="E195" s="6">
        <v>1</v>
      </c>
      <c r="F195" s="7">
        <v>0</v>
      </c>
      <c r="G195" s="9">
        <v>100</v>
      </c>
      <c r="H195" s="10">
        <f t="shared" si="48"/>
        <v>6</v>
      </c>
      <c r="I195" s="12">
        <f t="shared" si="39"/>
        <v>639.30209199318563</v>
      </c>
      <c r="J195" s="11">
        <f t="shared" si="40"/>
        <v>21.729553476362859</v>
      </c>
      <c r="K195" s="6">
        <v>0</v>
      </c>
      <c r="L195" s="6">
        <v>1</v>
      </c>
      <c r="M195" s="6">
        <v>1</v>
      </c>
      <c r="N195" s="7">
        <v>0</v>
      </c>
      <c r="O195" s="9">
        <v>123</v>
      </c>
      <c r="P195" s="10">
        <f t="shared" si="49"/>
        <v>6</v>
      </c>
      <c r="Q195" s="12">
        <f t="shared" si="41"/>
        <v>771.39157315161833</v>
      </c>
      <c r="R195" s="11">
        <f t="shared" si="42"/>
        <v>25.599362494676317</v>
      </c>
      <c r="S195" s="6">
        <v>0</v>
      </c>
      <c r="T195" s="6">
        <v>1</v>
      </c>
      <c r="U195" s="6">
        <v>1</v>
      </c>
      <c r="V195" s="7">
        <v>0</v>
      </c>
      <c r="W195" s="9">
        <f t="shared" si="57"/>
        <v>90</v>
      </c>
      <c r="X195" s="10">
        <f t="shared" si="50"/>
        <v>6</v>
      </c>
      <c r="Y195" s="12">
        <f t="shared" si="43"/>
        <v>581.87188279386714</v>
      </c>
      <c r="Z195" s="11">
        <f t="shared" si="44"/>
        <v>20.047027816226578</v>
      </c>
      <c r="AA195" s="6">
        <v>0</v>
      </c>
      <c r="AB195" s="6">
        <v>0</v>
      </c>
      <c r="AC195" s="6">
        <v>0</v>
      </c>
      <c r="AD195" s="7">
        <v>1</v>
      </c>
      <c r="AE195" s="9">
        <f t="shared" si="58"/>
        <v>90</v>
      </c>
      <c r="AF195" s="10">
        <f t="shared" si="51"/>
        <v>8</v>
      </c>
      <c r="AG195" s="12">
        <f t="shared" si="45"/>
        <v>581.87188279386714</v>
      </c>
      <c r="AH195" s="11">
        <f t="shared" si="46"/>
        <v>20.047027816226578</v>
      </c>
      <c r="AJ195" s="6">
        <f t="shared" si="52"/>
        <v>1000</v>
      </c>
      <c r="AK195" s="4">
        <v>178</v>
      </c>
      <c r="AM195" s="2" t="str">
        <f t="shared" si="47"/>
        <v>6</v>
      </c>
      <c r="AN195" s="2" t="str">
        <f t="shared" si="53"/>
        <v>3E8</v>
      </c>
      <c r="AO195" s="2"/>
      <c r="AP195" s="2" t="str">
        <f t="shared" si="54"/>
        <v>63E8</v>
      </c>
    </row>
    <row r="196" spans="1:42" x14ac:dyDescent="0.2">
      <c r="A196">
        <v>179</v>
      </c>
      <c r="B196">
        <v>17.8</v>
      </c>
      <c r="C196" s="6">
        <v>0</v>
      </c>
      <c r="D196" s="6">
        <v>1</v>
      </c>
      <c r="E196" s="6">
        <v>1</v>
      </c>
      <c r="F196" s="7">
        <v>0</v>
      </c>
      <c r="G196" s="9">
        <v>100</v>
      </c>
      <c r="H196" s="10">
        <f t="shared" si="48"/>
        <v>6</v>
      </c>
      <c r="I196" s="12">
        <f t="shared" si="39"/>
        <v>639.30209199318563</v>
      </c>
      <c r="J196" s="11">
        <f t="shared" si="40"/>
        <v>21.729553476362859</v>
      </c>
      <c r="K196" s="6">
        <v>0</v>
      </c>
      <c r="L196" s="6">
        <v>1</v>
      </c>
      <c r="M196" s="6">
        <v>1</v>
      </c>
      <c r="N196" s="7">
        <v>0</v>
      </c>
      <c r="O196" s="9">
        <v>132</v>
      </c>
      <c r="P196" s="10">
        <f t="shared" si="49"/>
        <v>6</v>
      </c>
      <c r="Q196" s="12">
        <f t="shared" si="41"/>
        <v>823.07876143100509</v>
      </c>
      <c r="R196" s="11">
        <f t="shared" si="42"/>
        <v>27.113635588798978</v>
      </c>
      <c r="S196" s="6">
        <v>0</v>
      </c>
      <c r="T196" s="6">
        <v>1</v>
      </c>
      <c r="U196" s="6">
        <v>1</v>
      </c>
      <c r="V196" s="7">
        <v>0</v>
      </c>
      <c r="W196" s="9">
        <f t="shared" si="57"/>
        <v>92</v>
      </c>
      <c r="X196" s="10">
        <f t="shared" si="50"/>
        <v>6</v>
      </c>
      <c r="Y196" s="12">
        <f t="shared" si="43"/>
        <v>593.35792463373093</v>
      </c>
      <c r="Z196" s="11">
        <f t="shared" si="44"/>
        <v>20.383532948253837</v>
      </c>
      <c r="AA196" s="6">
        <v>0</v>
      </c>
      <c r="AB196" s="6">
        <v>0</v>
      </c>
      <c r="AC196" s="6">
        <v>0</v>
      </c>
      <c r="AD196" s="7">
        <v>1</v>
      </c>
      <c r="AE196" s="9">
        <f t="shared" si="58"/>
        <v>92</v>
      </c>
      <c r="AF196" s="10">
        <f t="shared" si="51"/>
        <v>8</v>
      </c>
      <c r="AG196" s="12">
        <f t="shared" si="45"/>
        <v>593.35792463373093</v>
      </c>
      <c r="AH196" s="11">
        <f t="shared" si="46"/>
        <v>20.383532948253837</v>
      </c>
      <c r="AJ196" s="6">
        <f t="shared" si="52"/>
        <v>1000</v>
      </c>
      <c r="AK196" s="4">
        <v>179</v>
      </c>
      <c r="AM196" s="2" t="str">
        <f t="shared" si="47"/>
        <v>6</v>
      </c>
      <c r="AN196" s="2" t="str">
        <f t="shared" si="53"/>
        <v>3E8</v>
      </c>
      <c r="AO196" s="2"/>
      <c r="AP196" s="2" t="str">
        <f t="shared" si="54"/>
        <v>63E8</v>
      </c>
    </row>
    <row r="197" spans="1:42" x14ac:dyDescent="0.2">
      <c r="A197">
        <v>180</v>
      </c>
      <c r="B197">
        <v>17.899999999999999</v>
      </c>
      <c r="C197" s="6">
        <v>0</v>
      </c>
      <c r="D197" s="6">
        <v>1</v>
      </c>
      <c r="E197" s="6">
        <v>1</v>
      </c>
      <c r="F197" s="7">
        <v>0</v>
      </c>
      <c r="G197" s="9">
        <v>100</v>
      </c>
      <c r="H197" s="10">
        <f t="shared" si="48"/>
        <v>6</v>
      </c>
      <c r="I197" s="12">
        <f t="shared" si="39"/>
        <v>639.30209199318563</v>
      </c>
      <c r="J197" s="11">
        <f t="shared" si="40"/>
        <v>21.729553476362859</v>
      </c>
      <c r="K197" s="6">
        <v>0</v>
      </c>
      <c r="L197" s="6">
        <v>1</v>
      </c>
      <c r="M197" s="6">
        <v>1</v>
      </c>
      <c r="N197" s="7">
        <v>0</v>
      </c>
      <c r="O197" s="9">
        <v>141</v>
      </c>
      <c r="P197" s="10">
        <f t="shared" si="49"/>
        <v>6</v>
      </c>
      <c r="Q197" s="12">
        <f t="shared" si="41"/>
        <v>874.76594971039174</v>
      </c>
      <c r="R197" s="11">
        <f t="shared" si="42"/>
        <v>28.627908682921635</v>
      </c>
      <c r="S197" s="6">
        <v>0</v>
      </c>
      <c r="T197" s="6">
        <v>1</v>
      </c>
      <c r="U197" s="6">
        <v>1</v>
      </c>
      <c r="V197" s="7">
        <v>0</v>
      </c>
      <c r="W197" s="9">
        <f t="shared" si="57"/>
        <v>94</v>
      </c>
      <c r="X197" s="10">
        <f t="shared" si="50"/>
        <v>6</v>
      </c>
      <c r="Y197" s="12">
        <f t="shared" si="43"/>
        <v>604.84396647359449</v>
      </c>
      <c r="Z197" s="11">
        <f t="shared" si="44"/>
        <v>20.720038080281086</v>
      </c>
      <c r="AA197" s="6">
        <v>0</v>
      </c>
      <c r="AB197" s="6">
        <v>0</v>
      </c>
      <c r="AC197" s="6">
        <v>0</v>
      </c>
      <c r="AD197" s="7">
        <v>1</v>
      </c>
      <c r="AE197" s="9">
        <f t="shared" si="58"/>
        <v>94</v>
      </c>
      <c r="AF197" s="10">
        <f t="shared" si="51"/>
        <v>8</v>
      </c>
      <c r="AG197" s="12">
        <f t="shared" si="45"/>
        <v>604.84396647359449</v>
      </c>
      <c r="AH197" s="11">
        <f t="shared" si="46"/>
        <v>20.720038080281086</v>
      </c>
      <c r="AJ197" s="6">
        <f t="shared" si="52"/>
        <v>1000</v>
      </c>
      <c r="AK197" s="4">
        <v>180</v>
      </c>
      <c r="AM197" s="2" t="str">
        <f t="shared" si="47"/>
        <v>6</v>
      </c>
      <c r="AN197" s="2" t="str">
        <f t="shared" si="53"/>
        <v>3E8</v>
      </c>
      <c r="AO197" s="2"/>
      <c r="AP197" s="2" t="str">
        <f t="shared" si="54"/>
        <v>63E8</v>
      </c>
    </row>
    <row r="198" spans="1:42" x14ac:dyDescent="0.2">
      <c r="A198">
        <v>181</v>
      </c>
      <c r="B198">
        <v>18</v>
      </c>
      <c r="C198" s="6">
        <v>0</v>
      </c>
      <c r="D198" s="6">
        <v>1</v>
      </c>
      <c r="E198" s="6">
        <v>1</v>
      </c>
      <c r="F198" s="7">
        <v>0</v>
      </c>
      <c r="G198" s="9">
        <v>100</v>
      </c>
      <c r="H198" s="10">
        <f t="shared" si="48"/>
        <v>6</v>
      </c>
      <c r="I198" s="12">
        <f t="shared" si="39"/>
        <v>639.30209199318563</v>
      </c>
      <c r="J198" s="11">
        <f t="shared" si="40"/>
        <v>21.729553476362859</v>
      </c>
      <c r="K198" s="6">
        <v>0</v>
      </c>
      <c r="L198" s="6">
        <v>1</v>
      </c>
      <c r="M198" s="6">
        <v>1</v>
      </c>
      <c r="N198" s="7">
        <v>0</v>
      </c>
      <c r="O198" s="9">
        <v>150</v>
      </c>
      <c r="P198" s="10">
        <f t="shared" si="49"/>
        <v>6</v>
      </c>
      <c r="Q198" s="12">
        <f t="shared" si="41"/>
        <v>926.4531379897785</v>
      </c>
      <c r="R198" s="11">
        <f t="shared" si="42"/>
        <v>30.142181777044289</v>
      </c>
      <c r="S198" s="6">
        <v>0</v>
      </c>
      <c r="T198" s="6">
        <v>1</v>
      </c>
      <c r="U198" s="6">
        <v>1</v>
      </c>
      <c r="V198" s="7">
        <v>0</v>
      </c>
      <c r="W198" s="9">
        <f t="shared" si="57"/>
        <v>96</v>
      </c>
      <c r="X198" s="10">
        <f t="shared" si="50"/>
        <v>6</v>
      </c>
      <c r="Y198" s="12">
        <f t="shared" si="43"/>
        <v>616.33000831345817</v>
      </c>
      <c r="Z198" s="11">
        <f t="shared" si="44"/>
        <v>21.056543212308345</v>
      </c>
      <c r="AA198" s="6">
        <v>0</v>
      </c>
      <c r="AB198" s="6">
        <v>0</v>
      </c>
      <c r="AC198" s="6">
        <v>0</v>
      </c>
      <c r="AD198" s="7">
        <v>1</v>
      </c>
      <c r="AE198" s="9">
        <f t="shared" si="58"/>
        <v>96</v>
      </c>
      <c r="AF198" s="10">
        <f t="shared" si="51"/>
        <v>8</v>
      </c>
      <c r="AG198" s="12">
        <f t="shared" si="45"/>
        <v>616.33000831345817</v>
      </c>
      <c r="AH198" s="11">
        <f t="shared" si="46"/>
        <v>21.056543212308345</v>
      </c>
      <c r="AJ198" s="6">
        <f t="shared" si="52"/>
        <v>1000</v>
      </c>
      <c r="AK198" s="4">
        <v>181</v>
      </c>
      <c r="AM198" s="2" t="str">
        <f t="shared" si="47"/>
        <v>6</v>
      </c>
      <c r="AN198" s="2" t="str">
        <f t="shared" si="53"/>
        <v>3E8</v>
      </c>
      <c r="AO198" s="2"/>
      <c r="AP198" s="2" t="str">
        <f t="shared" si="54"/>
        <v>63E8</v>
      </c>
    </row>
    <row r="199" spans="1:42" x14ac:dyDescent="0.2">
      <c r="A199">
        <v>182</v>
      </c>
      <c r="B199">
        <v>18.100000000000001</v>
      </c>
      <c r="C199" s="6">
        <v>0</v>
      </c>
      <c r="D199" s="6">
        <v>0</v>
      </c>
      <c r="E199" s="6">
        <v>0</v>
      </c>
      <c r="F199" s="7">
        <v>0</v>
      </c>
      <c r="G199" s="9">
        <v>100</v>
      </c>
      <c r="H199" s="10">
        <f t="shared" si="48"/>
        <v>0</v>
      </c>
      <c r="I199" s="12">
        <f t="shared" si="39"/>
        <v>639.30209199318563</v>
      </c>
      <c r="J199" s="11">
        <f t="shared" si="40"/>
        <v>21.729553476362859</v>
      </c>
      <c r="K199" s="6">
        <v>0</v>
      </c>
      <c r="L199" s="6">
        <v>1</v>
      </c>
      <c r="M199" s="6">
        <v>1</v>
      </c>
      <c r="N199" s="7">
        <v>0</v>
      </c>
      <c r="O199" s="9">
        <v>150</v>
      </c>
      <c r="P199" s="10">
        <f t="shared" si="49"/>
        <v>6</v>
      </c>
      <c r="Q199" s="12">
        <f t="shared" si="41"/>
        <v>926.4531379897785</v>
      </c>
      <c r="R199" s="11">
        <f t="shared" si="42"/>
        <v>30.142181777044289</v>
      </c>
      <c r="S199" s="6">
        <v>0</v>
      </c>
      <c r="T199" s="6">
        <v>1</v>
      </c>
      <c r="U199" s="6">
        <v>1</v>
      </c>
      <c r="V199" s="7">
        <v>0</v>
      </c>
      <c r="W199" s="9">
        <f t="shared" si="57"/>
        <v>98</v>
      </c>
      <c r="X199" s="10">
        <f t="shared" si="50"/>
        <v>6</v>
      </c>
      <c r="Y199" s="12">
        <f t="shared" si="43"/>
        <v>627.81605015332195</v>
      </c>
      <c r="Z199" s="11">
        <f t="shared" si="44"/>
        <v>21.393048344335604</v>
      </c>
      <c r="AA199" s="6">
        <v>0</v>
      </c>
      <c r="AB199" s="6">
        <v>0</v>
      </c>
      <c r="AC199" s="6">
        <v>0</v>
      </c>
      <c r="AD199" s="7">
        <v>1</v>
      </c>
      <c r="AE199" s="9">
        <f t="shared" si="58"/>
        <v>98</v>
      </c>
      <c r="AF199" s="10">
        <f t="shared" si="51"/>
        <v>8</v>
      </c>
      <c r="AG199" s="12">
        <f t="shared" si="45"/>
        <v>627.81605015332195</v>
      </c>
      <c r="AH199" s="11">
        <f t="shared" si="46"/>
        <v>21.393048344335604</v>
      </c>
      <c r="AJ199" s="6">
        <f t="shared" si="52"/>
        <v>1000</v>
      </c>
      <c r="AK199" s="4">
        <v>182</v>
      </c>
      <c r="AM199" s="2" t="str">
        <f t="shared" si="47"/>
        <v>0</v>
      </c>
      <c r="AN199" s="2" t="str">
        <f t="shared" si="53"/>
        <v>3E8</v>
      </c>
      <c r="AO199" s="2"/>
      <c r="AP199" s="2" t="str">
        <f t="shared" si="54"/>
        <v>03E8</v>
      </c>
    </row>
    <row r="200" spans="1:42" x14ac:dyDescent="0.2">
      <c r="A200">
        <v>183</v>
      </c>
      <c r="B200">
        <v>18.2</v>
      </c>
      <c r="C200" s="6">
        <v>0</v>
      </c>
      <c r="D200" s="6">
        <v>0</v>
      </c>
      <c r="E200" s="6">
        <v>0</v>
      </c>
      <c r="F200" s="7">
        <v>0</v>
      </c>
      <c r="G200" s="9">
        <v>100</v>
      </c>
      <c r="H200" s="10">
        <f t="shared" si="48"/>
        <v>0</v>
      </c>
      <c r="I200" s="12">
        <f t="shared" si="39"/>
        <v>639.30209199318563</v>
      </c>
      <c r="J200" s="11">
        <f t="shared" si="40"/>
        <v>21.729553476362859</v>
      </c>
      <c r="K200" s="6">
        <v>0</v>
      </c>
      <c r="L200" s="6">
        <v>1</v>
      </c>
      <c r="M200" s="6">
        <v>1</v>
      </c>
      <c r="N200" s="7">
        <v>0</v>
      </c>
      <c r="O200" s="9">
        <v>150</v>
      </c>
      <c r="P200" s="10">
        <f t="shared" si="49"/>
        <v>6</v>
      </c>
      <c r="Q200" s="12">
        <f t="shared" si="41"/>
        <v>926.4531379897785</v>
      </c>
      <c r="R200" s="11">
        <f t="shared" si="42"/>
        <v>30.142181777044289</v>
      </c>
      <c r="S200" s="6">
        <v>0</v>
      </c>
      <c r="T200" s="6">
        <v>1</v>
      </c>
      <c r="U200" s="6">
        <v>1</v>
      </c>
      <c r="V200" s="7">
        <v>0</v>
      </c>
      <c r="W200" s="9">
        <f t="shared" si="57"/>
        <v>100</v>
      </c>
      <c r="X200" s="10">
        <f t="shared" si="50"/>
        <v>6</v>
      </c>
      <c r="Y200" s="12">
        <f t="shared" si="43"/>
        <v>639.30209199318563</v>
      </c>
      <c r="Z200" s="11">
        <f t="shared" si="44"/>
        <v>21.729553476362859</v>
      </c>
      <c r="AA200" s="6">
        <v>0</v>
      </c>
      <c r="AB200" s="6">
        <v>0</v>
      </c>
      <c r="AC200" s="6">
        <v>0</v>
      </c>
      <c r="AD200" s="7">
        <v>1</v>
      </c>
      <c r="AE200" s="9">
        <f t="shared" si="58"/>
        <v>100</v>
      </c>
      <c r="AF200" s="10">
        <f t="shared" si="51"/>
        <v>8</v>
      </c>
      <c r="AG200" s="12">
        <f t="shared" si="45"/>
        <v>639.30209199318563</v>
      </c>
      <c r="AH200" s="11">
        <f t="shared" si="46"/>
        <v>21.729553476362859</v>
      </c>
      <c r="AJ200" s="6">
        <f t="shared" si="52"/>
        <v>1000</v>
      </c>
      <c r="AK200" s="4">
        <v>183</v>
      </c>
      <c r="AM200" s="2" t="str">
        <f t="shared" si="47"/>
        <v>0</v>
      </c>
      <c r="AN200" s="2" t="str">
        <f t="shared" si="53"/>
        <v>3E8</v>
      </c>
      <c r="AO200" s="2"/>
      <c r="AP200" s="2" t="str">
        <f t="shared" si="54"/>
        <v>03E8</v>
      </c>
    </row>
    <row r="201" spans="1:42" x14ac:dyDescent="0.2">
      <c r="A201">
        <v>184</v>
      </c>
      <c r="B201">
        <v>18.3</v>
      </c>
      <c r="C201" s="6">
        <v>0</v>
      </c>
      <c r="D201" s="6">
        <v>0</v>
      </c>
      <c r="E201" s="6">
        <v>0</v>
      </c>
      <c r="F201" s="7">
        <v>0</v>
      </c>
      <c r="G201" s="9">
        <v>100</v>
      </c>
      <c r="H201" s="10">
        <f t="shared" si="48"/>
        <v>0</v>
      </c>
      <c r="I201" s="12">
        <f t="shared" si="39"/>
        <v>639.30209199318563</v>
      </c>
      <c r="J201" s="11">
        <f t="shared" si="40"/>
        <v>21.729553476362859</v>
      </c>
      <c r="K201" s="6">
        <v>0</v>
      </c>
      <c r="L201" s="6">
        <v>1</v>
      </c>
      <c r="M201" s="6">
        <v>1</v>
      </c>
      <c r="N201" s="7">
        <v>0</v>
      </c>
      <c r="O201" s="9">
        <v>150</v>
      </c>
      <c r="P201" s="10">
        <f t="shared" si="49"/>
        <v>6</v>
      </c>
      <c r="Q201" s="12">
        <f t="shared" si="41"/>
        <v>926.4531379897785</v>
      </c>
      <c r="R201" s="11">
        <f t="shared" si="42"/>
        <v>30.142181777044289</v>
      </c>
      <c r="S201" s="6">
        <v>0</v>
      </c>
      <c r="T201" s="6">
        <v>1</v>
      </c>
      <c r="U201" s="6">
        <v>1</v>
      </c>
      <c r="V201" s="7">
        <v>0</v>
      </c>
      <c r="W201" s="9">
        <f t="shared" si="57"/>
        <v>102</v>
      </c>
      <c r="X201" s="10">
        <f t="shared" si="50"/>
        <v>6</v>
      </c>
      <c r="Y201" s="12">
        <f t="shared" si="43"/>
        <v>650.78813383304941</v>
      </c>
      <c r="Z201" s="11">
        <f t="shared" si="44"/>
        <v>22.066058608390119</v>
      </c>
      <c r="AA201" s="6">
        <v>0</v>
      </c>
      <c r="AB201" s="6">
        <v>0</v>
      </c>
      <c r="AC201" s="6">
        <v>0</v>
      </c>
      <c r="AD201" s="7">
        <v>1</v>
      </c>
      <c r="AE201" s="9">
        <f t="shared" si="58"/>
        <v>102</v>
      </c>
      <c r="AF201" s="10">
        <f t="shared" si="51"/>
        <v>8</v>
      </c>
      <c r="AG201" s="12">
        <f t="shared" si="45"/>
        <v>650.78813383304941</v>
      </c>
      <c r="AH201" s="11">
        <f t="shared" si="46"/>
        <v>22.066058608390119</v>
      </c>
      <c r="AJ201" s="6">
        <f t="shared" si="52"/>
        <v>1000</v>
      </c>
      <c r="AK201" s="4">
        <v>184</v>
      </c>
      <c r="AM201" s="2" t="str">
        <f t="shared" si="47"/>
        <v>0</v>
      </c>
      <c r="AN201" s="2" t="str">
        <f t="shared" si="53"/>
        <v>3E8</v>
      </c>
      <c r="AO201" s="2"/>
      <c r="AP201" s="2" t="str">
        <f t="shared" si="54"/>
        <v>03E8</v>
      </c>
    </row>
    <row r="202" spans="1:42" x14ac:dyDescent="0.2">
      <c r="A202">
        <v>185</v>
      </c>
      <c r="B202">
        <v>18.399999999999999</v>
      </c>
      <c r="C202" s="6">
        <v>0</v>
      </c>
      <c r="D202" s="6">
        <v>0</v>
      </c>
      <c r="E202" s="6">
        <v>0</v>
      </c>
      <c r="F202" s="7">
        <v>0</v>
      </c>
      <c r="G202" s="9">
        <v>100</v>
      </c>
      <c r="H202" s="10">
        <f t="shared" si="48"/>
        <v>0</v>
      </c>
      <c r="I202" s="12">
        <f t="shared" si="39"/>
        <v>639.30209199318563</v>
      </c>
      <c r="J202" s="11">
        <f t="shared" si="40"/>
        <v>21.729553476362859</v>
      </c>
      <c r="K202" s="6">
        <v>0</v>
      </c>
      <c r="L202" s="6">
        <v>1</v>
      </c>
      <c r="M202" s="6">
        <v>1</v>
      </c>
      <c r="N202" s="7">
        <v>0</v>
      </c>
      <c r="O202" s="9">
        <v>150</v>
      </c>
      <c r="P202" s="10">
        <f t="shared" si="49"/>
        <v>6</v>
      </c>
      <c r="Q202" s="12">
        <f t="shared" si="41"/>
        <v>926.4531379897785</v>
      </c>
      <c r="R202" s="11">
        <f t="shared" si="42"/>
        <v>30.142181777044289</v>
      </c>
      <c r="S202" s="6">
        <v>0</v>
      </c>
      <c r="T202" s="6">
        <v>1</v>
      </c>
      <c r="U202" s="6">
        <v>1</v>
      </c>
      <c r="V202" s="7">
        <v>0</v>
      </c>
      <c r="W202" s="9">
        <f t="shared" si="57"/>
        <v>104</v>
      </c>
      <c r="X202" s="10">
        <f t="shared" si="50"/>
        <v>6</v>
      </c>
      <c r="Y202" s="12">
        <f t="shared" si="43"/>
        <v>662.2741756729132</v>
      </c>
      <c r="Z202" s="11">
        <f t="shared" si="44"/>
        <v>22.402563740417378</v>
      </c>
      <c r="AA202" s="6">
        <v>0</v>
      </c>
      <c r="AB202" s="6">
        <v>0</v>
      </c>
      <c r="AC202" s="6">
        <v>0</v>
      </c>
      <c r="AD202" s="7">
        <v>1</v>
      </c>
      <c r="AE202" s="9">
        <f t="shared" si="58"/>
        <v>104</v>
      </c>
      <c r="AF202" s="10">
        <f t="shared" si="51"/>
        <v>8</v>
      </c>
      <c r="AG202" s="12">
        <f t="shared" si="45"/>
        <v>662.2741756729132</v>
      </c>
      <c r="AH202" s="11">
        <f t="shared" si="46"/>
        <v>22.402563740417378</v>
      </c>
      <c r="AJ202" s="6">
        <f t="shared" si="52"/>
        <v>1000</v>
      </c>
      <c r="AK202" s="4">
        <v>185</v>
      </c>
      <c r="AM202" s="2" t="str">
        <f t="shared" si="47"/>
        <v>0</v>
      </c>
      <c r="AN202" s="2" t="str">
        <f t="shared" si="53"/>
        <v>3E8</v>
      </c>
      <c r="AO202" s="2"/>
      <c r="AP202" s="2" t="str">
        <f t="shared" si="54"/>
        <v>03E8</v>
      </c>
    </row>
    <row r="203" spans="1:42" x14ac:dyDescent="0.2">
      <c r="A203">
        <v>186</v>
      </c>
      <c r="B203">
        <v>18.5</v>
      </c>
      <c r="C203" s="6">
        <v>0</v>
      </c>
      <c r="D203" s="6">
        <v>0</v>
      </c>
      <c r="E203" s="6">
        <v>0</v>
      </c>
      <c r="F203" s="7">
        <v>0</v>
      </c>
      <c r="G203" s="9">
        <v>100</v>
      </c>
      <c r="H203" s="10">
        <f t="shared" si="48"/>
        <v>0</v>
      </c>
      <c r="I203" s="12">
        <f t="shared" si="39"/>
        <v>639.30209199318563</v>
      </c>
      <c r="J203" s="11">
        <f t="shared" si="40"/>
        <v>21.729553476362859</v>
      </c>
      <c r="K203" s="6">
        <v>0</v>
      </c>
      <c r="L203" s="6">
        <v>1</v>
      </c>
      <c r="M203" s="6">
        <v>1</v>
      </c>
      <c r="N203" s="7">
        <v>0</v>
      </c>
      <c r="O203" s="9">
        <v>150</v>
      </c>
      <c r="P203" s="10">
        <f t="shared" si="49"/>
        <v>6</v>
      </c>
      <c r="Q203" s="12">
        <f t="shared" si="41"/>
        <v>926.4531379897785</v>
      </c>
      <c r="R203" s="11">
        <f t="shared" si="42"/>
        <v>30.142181777044289</v>
      </c>
      <c r="S203" s="6">
        <v>0</v>
      </c>
      <c r="T203" s="6">
        <v>1</v>
      </c>
      <c r="U203" s="6">
        <v>1</v>
      </c>
      <c r="V203" s="7">
        <v>0</v>
      </c>
      <c r="W203" s="9">
        <f t="shared" si="57"/>
        <v>106</v>
      </c>
      <c r="X203" s="10">
        <f t="shared" si="50"/>
        <v>6</v>
      </c>
      <c r="Y203" s="12">
        <f t="shared" si="43"/>
        <v>673.76021751277688</v>
      </c>
      <c r="Z203" s="11">
        <f t="shared" si="44"/>
        <v>22.739068872444633</v>
      </c>
      <c r="AA203" s="6">
        <v>0</v>
      </c>
      <c r="AB203" s="6">
        <v>0</v>
      </c>
      <c r="AC203" s="6">
        <v>0</v>
      </c>
      <c r="AD203" s="7">
        <v>1</v>
      </c>
      <c r="AE203" s="9">
        <f t="shared" si="58"/>
        <v>106</v>
      </c>
      <c r="AF203" s="10">
        <f t="shared" si="51"/>
        <v>8</v>
      </c>
      <c r="AG203" s="12">
        <f t="shared" si="45"/>
        <v>673.76021751277688</v>
      </c>
      <c r="AH203" s="11">
        <f t="shared" si="46"/>
        <v>22.739068872444633</v>
      </c>
      <c r="AJ203" s="6">
        <f t="shared" si="52"/>
        <v>1000</v>
      </c>
      <c r="AK203" s="4">
        <v>186</v>
      </c>
      <c r="AM203" s="2" t="str">
        <f t="shared" si="47"/>
        <v>0</v>
      </c>
      <c r="AN203" s="2" t="str">
        <f t="shared" si="53"/>
        <v>3E8</v>
      </c>
      <c r="AO203" s="2"/>
      <c r="AP203" s="2" t="str">
        <f t="shared" si="54"/>
        <v>03E8</v>
      </c>
    </row>
    <row r="204" spans="1:42" x14ac:dyDescent="0.2">
      <c r="A204">
        <v>187</v>
      </c>
      <c r="B204">
        <v>18.600000000000001</v>
      </c>
      <c r="C204" s="6">
        <v>0</v>
      </c>
      <c r="D204" s="6">
        <v>0</v>
      </c>
      <c r="E204" s="6">
        <v>0</v>
      </c>
      <c r="F204" s="7">
        <v>0</v>
      </c>
      <c r="G204" s="9">
        <v>100</v>
      </c>
      <c r="H204" s="10">
        <f t="shared" si="48"/>
        <v>0</v>
      </c>
      <c r="I204" s="12">
        <f t="shared" si="39"/>
        <v>639.30209199318563</v>
      </c>
      <c r="J204" s="11">
        <f t="shared" si="40"/>
        <v>21.729553476362859</v>
      </c>
      <c r="K204" s="6">
        <v>0</v>
      </c>
      <c r="L204" s="6">
        <v>1</v>
      </c>
      <c r="M204" s="6">
        <v>1</v>
      </c>
      <c r="N204" s="7">
        <v>0</v>
      </c>
      <c r="O204" s="9">
        <v>150</v>
      </c>
      <c r="P204" s="10">
        <f t="shared" si="49"/>
        <v>6</v>
      </c>
      <c r="Q204" s="12">
        <f t="shared" si="41"/>
        <v>926.4531379897785</v>
      </c>
      <c r="R204" s="11">
        <f t="shared" si="42"/>
        <v>30.142181777044289</v>
      </c>
      <c r="S204" s="6">
        <v>0</v>
      </c>
      <c r="T204" s="6">
        <v>1</v>
      </c>
      <c r="U204" s="6">
        <v>1</v>
      </c>
      <c r="V204" s="7">
        <v>0</v>
      </c>
      <c r="W204" s="9">
        <f t="shared" si="57"/>
        <v>108</v>
      </c>
      <c r="X204" s="10">
        <f t="shared" si="50"/>
        <v>6</v>
      </c>
      <c r="Y204" s="12">
        <f t="shared" si="43"/>
        <v>685.24625935264066</v>
      </c>
      <c r="Z204" s="11">
        <f t="shared" si="44"/>
        <v>23.075574004471896</v>
      </c>
      <c r="AA204" s="6">
        <v>0</v>
      </c>
      <c r="AB204" s="6">
        <v>0</v>
      </c>
      <c r="AC204" s="6">
        <v>0</v>
      </c>
      <c r="AD204" s="7">
        <v>1</v>
      </c>
      <c r="AE204" s="9">
        <f t="shared" si="58"/>
        <v>108</v>
      </c>
      <c r="AF204" s="10">
        <f t="shared" si="51"/>
        <v>8</v>
      </c>
      <c r="AG204" s="12">
        <f t="shared" si="45"/>
        <v>685.24625935264066</v>
      </c>
      <c r="AH204" s="11">
        <f t="shared" si="46"/>
        <v>23.075574004471896</v>
      </c>
      <c r="AJ204" s="6">
        <f t="shared" si="52"/>
        <v>1000</v>
      </c>
      <c r="AK204" s="4">
        <v>187</v>
      </c>
      <c r="AM204" s="2" t="str">
        <f t="shared" si="47"/>
        <v>0</v>
      </c>
      <c r="AN204" s="2" t="str">
        <f t="shared" si="53"/>
        <v>3E8</v>
      </c>
      <c r="AO204" s="2"/>
      <c r="AP204" s="2" t="str">
        <f t="shared" si="54"/>
        <v>03E8</v>
      </c>
    </row>
    <row r="205" spans="1:42" x14ac:dyDescent="0.2">
      <c r="A205">
        <v>188</v>
      </c>
      <c r="B205">
        <v>18.7</v>
      </c>
      <c r="C205" s="6">
        <v>0</v>
      </c>
      <c r="D205" s="6">
        <v>0</v>
      </c>
      <c r="E205" s="6">
        <v>0</v>
      </c>
      <c r="F205" s="7">
        <v>0</v>
      </c>
      <c r="G205" s="9">
        <v>100</v>
      </c>
      <c r="H205" s="10">
        <f t="shared" si="48"/>
        <v>0</v>
      </c>
      <c r="I205" s="12">
        <f t="shared" si="39"/>
        <v>639.30209199318563</v>
      </c>
      <c r="J205" s="11">
        <f t="shared" si="40"/>
        <v>21.729553476362859</v>
      </c>
      <c r="K205" s="6">
        <v>0</v>
      </c>
      <c r="L205" s="6">
        <v>1</v>
      </c>
      <c r="M205" s="6">
        <v>1</v>
      </c>
      <c r="N205" s="7">
        <v>0</v>
      </c>
      <c r="O205" s="9">
        <v>150</v>
      </c>
      <c r="P205" s="10">
        <f t="shared" si="49"/>
        <v>6</v>
      </c>
      <c r="Q205" s="12">
        <f t="shared" si="41"/>
        <v>926.4531379897785</v>
      </c>
      <c r="R205" s="11">
        <f t="shared" si="42"/>
        <v>30.142181777044289</v>
      </c>
      <c r="S205" s="6">
        <v>0</v>
      </c>
      <c r="T205" s="6">
        <v>1</v>
      </c>
      <c r="U205" s="6">
        <v>1</v>
      </c>
      <c r="V205" s="7">
        <v>0</v>
      </c>
      <c r="W205" s="9">
        <f t="shared" si="57"/>
        <v>110</v>
      </c>
      <c r="X205" s="10">
        <f t="shared" si="50"/>
        <v>6</v>
      </c>
      <c r="Y205" s="12">
        <f t="shared" si="43"/>
        <v>696.73230119250434</v>
      </c>
      <c r="Z205" s="11">
        <f t="shared" si="44"/>
        <v>23.412079136499152</v>
      </c>
      <c r="AA205" s="6">
        <v>0</v>
      </c>
      <c r="AB205" s="6">
        <v>0</v>
      </c>
      <c r="AC205" s="6">
        <v>0</v>
      </c>
      <c r="AD205" s="7">
        <v>1</v>
      </c>
      <c r="AE205" s="9">
        <f t="shared" si="58"/>
        <v>110</v>
      </c>
      <c r="AF205" s="10">
        <f t="shared" si="51"/>
        <v>8</v>
      </c>
      <c r="AG205" s="12">
        <f t="shared" si="45"/>
        <v>696.73230119250434</v>
      </c>
      <c r="AH205" s="11">
        <f t="shared" si="46"/>
        <v>23.412079136499152</v>
      </c>
      <c r="AJ205" s="6">
        <f t="shared" si="52"/>
        <v>1000</v>
      </c>
      <c r="AK205" s="4">
        <v>188</v>
      </c>
      <c r="AM205" s="2" t="str">
        <f t="shared" si="47"/>
        <v>0</v>
      </c>
      <c r="AN205" s="2" t="str">
        <f t="shared" si="53"/>
        <v>3E8</v>
      </c>
      <c r="AO205" s="2"/>
      <c r="AP205" s="2" t="str">
        <f t="shared" si="54"/>
        <v>03E8</v>
      </c>
    </row>
    <row r="206" spans="1:42" x14ac:dyDescent="0.2">
      <c r="A206">
        <v>189</v>
      </c>
      <c r="B206">
        <v>18.8</v>
      </c>
      <c r="C206" s="6">
        <v>0</v>
      </c>
      <c r="D206" s="6">
        <v>0</v>
      </c>
      <c r="E206" s="6">
        <v>0</v>
      </c>
      <c r="F206" s="7">
        <v>0</v>
      </c>
      <c r="G206" s="9">
        <v>100</v>
      </c>
      <c r="H206" s="10">
        <f t="shared" si="48"/>
        <v>0</v>
      </c>
      <c r="I206" s="12">
        <f t="shared" si="39"/>
        <v>639.30209199318563</v>
      </c>
      <c r="J206" s="11">
        <f t="shared" si="40"/>
        <v>21.729553476362859</v>
      </c>
      <c r="K206" s="6">
        <v>0</v>
      </c>
      <c r="L206" s="6">
        <v>1</v>
      </c>
      <c r="M206" s="6">
        <v>1</v>
      </c>
      <c r="N206" s="7">
        <v>0</v>
      </c>
      <c r="O206" s="9">
        <v>150</v>
      </c>
      <c r="P206" s="10">
        <f t="shared" si="49"/>
        <v>6</v>
      </c>
      <c r="Q206" s="12">
        <f t="shared" si="41"/>
        <v>926.4531379897785</v>
      </c>
      <c r="R206" s="11">
        <f t="shared" si="42"/>
        <v>30.142181777044289</v>
      </c>
      <c r="S206" s="6">
        <v>0</v>
      </c>
      <c r="T206" s="6">
        <v>1</v>
      </c>
      <c r="U206" s="6">
        <v>1</v>
      </c>
      <c r="V206" s="7">
        <v>0</v>
      </c>
      <c r="W206" s="9">
        <f t="shared" si="57"/>
        <v>112</v>
      </c>
      <c r="X206" s="10">
        <f t="shared" si="50"/>
        <v>6</v>
      </c>
      <c r="Y206" s="12">
        <f t="shared" si="43"/>
        <v>708.21834303236801</v>
      </c>
      <c r="Z206" s="11">
        <f t="shared" si="44"/>
        <v>23.748584268526407</v>
      </c>
      <c r="AA206" s="6">
        <v>0</v>
      </c>
      <c r="AB206" s="6">
        <v>0</v>
      </c>
      <c r="AC206" s="6">
        <v>0</v>
      </c>
      <c r="AD206" s="7">
        <v>1</v>
      </c>
      <c r="AE206" s="9">
        <f t="shared" si="58"/>
        <v>112</v>
      </c>
      <c r="AF206" s="10">
        <f t="shared" si="51"/>
        <v>8</v>
      </c>
      <c r="AG206" s="12">
        <f t="shared" si="45"/>
        <v>708.21834303236801</v>
      </c>
      <c r="AH206" s="11">
        <f t="shared" si="46"/>
        <v>23.748584268526407</v>
      </c>
      <c r="AJ206" s="6">
        <f t="shared" si="52"/>
        <v>1000</v>
      </c>
      <c r="AK206" s="4">
        <v>189</v>
      </c>
      <c r="AM206" s="2" t="str">
        <f t="shared" si="47"/>
        <v>0</v>
      </c>
      <c r="AN206" s="2" t="str">
        <f t="shared" si="53"/>
        <v>3E8</v>
      </c>
      <c r="AO206" s="2"/>
      <c r="AP206" s="2" t="str">
        <f t="shared" si="54"/>
        <v>03E8</v>
      </c>
    </row>
    <row r="207" spans="1:42" x14ac:dyDescent="0.2">
      <c r="A207">
        <v>190</v>
      </c>
      <c r="B207">
        <v>18.899999999999999</v>
      </c>
      <c r="C207" s="6">
        <v>0</v>
      </c>
      <c r="D207" s="6">
        <v>0</v>
      </c>
      <c r="E207" s="6">
        <v>0</v>
      </c>
      <c r="F207" s="7">
        <v>0</v>
      </c>
      <c r="G207" s="9">
        <v>100</v>
      </c>
      <c r="H207" s="10">
        <f t="shared" si="48"/>
        <v>0</v>
      </c>
      <c r="I207" s="12">
        <f t="shared" si="39"/>
        <v>639.30209199318563</v>
      </c>
      <c r="J207" s="11">
        <f t="shared" si="40"/>
        <v>21.729553476362859</v>
      </c>
      <c r="K207" s="6">
        <v>0</v>
      </c>
      <c r="L207" s="6">
        <v>1</v>
      </c>
      <c r="M207" s="6">
        <v>1</v>
      </c>
      <c r="N207" s="7">
        <v>0</v>
      </c>
      <c r="O207" s="9">
        <v>150</v>
      </c>
      <c r="P207" s="10">
        <f t="shared" si="49"/>
        <v>6</v>
      </c>
      <c r="Q207" s="12">
        <f t="shared" si="41"/>
        <v>926.4531379897785</v>
      </c>
      <c r="R207" s="11">
        <f t="shared" si="42"/>
        <v>30.142181777044289</v>
      </c>
      <c r="S207" s="6">
        <v>0</v>
      </c>
      <c r="T207" s="6">
        <v>1</v>
      </c>
      <c r="U207" s="6">
        <v>1</v>
      </c>
      <c r="V207" s="7">
        <v>0</v>
      </c>
      <c r="W207" s="9">
        <f t="shared" si="57"/>
        <v>114</v>
      </c>
      <c r="X207" s="10">
        <f t="shared" si="50"/>
        <v>6</v>
      </c>
      <c r="Y207" s="12">
        <f t="shared" si="43"/>
        <v>719.70438487223146</v>
      </c>
      <c r="Z207" s="11">
        <f t="shared" si="44"/>
        <v>24.085089400553656</v>
      </c>
      <c r="AA207" s="6">
        <v>0</v>
      </c>
      <c r="AB207" s="6">
        <v>0</v>
      </c>
      <c r="AC207" s="6">
        <v>0</v>
      </c>
      <c r="AD207" s="7">
        <v>1</v>
      </c>
      <c r="AE207" s="9">
        <f t="shared" si="58"/>
        <v>114</v>
      </c>
      <c r="AF207" s="10">
        <f t="shared" si="51"/>
        <v>8</v>
      </c>
      <c r="AG207" s="12">
        <f t="shared" si="45"/>
        <v>719.70438487223146</v>
      </c>
      <c r="AH207" s="11">
        <f t="shared" si="46"/>
        <v>24.085089400553656</v>
      </c>
      <c r="AJ207" s="6">
        <f t="shared" si="52"/>
        <v>1000</v>
      </c>
      <c r="AK207" s="4">
        <v>190</v>
      </c>
      <c r="AM207" s="2" t="str">
        <f t="shared" si="47"/>
        <v>0</v>
      </c>
      <c r="AN207" s="2" t="str">
        <f t="shared" si="53"/>
        <v>3E8</v>
      </c>
      <c r="AO207" s="2"/>
      <c r="AP207" s="2" t="str">
        <f t="shared" si="54"/>
        <v>03E8</v>
      </c>
    </row>
    <row r="208" spans="1:42" x14ac:dyDescent="0.2">
      <c r="A208">
        <v>191</v>
      </c>
      <c r="B208">
        <v>19</v>
      </c>
      <c r="C208" s="6">
        <v>0</v>
      </c>
      <c r="D208" s="6">
        <v>0</v>
      </c>
      <c r="E208" s="6">
        <v>0</v>
      </c>
      <c r="F208" s="7">
        <v>0</v>
      </c>
      <c r="G208" s="9">
        <v>100</v>
      </c>
      <c r="H208" s="10">
        <f t="shared" si="48"/>
        <v>0</v>
      </c>
      <c r="I208" s="12">
        <f t="shared" si="39"/>
        <v>639.30209199318563</v>
      </c>
      <c r="J208" s="11">
        <f t="shared" si="40"/>
        <v>21.729553476362859</v>
      </c>
      <c r="K208" s="6">
        <v>0</v>
      </c>
      <c r="L208" s="6">
        <v>1</v>
      </c>
      <c r="M208" s="6">
        <v>1</v>
      </c>
      <c r="N208" s="7">
        <v>0</v>
      </c>
      <c r="O208" s="9">
        <v>150</v>
      </c>
      <c r="P208" s="10">
        <f t="shared" si="49"/>
        <v>6</v>
      </c>
      <c r="Q208" s="12">
        <f t="shared" si="41"/>
        <v>926.4531379897785</v>
      </c>
      <c r="R208" s="11">
        <f t="shared" si="42"/>
        <v>30.142181777044289</v>
      </c>
      <c r="S208" s="6">
        <v>0</v>
      </c>
      <c r="T208" s="6">
        <v>1</v>
      </c>
      <c r="U208" s="6">
        <v>1</v>
      </c>
      <c r="V208" s="7">
        <v>0</v>
      </c>
      <c r="W208" s="9">
        <f t="shared" si="57"/>
        <v>116</v>
      </c>
      <c r="X208" s="10">
        <f t="shared" si="50"/>
        <v>6</v>
      </c>
      <c r="Y208" s="12">
        <f t="shared" si="43"/>
        <v>731.19042671209536</v>
      </c>
      <c r="Z208" s="11">
        <f t="shared" si="44"/>
        <v>24.421594532580919</v>
      </c>
      <c r="AA208" s="6">
        <v>0</v>
      </c>
      <c r="AB208" s="6">
        <v>0</v>
      </c>
      <c r="AC208" s="6">
        <v>0</v>
      </c>
      <c r="AD208" s="7">
        <v>1</v>
      </c>
      <c r="AE208" s="9">
        <f t="shared" si="58"/>
        <v>116</v>
      </c>
      <c r="AF208" s="10">
        <f t="shared" si="51"/>
        <v>8</v>
      </c>
      <c r="AG208" s="12">
        <f t="shared" si="45"/>
        <v>731.19042671209536</v>
      </c>
      <c r="AH208" s="11">
        <f t="shared" si="46"/>
        <v>24.421594532580919</v>
      </c>
      <c r="AJ208" s="6">
        <f t="shared" si="52"/>
        <v>1000</v>
      </c>
      <c r="AK208" s="4">
        <v>191</v>
      </c>
      <c r="AM208" s="2" t="str">
        <f t="shared" si="47"/>
        <v>0</v>
      </c>
      <c r="AN208" s="2" t="str">
        <f t="shared" si="53"/>
        <v>3E8</v>
      </c>
      <c r="AO208" s="2"/>
      <c r="AP208" s="2" t="str">
        <f t="shared" si="54"/>
        <v>03E8</v>
      </c>
    </row>
    <row r="209" spans="1:42" x14ac:dyDescent="0.2">
      <c r="A209">
        <v>192</v>
      </c>
      <c r="B209">
        <v>19.100000000000001</v>
      </c>
      <c r="C209" s="6">
        <v>0</v>
      </c>
      <c r="D209" s="6">
        <v>0</v>
      </c>
      <c r="E209" s="6">
        <v>0</v>
      </c>
      <c r="F209" s="7">
        <v>0</v>
      </c>
      <c r="G209" s="9">
        <v>100</v>
      </c>
      <c r="H209" s="10">
        <f t="shared" si="48"/>
        <v>0</v>
      </c>
      <c r="I209" s="12">
        <f t="shared" si="39"/>
        <v>639.30209199318563</v>
      </c>
      <c r="J209" s="11">
        <f t="shared" si="40"/>
        <v>21.729553476362859</v>
      </c>
      <c r="K209" s="6">
        <v>0</v>
      </c>
      <c r="L209" s="6">
        <v>1</v>
      </c>
      <c r="M209" s="6">
        <v>1</v>
      </c>
      <c r="N209" s="7">
        <v>0</v>
      </c>
      <c r="O209" s="9">
        <v>150</v>
      </c>
      <c r="P209" s="10">
        <f t="shared" si="49"/>
        <v>6</v>
      </c>
      <c r="Q209" s="12">
        <f t="shared" si="41"/>
        <v>926.4531379897785</v>
      </c>
      <c r="R209" s="11">
        <f t="shared" si="42"/>
        <v>30.142181777044289</v>
      </c>
      <c r="S209" s="6">
        <v>0</v>
      </c>
      <c r="T209" s="6">
        <v>1</v>
      </c>
      <c r="U209" s="6">
        <v>1</v>
      </c>
      <c r="V209" s="7">
        <v>0</v>
      </c>
      <c r="W209" s="9">
        <f t="shared" si="57"/>
        <v>118</v>
      </c>
      <c r="X209" s="10">
        <f t="shared" si="50"/>
        <v>6</v>
      </c>
      <c r="Y209" s="12">
        <f t="shared" si="43"/>
        <v>742.67646855195903</v>
      </c>
      <c r="Z209" s="11">
        <f t="shared" si="44"/>
        <v>24.758099664608174</v>
      </c>
      <c r="AA209" s="6">
        <v>0</v>
      </c>
      <c r="AB209" s="6">
        <v>0</v>
      </c>
      <c r="AC209" s="6">
        <v>0</v>
      </c>
      <c r="AD209" s="7">
        <v>1</v>
      </c>
      <c r="AE209" s="9">
        <f t="shared" si="58"/>
        <v>118</v>
      </c>
      <c r="AF209" s="10">
        <f t="shared" si="51"/>
        <v>8</v>
      </c>
      <c r="AG209" s="12">
        <f t="shared" si="45"/>
        <v>742.67646855195903</v>
      </c>
      <c r="AH209" s="11">
        <f t="shared" si="46"/>
        <v>24.758099664608174</v>
      </c>
      <c r="AJ209" s="6">
        <f t="shared" si="52"/>
        <v>1000</v>
      </c>
      <c r="AK209" s="4">
        <v>192</v>
      </c>
      <c r="AM209" s="2" t="str">
        <f t="shared" si="47"/>
        <v>0</v>
      </c>
      <c r="AN209" s="2" t="str">
        <f t="shared" si="53"/>
        <v>3E8</v>
      </c>
      <c r="AO209" s="2"/>
      <c r="AP209" s="2" t="str">
        <f t="shared" si="54"/>
        <v>03E8</v>
      </c>
    </row>
    <row r="210" spans="1:42" x14ac:dyDescent="0.2">
      <c r="A210">
        <v>193</v>
      </c>
      <c r="B210">
        <v>19.2</v>
      </c>
      <c r="C210" s="6">
        <v>0</v>
      </c>
      <c r="D210" s="6">
        <v>0</v>
      </c>
      <c r="E210" s="6">
        <v>0</v>
      </c>
      <c r="F210" s="7">
        <v>0</v>
      </c>
      <c r="G210" s="9">
        <v>100</v>
      </c>
      <c r="H210" s="10">
        <f t="shared" si="48"/>
        <v>0</v>
      </c>
      <c r="I210" s="12">
        <f t="shared" ref="I210:I273" si="59">PH_FIRE_VOLTAGE_OFFSET + 1023*(G210/100*G$16*$I$7+$I$6)*$S$10/(PH_FIRE_VOLTAGE_AMPLITUDE*0.01)</f>
        <v>639.30209199318563</v>
      </c>
      <c r="J210" s="11">
        <f t="shared" ref="J210:J273" si="60">I210/(DAC_LIMIT_MAX-DAC_LIMIT_MIN+1)*GAIN_PREAMP*GAIN_POWERAMP+OFFSET_AMP</f>
        <v>21.729553476362859</v>
      </c>
      <c r="K210" s="6">
        <v>0</v>
      </c>
      <c r="L210" s="6">
        <v>1</v>
      </c>
      <c r="M210" s="6">
        <v>1</v>
      </c>
      <c r="N210" s="7">
        <v>0</v>
      </c>
      <c r="O210" s="9">
        <v>150</v>
      </c>
      <c r="P210" s="10">
        <f t="shared" si="49"/>
        <v>6</v>
      </c>
      <c r="Q210" s="12">
        <f t="shared" ref="Q210:Q273" si="61">PH_FIRE_VOLTAGE_OFFSET + 1023*(O210/100*O$16*$I$7+$I$6)*$S$10/(PH_FIRE_VOLTAGE_AMPLITUDE*0.01)</f>
        <v>926.4531379897785</v>
      </c>
      <c r="R210" s="11">
        <f t="shared" ref="R210:R273" si="62">Q210/(DAC_LIMIT_MAX-DAC_LIMIT_MIN+1)*GAIN_PREAMP*GAIN_POWERAMP+OFFSET_AMP</f>
        <v>30.142181777044289</v>
      </c>
      <c r="S210" s="6">
        <v>0</v>
      </c>
      <c r="T210" s="6">
        <v>1</v>
      </c>
      <c r="U210" s="6">
        <v>1</v>
      </c>
      <c r="V210" s="7">
        <v>0</v>
      </c>
      <c r="W210" s="9">
        <f t="shared" si="57"/>
        <v>120</v>
      </c>
      <c r="X210" s="10">
        <f t="shared" si="50"/>
        <v>6</v>
      </c>
      <c r="Y210" s="12">
        <f t="shared" ref="Y210:Y273" si="63">PH_FIRE_VOLTAGE_OFFSET + 1023*(W210/100*W$16*$I$7+$I$6)*$S$10/(PH_FIRE_VOLTAGE_AMPLITUDE*0.01)</f>
        <v>754.16251039182271</v>
      </c>
      <c r="Z210" s="11">
        <f t="shared" ref="Z210:Z273" si="64">Y210/(DAC_LIMIT_MAX-DAC_LIMIT_MIN+1)*GAIN_PREAMP*GAIN_POWERAMP+OFFSET_AMP</f>
        <v>25.09460479663543</v>
      </c>
      <c r="AA210" s="6">
        <v>0</v>
      </c>
      <c r="AB210" s="6">
        <v>0</v>
      </c>
      <c r="AC210" s="6">
        <v>0</v>
      </c>
      <c r="AD210" s="7">
        <v>1</v>
      </c>
      <c r="AE210" s="9">
        <f t="shared" si="58"/>
        <v>120</v>
      </c>
      <c r="AF210" s="10">
        <f t="shared" si="51"/>
        <v>8</v>
      </c>
      <c r="AG210" s="12">
        <f t="shared" ref="AG210:AG273" si="65">PH_FIRE_VOLTAGE_OFFSET + 1023*(AE210/100*AE$16*$I$7+$I$6)*$S$10/(PH_FIRE_VOLTAGE_AMPLITUDE*0.01)</f>
        <v>754.16251039182271</v>
      </c>
      <c r="AH210" s="11">
        <f t="shared" ref="AH210:AH273" si="66">AG210/(DAC_LIMIT_MAX-DAC_LIMIT_MIN+1)*GAIN_PREAMP*GAIN_POWERAMP+OFFSET_AMP</f>
        <v>25.09460479663543</v>
      </c>
      <c r="AJ210" s="6">
        <f t="shared" si="52"/>
        <v>1000</v>
      </c>
      <c r="AK210" s="4">
        <v>193</v>
      </c>
      <c r="AM210" s="2" t="str">
        <f t="shared" ref="AM210:AM273" si="67">BIN2HEX(C210+10*D210+100*E210+1000*F210,1)</f>
        <v>0</v>
      </c>
      <c r="AN210" s="2" t="str">
        <f t="shared" si="53"/>
        <v>3E8</v>
      </c>
      <c r="AO210" s="2"/>
      <c r="AP210" s="2" t="str">
        <f t="shared" si="54"/>
        <v>03E8</v>
      </c>
    </row>
    <row r="211" spans="1:42" x14ac:dyDescent="0.2">
      <c r="A211">
        <v>194</v>
      </c>
      <c r="B211">
        <v>19.3</v>
      </c>
      <c r="C211" s="6">
        <v>0</v>
      </c>
      <c r="D211" s="6">
        <v>0</v>
      </c>
      <c r="E211" s="6">
        <v>0</v>
      </c>
      <c r="F211" s="7">
        <v>0</v>
      </c>
      <c r="G211" s="9">
        <v>100</v>
      </c>
      <c r="H211" s="10">
        <f t="shared" ref="H211:H274" si="68">BIN2DEC(C211+10*D211+100*E211+1000*F211)</f>
        <v>0</v>
      </c>
      <c r="I211" s="12">
        <f t="shared" si="59"/>
        <v>639.30209199318563</v>
      </c>
      <c r="J211" s="11">
        <f t="shared" si="60"/>
        <v>21.729553476362859</v>
      </c>
      <c r="K211" s="6">
        <v>0</v>
      </c>
      <c r="L211" s="6">
        <v>1</v>
      </c>
      <c r="M211" s="6">
        <v>1</v>
      </c>
      <c r="N211" s="7">
        <v>0</v>
      </c>
      <c r="O211" s="9">
        <v>150</v>
      </c>
      <c r="P211" s="10">
        <f t="shared" ref="P211:P274" si="69">BIN2DEC(K211+10*L211+100*M211+1000*N211)</f>
        <v>6</v>
      </c>
      <c r="Q211" s="12">
        <f t="shared" si="61"/>
        <v>926.4531379897785</v>
      </c>
      <c r="R211" s="11">
        <f t="shared" si="62"/>
        <v>30.142181777044289</v>
      </c>
      <c r="S211" s="6">
        <v>0</v>
      </c>
      <c r="T211" s="6">
        <v>1</v>
      </c>
      <c r="U211" s="6">
        <v>1</v>
      </c>
      <c r="V211" s="7">
        <v>0</v>
      </c>
      <c r="W211" s="9">
        <v>120</v>
      </c>
      <c r="X211" s="10">
        <f t="shared" ref="X211:X274" si="70">BIN2DEC(S211+10*T211+100*U211+1000*V211)</f>
        <v>6</v>
      </c>
      <c r="Y211" s="12">
        <f t="shared" si="63"/>
        <v>754.16251039182271</v>
      </c>
      <c r="Z211" s="11">
        <f t="shared" si="64"/>
        <v>25.09460479663543</v>
      </c>
      <c r="AA211" s="6">
        <v>0</v>
      </c>
      <c r="AB211" s="6">
        <v>0</v>
      </c>
      <c r="AC211" s="6">
        <v>0</v>
      </c>
      <c r="AD211" s="7">
        <v>1</v>
      </c>
      <c r="AE211" s="9">
        <v>120</v>
      </c>
      <c r="AF211" s="10">
        <f t="shared" ref="AF211:AF274" si="71">BIN2DEC(AA211+10*AB211+100*AC211+1000*AD211)</f>
        <v>8</v>
      </c>
      <c r="AG211" s="12">
        <f t="shared" si="65"/>
        <v>754.16251039182271</v>
      </c>
      <c r="AH211" s="11">
        <f t="shared" si="66"/>
        <v>25.09460479663543</v>
      </c>
      <c r="AJ211" s="6">
        <f t="shared" ref="AJ211:AJ274" si="72">ROUNDDOWN(($G211*$G$16+$I$6*100)*10,0)</f>
        <v>1000</v>
      </c>
      <c r="AK211" s="4">
        <v>194</v>
      </c>
      <c r="AM211" s="2" t="str">
        <f t="shared" si="67"/>
        <v>0</v>
      </c>
      <c r="AN211" s="2" t="str">
        <f t="shared" ref="AN211:AN274" si="73">DEC2HEX(AJ211,3)</f>
        <v>3E8</v>
      </c>
      <c r="AO211" s="2"/>
      <c r="AP211" s="2" t="str">
        <f t="shared" ref="AP211:AP274" si="74">CONCATENATE(AM211,AN211)</f>
        <v>03E8</v>
      </c>
    </row>
    <row r="212" spans="1:42" x14ac:dyDescent="0.2">
      <c r="A212">
        <v>195</v>
      </c>
      <c r="B212">
        <v>19.399999999999999</v>
      </c>
      <c r="C212" s="6">
        <v>0</v>
      </c>
      <c r="D212" s="6">
        <v>0</v>
      </c>
      <c r="E212" s="6">
        <v>0</v>
      </c>
      <c r="F212" s="7">
        <v>0</v>
      </c>
      <c r="G212" s="9">
        <v>100</v>
      </c>
      <c r="H212" s="10">
        <f t="shared" si="68"/>
        <v>0</v>
      </c>
      <c r="I212" s="12">
        <f t="shared" si="59"/>
        <v>639.30209199318563</v>
      </c>
      <c r="J212" s="11">
        <f t="shared" si="60"/>
        <v>21.729553476362859</v>
      </c>
      <c r="K212" s="6">
        <v>0</v>
      </c>
      <c r="L212" s="6">
        <v>1</v>
      </c>
      <c r="M212" s="6">
        <v>1</v>
      </c>
      <c r="N212" s="7">
        <v>0</v>
      </c>
      <c r="O212" s="9">
        <v>150</v>
      </c>
      <c r="P212" s="10">
        <f t="shared" si="69"/>
        <v>6</v>
      </c>
      <c r="Q212" s="12">
        <f t="shared" si="61"/>
        <v>926.4531379897785</v>
      </c>
      <c r="R212" s="11">
        <f t="shared" si="62"/>
        <v>30.142181777044289</v>
      </c>
      <c r="S212" s="6">
        <v>0</v>
      </c>
      <c r="T212" s="6">
        <v>1</v>
      </c>
      <c r="U212" s="6">
        <v>1</v>
      </c>
      <c r="V212" s="7">
        <v>0</v>
      </c>
      <c r="W212" s="9">
        <v>120</v>
      </c>
      <c r="X212" s="10">
        <f t="shared" si="70"/>
        <v>6</v>
      </c>
      <c r="Y212" s="12">
        <f t="shared" si="63"/>
        <v>754.16251039182271</v>
      </c>
      <c r="Z212" s="11">
        <f t="shared" si="64"/>
        <v>25.09460479663543</v>
      </c>
      <c r="AA212" s="6">
        <v>0</v>
      </c>
      <c r="AB212" s="6">
        <v>0</v>
      </c>
      <c r="AC212" s="6">
        <v>0</v>
      </c>
      <c r="AD212" s="7">
        <v>1</v>
      </c>
      <c r="AE212" s="9">
        <v>120</v>
      </c>
      <c r="AF212" s="10">
        <f t="shared" si="71"/>
        <v>8</v>
      </c>
      <c r="AG212" s="12">
        <f t="shared" si="65"/>
        <v>754.16251039182271</v>
      </c>
      <c r="AH212" s="11">
        <f t="shared" si="66"/>
        <v>25.09460479663543</v>
      </c>
      <c r="AJ212" s="6">
        <f t="shared" si="72"/>
        <v>1000</v>
      </c>
      <c r="AK212" s="4">
        <v>195</v>
      </c>
      <c r="AM212" s="2" t="str">
        <f t="shared" si="67"/>
        <v>0</v>
      </c>
      <c r="AN212" s="2" t="str">
        <f t="shared" si="73"/>
        <v>3E8</v>
      </c>
      <c r="AO212" s="2"/>
      <c r="AP212" s="2" t="str">
        <f t="shared" si="74"/>
        <v>03E8</v>
      </c>
    </row>
    <row r="213" spans="1:42" x14ac:dyDescent="0.2">
      <c r="A213">
        <v>196</v>
      </c>
      <c r="B213">
        <v>19.5</v>
      </c>
      <c r="C213" s="6">
        <v>0</v>
      </c>
      <c r="D213" s="6">
        <v>0</v>
      </c>
      <c r="E213" s="6">
        <v>0</v>
      </c>
      <c r="F213" s="7">
        <v>0</v>
      </c>
      <c r="G213" s="9">
        <v>100</v>
      </c>
      <c r="H213" s="10">
        <f t="shared" si="68"/>
        <v>0</v>
      </c>
      <c r="I213" s="12">
        <f t="shared" si="59"/>
        <v>639.30209199318563</v>
      </c>
      <c r="J213" s="11">
        <f t="shared" si="60"/>
        <v>21.729553476362859</v>
      </c>
      <c r="K213" s="6">
        <v>0</v>
      </c>
      <c r="L213" s="6">
        <v>1</v>
      </c>
      <c r="M213" s="6">
        <v>1</v>
      </c>
      <c r="N213" s="7">
        <v>0</v>
      </c>
      <c r="O213" s="9">
        <v>150</v>
      </c>
      <c r="P213" s="10">
        <f t="shared" si="69"/>
        <v>6</v>
      </c>
      <c r="Q213" s="12">
        <f t="shared" si="61"/>
        <v>926.4531379897785</v>
      </c>
      <c r="R213" s="11">
        <f t="shared" si="62"/>
        <v>30.142181777044289</v>
      </c>
      <c r="S213" s="6">
        <v>0</v>
      </c>
      <c r="T213" s="6">
        <v>1</v>
      </c>
      <c r="U213" s="6">
        <v>1</v>
      </c>
      <c r="V213" s="7">
        <v>0</v>
      </c>
      <c r="W213" s="9">
        <v>120</v>
      </c>
      <c r="X213" s="10">
        <f t="shared" si="70"/>
        <v>6</v>
      </c>
      <c r="Y213" s="12">
        <f t="shared" si="63"/>
        <v>754.16251039182271</v>
      </c>
      <c r="Z213" s="11">
        <f t="shared" si="64"/>
        <v>25.09460479663543</v>
      </c>
      <c r="AA213" s="6">
        <v>0</v>
      </c>
      <c r="AB213" s="6">
        <v>0</v>
      </c>
      <c r="AC213" s="6">
        <v>0</v>
      </c>
      <c r="AD213" s="7">
        <v>1</v>
      </c>
      <c r="AE213" s="9">
        <v>120</v>
      </c>
      <c r="AF213" s="10">
        <f t="shared" si="71"/>
        <v>8</v>
      </c>
      <c r="AG213" s="12">
        <f t="shared" si="65"/>
        <v>754.16251039182271</v>
      </c>
      <c r="AH213" s="11">
        <f t="shared" si="66"/>
        <v>25.09460479663543</v>
      </c>
      <c r="AJ213" s="6">
        <f t="shared" si="72"/>
        <v>1000</v>
      </c>
      <c r="AK213" s="4">
        <v>196</v>
      </c>
      <c r="AM213" s="2" t="str">
        <f t="shared" si="67"/>
        <v>0</v>
      </c>
      <c r="AN213" s="2" t="str">
        <f t="shared" si="73"/>
        <v>3E8</v>
      </c>
      <c r="AO213" s="2"/>
      <c r="AP213" s="2" t="str">
        <f t="shared" si="74"/>
        <v>03E8</v>
      </c>
    </row>
    <row r="214" spans="1:42" x14ac:dyDescent="0.2">
      <c r="A214">
        <v>197</v>
      </c>
      <c r="B214">
        <v>19.600000000000001</v>
      </c>
      <c r="C214" s="6">
        <v>0</v>
      </c>
      <c r="D214" s="6">
        <v>0</v>
      </c>
      <c r="E214" s="6">
        <v>0</v>
      </c>
      <c r="F214" s="7">
        <v>0</v>
      </c>
      <c r="G214" s="9">
        <v>100</v>
      </c>
      <c r="H214" s="10">
        <f t="shared" si="68"/>
        <v>0</v>
      </c>
      <c r="I214" s="12">
        <f t="shared" si="59"/>
        <v>639.30209199318563</v>
      </c>
      <c r="J214" s="11">
        <f t="shared" si="60"/>
        <v>21.729553476362859</v>
      </c>
      <c r="K214" s="6">
        <v>0</v>
      </c>
      <c r="L214" s="6">
        <v>1</v>
      </c>
      <c r="M214" s="6">
        <v>1</v>
      </c>
      <c r="N214" s="7">
        <v>0</v>
      </c>
      <c r="O214" s="9">
        <v>150</v>
      </c>
      <c r="P214" s="10">
        <f t="shared" si="69"/>
        <v>6</v>
      </c>
      <c r="Q214" s="12">
        <f t="shared" si="61"/>
        <v>926.4531379897785</v>
      </c>
      <c r="R214" s="11">
        <f t="shared" si="62"/>
        <v>30.142181777044289</v>
      </c>
      <c r="S214" s="6">
        <v>0</v>
      </c>
      <c r="T214" s="6">
        <v>1</v>
      </c>
      <c r="U214" s="6">
        <v>1</v>
      </c>
      <c r="V214" s="7">
        <v>0</v>
      </c>
      <c r="W214" s="9">
        <v>120</v>
      </c>
      <c r="X214" s="10">
        <f t="shared" si="70"/>
        <v>6</v>
      </c>
      <c r="Y214" s="12">
        <f t="shared" si="63"/>
        <v>754.16251039182271</v>
      </c>
      <c r="Z214" s="11">
        <f t="shared" si="64"/>
        <v>25.09460479663543</v>
      </c>
      <c r="AA214" s="6">
        <v>0</v>
      </c>
      <c r="AB214" s="6">
        <v>0</v>
      </c>
      <c r="AC214" s="6">
        <v>0</v>
      </c>
      <c r="AD214" s="7">
        <v>1</v>
      </c>
      <c r="AE214" s="9">
        <v>120</v>
      </c>
      <c r="AF214" s="10">
        <f t="shared" si="71"/>
        <v>8</v>
      </c>
      <c r="AG214" s="12">
        <f t="shared" si="65"/>
        <v>754.16251039182271</v>
      </c>
      <c r="AH214" s="11">
        <f t="shared" si="66"/>
        <v>25.09460479663543</v>
      </c>
      <c r="AJ214" s="6">
        <f t="shared" si="72"/>
        <v>1000</v>
      </c>
      <c r="AK214" s="4">
        <v>197</v>
      </c>
      <c r="AM214" s="2" t="str">
        <f t="shared" si="67"/>
        <v>0</v>
      </c>
      <c r="AN214" s="2" t="str">
        <f t="shared" si="73"/>
        <v>3E8</v>
      </c>
      <c r="AO214" s="2"/>
      <c r="AP214" s="2" t="str">
        <f t="shared" si="74"/>
        <v>03E8</v>
      </c>
    </row>
    <row r="215" spans="1:42" x14ac:dyDescent="0.2">
      <c r="A215">
        <v>198</v>
      </c>
      <c r="B215">
        <v>19.7</v>
      </c>
      <c r="C215" s="6">
        <v>0</v>
      </c>
      <c r="D215" s="6">
        <v>0</v>
      </c>
      <c r="E215" s="6">
        <v>0</v>
      </c>
      <c r="F215" s="7">
        <v>0</v>
      </c>
      <c r="G215" s="9">
        <v>100</v>
      </c>
      <c r="H215" s="10">
        <f t="shared" si="68"/>
        <v>0</v>
      </c>
      <c r="I215" s="12">
        <f t="shared" si="59"/>
        <v>639.30209199318563</v>
      </c>
      <c r="J215" s="11">
        <f t="shared" si="60"/>
        <v>21.729553476362859</v>
      </c>
      <c r="K215" s="6">
        <v>0</v>
      </c>
      <c r="L215" s="6">
        <v>1</v>
      </c>
      <c r="M215" s="6">
        <v>1</v>
      </c>
      <c r="N215" s="7">
        <v>0</v>
      </c>
      <c r="O215" s="9">
        <v>150</v>
      </c>
      <c r="P215" s="10">
        <f t="shared" si="69"/>
        <v>6</v>
      </c>
      <c r="Q215" s="12">
        <f t="shared" si="61"/>
        <v>926.4531379897785</v>
      </c>
      <c r="R215" s="11">
        <f t="shared" si="62"/>
        <v>30.142181777044289</v>
      </c>
      <c r="S215" s="6">
        <v>0</v>
      </c>
      <c r="T215" s="6">
        <v>1</v>
      </c>
      <c r="U215" s="6">
        <v>1</v>
      </c>
      <c r="V215" s="7">
        <v>0</v>
      </c>
      <c r="W215" s="9">
        <v>120</v>
      </c>
      <c r="X215" s="10">
        <f t="shared" si="70"/>
        <v>6</v>
      </c>
      <c r="Y215" s="12">
        <f t="shared" si="63"/>
        <v>754.16251039182271</v>
      </c>
      <c r="Z215" s="11">
        <f t="shared" si="64"/>
        <v>25.09460479663543</v>
      </c>
      <c r="AA215" s="6">
        <v>0</v>
      </c>
      <c r="AB215" s="6">
        <v>0</v>
      </c>
      <c r="AC215" s="6">
        <v>0</v>
      </c>
      <c r="AD215" s="7">
        <v>1</v>
      </c>
      <c r="AE215" s="9">
        <v>120</v>
      </c>
      <c r="AF215" s="10">
        <f t="shared" si="71"/>
        <v>8</v>
      </c>
      <c r="AG215" s="12">
        <f t="shared" si="65"/>
        <v>754.16251039182271</v>
      </c>
      <c r="AH215" s="11">
        <f t="shared" si="66"/>
        <v>25.09460479663543</v>
      </c>
      <c r="AJ215" s="6">
        <f t="shared" si="72"/>
        <v>1000</v>
      </c>
      <c r="AK215" s="4">
        <v>198</v>
      </c>
      <c r="AM215" s="2" t="str">
        <f t="shared" si="67"/>
        <v>0</v>
      </c>
      <c r="AN215" s="2" t="str">
        <f t="shared" si="73"/>
        <v>3E8</v>
      </c>
      <c r="AO215" s="2"/>
      <c r="AP215" s="2" t="str">
        <f t="shared" si="74"/>
        <v>03E8</v>
      </c>
    </row>
    <row r="216" spans="1:42" x14ac:dyDescent="0.2">
      <c r="A216">
        <v>199</v>
      </c>
      <c r="B216">
        <v>19.8</v>
      </c>
      <c r="C216" s="6">
        <v>0</v>
      </c>
      <c r="D216" s="6">
        <v>0</v>
      </c>
      <c r="E216" s="6">
        <v>0</v>
      </c>
      <c r="F216" s="7">
        <v>0</v>
      </c>
      <c r="G216" s="9">
        <v>100</v>
      </c>
      <c r="H216" s="10">
        <f t="shared" si="68"/>
        <v>0</v>
      </c>
      <c r="I216" s="12">
        <f t="shared" si="59"/>
        <v>639.30209199318563</v>
      </c>
      <c r="J216" s="11">
        <f t="shared" si="60"/>
        <v>21.729553476362859</v>
      </c>
      <c r="K216" s="6">
        <v>0</v>
      </c>
      <c r="L216" s="6">
        <v>1</v>
      </c>
      <c r="M216" s="6">
        <v>1</v>
      </c>
      <c r="N216" s="7">
        <v>0</v>
      </c>
      <c r="O216" s="9">
        <v>150</v>
      </c>
      <c r="P216" s="10">
        <f t="shared" si="69"/>
        <v>6</v>
      </c>
      <c r="Q216" s="12">
        <f t="shared" si="61"/>
        <v>926.4531379897785</v>
      </c>
      <c r="R216" s="11">
        <f t="shared" si="62"/>
        <v>30.142181777044289</v>
      </c>
      <c r="S216" s="6">
        <v>0</v>
      </c>
      <c r="T216" s="6">
        <v>1</v>
      </c>
      <c r="U216" s="6">
        <v>1</v>
      </c>
      <c r="V216" s="7">
        <v>0</v>
      </c>
      <c r="W216" s="9">
        <v>120</v>
      </c>
      <c r="X216" s="10">
        <f t="shared" si="70"/>
        <v>6</v>
      </c>
      <c r="Y216" s="12">
        <f t="shared" si="63"/>
        <v>754.16251039182271</v>
      </c>
      <c r="Z216" s="11">
        <f t="shared" si="64"/>
        <v>25.09460479663543</v>
      </c>
      <c r="AA216" s="6">
        <v>0</v>
      </c>
      <c r="AB216" s="6">
        <v>0</v>
      </c>
      <c r="AC216" s="6">
        <v>0</v>
      </c>
      <c r="AD216" s="7">
        <v>1</v>
      </c>
      <c r="AE216" s="9">
        <v>120</v>
      </c>
      <c r="AF216" s="10">
        <f t="shared" si="71"/>
        <v>8</v>
      </c>
      <c r="AG216" s="12">
        <f t="shared" si="65"/>
        <v>754.16251039182271</v>
      </c>
      <c r="AH216" s="11">
        <f t="shared" si="66"/>
        <v>25.09460479663543</v>
      </c>
      <c r="AJ216" s="6">
        <f t="shared" si="72"/>
        <v>1000</v>
      </c>
      <c r="AK216" s="4">
        <v>199</v>
      </c>
      <c r="AM216" s="2" t="str">
        <f t="shared" si="67"/>
        <v>0</v>
      </c>
      <c r="AN216" s="2" t="str">
        <f t="shared" si="73"/>
        <v>3E8</v>
      </c>
      <c r="AO216" s="2"/>
      <c r="AP216" s="2" t="str">
        <f t="shared" si="74"/>
        <v>03E8</v>
      </c>
    </row>
    <row r="217" spans="1:42" x14ac:dyDescent="0.2">
      <c r="A217">
        <v>200</v>
      </c>
      <c r="B217">
        <v>19.899999999999999</v>
      </c>
      <c r="C217" s="6">
        <v>0</v>
      </c>
      <c r="D217" s="6">
        <v>0</v>
      </c>
      <c r="E217" s="6">
        <v>0</v>
      </c>
      <c r="F217" s="7">
        <v>0</v>
      </c>
      <c r="G217" s="9">
        <v>100</v>
      </c>
      <c r="H217" s="10">
        <f t="shared" si="68"/>
        <v>0</v>
      </c>
      <c r="I217" s="12">
        <f t="shared" si="59"/>
        <v>639.30209199318563</v>
      </c>
      <c r="J217" s="11">
        <f t="shared" si="60"/>
        <v>21.729553476362859</v>
      </c>
      <c r="K217" s="6">
        <v>0</v>
      </c>
      <c r="L217" s="6">
        <v>1</v>
      </c>
      <c r="M217" s="6">
        <v>1</v>
      </c>
      <c r="N217" s="7">
        <v>0</v>
      </c>
      <c r="O217" s="9">
        <v>150</v>
      </c>
      <c r="P217" s="10">
        <f t="shared" si="69"/>
        <v>6</v>
      </c>
      <c r="Q217" s="12">
        <f t="shared" si="61"/>
        <v>926.4531379897785</v>
      </c>
      <c r="R217" s="11">
        <f t="shared" si="62"/>
        <v>30.142181777044289</v>
      </c>
      <c r="S217" s="6">
        <v>0</v>
      </c>
      <c r="T217" s="6">
        <v>1</v>
      </c>
      <c r="U217" s="6">
        <v>1</v>
      </c>
      <c r="V217" s="7">
        <v>0</v>
      </c>
      <c r="W217" s="9">
        <v>120</v>
      </c>
      <c r="X217" s="10">
        <f t="shared" si="70"/>
        <v>6</v>
      </c>
      <c r="Y217" s="12">
        <f t="shared" si="63"/>
        <v>754.16251039182271</v>
      </c>
      <c r="Z217" s="11">
        <f t="shared" si="64"/>
        <v>25.09460479663543</v>
      </c>
      <c r="AA217" s="6">
        <v>0</v>
      </c>
      <c r="AB217" s="6">
        <v>0</v>
      </c>
      <c r="AC217" s="6">
        <v>0</v>
      </c>
      <c r="AD217" s="7">
        <v>1</v>
      </c>
      <c r="AE217" s="9">
        <v>120</v>
      </c>
      <c r="AF217" s="10">
        <f t="shared" si="71"/>
        <v>8</v>
      </c>
      <c r="AG217" s="12">
        <f t="shared" si="65"/>
        <v>754.16251039182271</v>
      </c>
      <c r="AH217" s="11">
        <f t="shared" si="66"/>
        <v>25.09460479663543</v>
      </c>
      <c r="AJ217" s="6">
        <f t="shared" si="72"/>
        <v>1000</v>
      </c>
      <c r="AK217" s="4">
        <v>200</v>
      </c>
      <c r="AM217" s="2" t="str">
        <f t="shared" si="67"/>
        <v>0</v>
      </c>
      <c r="AN217" s="2" t="str">
        <f t="shared" si="73"/>
        <v>3E8</v>
      </c>
      <c r="AO217" s="2"/>
      <c r="AP217" s="2" t="str">
        <f t="shared" si="74"/>
        <v>03E8</v>
      </c>
    </row>
    <row r="218" spans="1:42" x14ac:dyDescent="0.2">
      <c r="A218">
        <v>201</v>
      </c>
      <c r="B218">
        <v>20</v>
      </c>
      <c r="C218" s="6">
        <v>0</v>
      </c>
      <c r="D218" s="6">
        <v>0</v>
      </c>
      <c r="E218" s="6">
        <v>0</v>
      </c>
      <c r="F218" s="7">
        <v>0</v>
      </c>
      <c r="G218" s="9">
        <v>100</v>
      </c>
      <c r="H218" s="10">
        <f t="shared" si="68"/>
        <v>0</v>
      </c>
      <c r="I218" s="12">
        <f t="shared" si="59"/>
        <v>639.30209199318563</v>
      </c>
      <c r="J218" s="11">
        <f t="shared" si="60"/>
        <v>21.729553476362859</v>
      </c>
      <c r="K218" s="6">
        <v>0</v>
      </c>
      <c r="L218" s="6">
        <v>1</v>
      </c>
      <c r="M218" s="6">
        <v>1</v>
      </c>
      <c r="N218" s="7">
        <v>0</v>
      </c>
      <c r="O218" s="9">
        <v>150</v>
      </c>
      <c r="P218" s="10">
        <f t="shared" si="69"/>
        <v>6</v>
      </c>
      <c r="Q218" s="12">
        <f t="shared" si="61"/>
        <v>926.4531379897785</v>
      </c>
      <c r="R218" s="11">
        <f t="shared" si="62"/>
        <v>30.142181777044289</v>
      </c>
      <c r="S218" s="6">
        <v>0</v>
      </c>
      <c r="T218" s="6">
        <v>1</v>
      </c>
      <c r="U218" s="6">
        <v>1</v>
      </c>
      <c r="V218" s="7">
        <v>0</v>
      </c>
      <c r="W218" s="9">
        <v>120</v>
      </c>
      <c r="X218" s="10">
        <f t="shared" si="70"/>
        <v>6</v>
      </c>
      <c r="Y218" s="12">
        <f t="shared" si="63"/>
        <v>754.16251039182271</v>
      </c>
      <c r="Z218" s="11">
        <f t="shared" si="64"/>
        <v>25.09460479663543</v>
      </c>
      <c r="AA218" s="6">
        <v>0</v>
      </c>
      <c r="AB218" s="6">
        <v>0</v>
      </c>
      <c r="AC218" s="6">
        <v>0</v>
      </c>
      <c r="AD218" s="7">
        <v>1</v>
      </c>
      <c r="AE218" s="9">
        <v>120</v>
      </c>
      <c r="AF218" s="10">
        <f t="shared" si="71"/>
        <v>8</v>
      </c>
      <c r="AG218" s="12">
        <f t="shared" si="65"/>
        <v>754.16251039182271</v>
      </c>
      <c r="AH218" s="11">
        <f t="shared" si="66"/>
        <v>25.09460479663543</v>
      </c>
      <c r="AJ218" s="6">
        <f t="shared" si="72"/>
        <v>1000</v>
      </c>
      <c r="AK218" s="4">
        <v>201</v>
      </c>
      <c r="AM218" s="2" t="str">
        <f t="shared" si="67"/>
        <v>0</v>
      </c>
      <c r="AN218" s="2" t="str">
        <f t="shared" si="73"/>
        <v>3E8</v>
      </c>
      <c r="AO218" s="2"/>
      <c r="AP218" s="2" t="str">
        <f t="shared" si="74"/>
        <v>03E8</v>
      </c>
    </row>
    <row r="219" spans="1:42" x14ac:dyDescent="0.2">
      <c r="A219">
        <v>202</v>
      </c>
      <c r="B219">
        <v>20.100000000000001</v>
      </c>
      <c r="C219" s="6">
        <v>0</v>
      </c>
      <c r="D219" s="6">
        <v>0</v>
      </c>
      <c r="E219" s="6">
        <v>0</v>
      </c>
      <c r="F219" s="7">
        <v>0</v>
      </c>
      <c r="G219" s="9">
        <v>100</v>
      </c>
      <c r="H219" s="10">
        <f t="shared" si="68"/>
        <v>0</v>
      </c>
      <c r="I219" s="12">
        <f t="shared" si="59"/>
        <v>639.30209199318563</v>
      </c>
      <c r="J219" s="11">
        <f t="shared" si="60"/>
        <v>21.729553476362859</v>
      </c>
      <c r="K219" s="6">
        <v>0</v>
      </c>
      <c r="L219" s="6">
        <v>1</v>
      </c>
      <c r="M219" s="6">
        <v>1</v>
      </c>
      <c r="N219" s="7">
        <v>0</v>
      </c>
      <c r="O219" s="9">
        <v>150</v>
      </c>
      <c r="P219" s="10">
        <f t="shared" si="69"/>
        <v>6</v>
      </c>
      <c r="Q219" s="12">
        <f t="shared" si="61"/>
        <v>926.4531379897785</v>
      </c>
      <c r="R219" s="11">
        <f t="shared" si="62"/>
        <v>30.142181777044289</v>
      </c>
      <c r="S219" s="6">
        <v>0</v>
      </c>
      <c r="T219" s="6">
        <v>1</v>
      </c>
      <c r="U219" s="6">
        <v>1</v>
      </c>
      <c r="V219" s="7">
        <v>0</v>
      </c>
      <c r="W219" s="9">
        <v>120</v>
      </c>
      <c r="X219" s="10">
        <f t="shared" si="70"/>
        <v>6</v>
      </c>
      <c r="Y219" s="12">
        <f t="shared" si="63"/>
        <v>754.16251039182271</v>
      </c>
      <c r="Z219" s="11">
        <f t="shared" si="64"/>
        <v>25.09460479663543</v>
      </c>
      <c r="AA219" s="6">
        <v>0</v>
      </c>
      <c r="AB219" s="6">
        <v>0</v>
      </c>
      <c r="AC219" s="6">
        <v>0</v>
      </c>
      <c r="AD219" s="7">
        <v>1</v>
      </c>
      <c r="AE219" s="9">
        <v>120</v>
      </c>
      <c r="AF219" s="10">
        <f t="shared" si="71"/>
        <v>8</v>
      </c>
      <c r="AG219" s="12">
        <f t="shared" si="65"/>
        <v>754.16251039182271</v>
      </c>
      <c r="AH219" s="11">
        <f t="shared" si="66"/>
        <v>25.09460479663543</v>
      </c>
      <c r="AJ219" s="6">
        <f t="shared" si="72"/>
        <v>1000</v>
      </c>
      <c r="AK219" s="4">
        <v>202</v>
      </c>
      <c r="AM219" s="2" t="str">
        <f t="shared" si="67"/>
        <v>0</v>
      </c>
      <c r="AN219" s="2" t="str">
        <f t="shared" si="73"/>
        <v>3E8</v>
      </c>
      <c r="AO219" s="2"/>
      <c r="AP219" s="2" t="str">
        <f t="shared" si="74"/>
        <v>03E8</v>
      </c>
    </row>
    <row r="220" spans="1:42" x14ac:dyDescent="0.2">
      <c r="A220">
        <v>203</v>
      </c>
      <c r="B220">
        <v>20.2</v>
      </c>
      <c r="C220" s="6">
        <v>0</v>
      </c>
      <c r="D220" s="6">
        <v>0</v>
      </c>
      <c r="E220" s="6">
        <v>0</v>
      </c>
      <c r="F220" s="7">
        <v>0</v>
      </c>
      <c r="G220" s="9">
        <v>100</v>
      </c>
      <c r="H220" s="10">
        <f t="shared" si="68"/>
        <v>0</v>
      </c>
      <c r="I220" s="12">
        <f t="shared" si="59"/>
        <v>639.30209199318563</v>
      </c>
      <c r="J220" s="11">
        <f t="shared" si="60"/>
        <v>21.729553476362859</v>
      </c>
      <c r="K220" s="6">
        <v>0</v>
      </c>
      <c r="L220" s="6">
        <v>1</v>
      </c>
      <c r="M220" s="6">
        <v>1</v>
      </c>
      <c r="N220" s="7">
        <v>0</v>
      </c>
      <c r="O220" s="9">
        <v>150</v>
      </c>
      <c r="P220" s="10">
        <f t="shared" si="69"/>
        <v>6</v>
      </c>
      <c r="Q220" s="12">
        <f t="shared" si="61"/>
        <v>926.4531379897785</v>
      </c>
      <c r="R220" s="11">
        <f t="shared" si="62"/>
        <v>30.142181777044289</v>
      </c>
      <c r="S220" s="6">
        <v>0</v>
      </c>
      <c r="T220" s="6">
        <v>1</v>
      </c>
      <c r="U220" s="6">
        <v>1</v>
      </c>
      <c r="V220" s="7">
        <v>0</v>
      </c>
      <c r="W220" s="9">
        <v>120</v>
      </c>
      <c r="X220" s="10">
        <f t="shared" si="70"/>
        <v>6</v>
      </c>
      <c r="Y220" s="12">
        <f t="shared" si="63"/>
        <v>754.16251039182271</v>
      </c>
      <c r="Z220" s="11">
        <f t="shared" si="64"/>
        <v>25.09460479663543</v>
      </c>
      <c r="AA220" s="6">
        <v>0</v>
      </c>
      <c r="AB220" s="6">
        <v>0</v>
      </c>
      <c r="AC220" s="6">
        <v>0</v>
      </c>
      <c r="AD220" s="7">
        <v>1</v>
      </c>
      <c r="AE220" s="9">
        <v>120</v>
      </c>
      <c r="AF220" s="10">
        <f t="shared" si="71"/>
        <v>8</v>
      </c>
      <c r="AG220" s="12">
        <f t="shared" si="65"/>
        <v>754.16251039182271</v>
      </c>
      <c r="AH220" s="11">
        <f t="shared" si="66"/>
        <v>25.09460479663543</v>
      </c>
      <c r="AJ220" s="6">
        <f t="shared" si="72"/>
        <v>1000</v>
      </c>
      <c r="AK220" s="4">
        <v>203</v>
      </c>
      <c r="AM220" s="2" t="str">
        <f t="shared" si="67"/>
        <v>0</v>
      </c>
      <c r="AN220" s="2" t="str">
        <f t="shared" si="73"/>
        <v>3E8</v>
      </c>
      <c r="AO220" s="2"/>
      <c r="AP220" s="2" t="str">
        <f t="shared" si="74"/>
        <v>03E8</v>
      </c>
    </row>
    <row r="221" spans="1:42" x14ac:dyDescent="0.2">
      <c r="A221">
        <v>204</v>
      </c>
      <c r="B221">
        <v>20.3</v>
      </c>
      <c r="C221" s="6">
        <v>0</v>
      </c>
      <c r="D221" s="6">
        <v>0</v>
      </c>
      <c r="E221" s="6">
        <v>0</v>
      </c>
      <c r="F221" s="7">
        <v>0</v>
      </c>
      <c r="G221" s="9">
        <v>100</v>
      </c>
      <c r="H221" s="10">
        <f t="shared" si="68"/>
        <v>0</v>
      </c>
      <c r="I221" s="12">
        <f t="shared" si="59"/>
        <v>639.30209199318563</v>
      </c>
      <c r="J221" s="11">
        <f t="shared" si="60"/>
        <v>21.729553476362859</v>
      </c>
      <c r="K221" s="6">
        <v>0</v>
      </c>
      <c r="L221" s="6">
        <v>1</v>
      </c>
      <c r="M221" s="6">
        <v>1</v>
      </c>
      <c r="N221" s="7">
        <v>0</v>
      </c>
      <c r="O221" s="9">
        <v>150</v>
      </c>
      <c r="P221" s="10">
        <f t="shared" si="69"/>
        <v>6</v>
      </c>
      <c r="Q221" s="12">
        <f t="shared" si="61"/>
        <v>926.4531379897785</v>
      </c>
      <c r="R221" s="11">
        <f t="shared" si="62"/>
        <v>30.142181777044289</v>
      </c>
      <c r="S221" s="6">
        <v>0</v>
      </c>
      <c r="T221" s="6">
        <v>1</v>
      </c>
      <c r="U221" s="6">
        <v>1</v>
      </c>
      <c r="V221" s="7">
        <v>0</v>
      </c>
      <c r="W221" s="9">
        <v>120</v>
      </c>
      <c r="X221" s="10">
        <f t="shared" si="70"/>
        <v>6</v>
      </c>
      <c r="Y221" s="12">
        <f t="shared" si="63"/>
        <v>754.16251039182271</v>
      </c>
      <c r="Z221" s="11">
        <f t="shared" si="64"/>
        <v>25.09460479663543</v>
      </c>
      <c r="AA221" s="6">
        <v>0</v>
      </c>
      <c r="AB221" s="6">
        <v>0</v>
      </c>
      <c r="AC221" s="6">
        <v>0</v>
      </c>
      <c r="AD221" s="7">
        <v>1</v>
      </c>
      <c r="AE221" s="9">
        <v>120</v>
      </c>
      <c r="AF221" s="10">
        <f t="shared" si="71"/>
        <v>8</v>
      </c>
      <c r="AG221" s="12">
        <f t="shared" si="65"/>
        <v>754.16251039182271</v>
      </c>
      <c r="AH221" s="11">
        <f t="shared" si="66"/>
        <v>25.09460479663543</v>
      </c>
      <c r="AJ221" s="6">
        <f t="shared" si="72"/>
        <v>1000</v>
      </c>
      <c r="AK221" s="4">
        <v>204</v>
      </c>
      <c r="AM221" s="2" t="str">
        <f t="shared" si="67"/>
        <v>0</v>
      </c>
      <c r="AN221" s="2" t="str">
        <f t="shared" si="73"/>
        <v>3E8</v>
      </c>
      <c r="AO221" s="2"/>
      <c r="AP221" s="2" t="str">
        <f t="shared" si="74"/>
        <v>03E8</v>
      </c>
    </row>
    <row r="222" spans="1:42" x14ac:dyDescent="0.2">
      <c r="A222">
        <v>205</v>
      </c>
      <c r="B222">
        <v>20.399999999999999</v>
      </c>
      <c r="C222" s="6">
        <v>0</v>
      </c>
      <c r="D222" s="6">
        <v>0</v>
      </c>
      <c r="E222" s="6">
        <v>0</v>
      </c>
      <c r="F222" s="7">
        <v>0</v>
      </c>
      <c r="G222" s="9">
        <v>100</v>
      </c>
      <c r="H222" s="10">
        <f t="shared" si="68"/>
        <v>0</v>
      </c>
      <c r="I222" s="12">
        <f t="shared" si="59"/>
        <v>639.30209199318563</v>
      </c>
      <c r="J222" s="11">
        <f t="shared" si="60"/>
        <v>21.729553476362859</v>
      </c>
      <c r="K222" s="6">
        <v>0</v>
      </c>
      <c r="L222" s="6">
        <v>1</v>
      </c>
      <c r="M222" s="6">
        <v>1</v>
      </c>
      <c r="N222" s="7">
        <v>0</v>
      </c>
      <c r="O222" s="9">
        <v>150</v>
      </c>
      <c r="P222" s="10">
        <f t="shared" si="69"/>
        <v>6</v>
      </c>
      <c r="Q222" s="12">
        <f t="shared" si="61"/>
        <v>926.4531379897785</v>
      </c>
      <c r="R222" s="11">
        <f t="shared" si="62"/>
        <v>30.142181777044289</v>
      </c>
      <c r="S222" s="6">
        <v>0</v>
      </c>
      <c r="T222" s="6">
        <v>1</v>
      </c>
      <c r="U222" s="6">
        <v>1</v>
      </c>
      <c r="V222" s="7">
        <v>0</v>
      </c>
      <c r="W222" s="9">
        <v>120</v>
      </c>
      <c r="X222" s="10">
        <f t="shared" si="70"/>
        <v>6</v>
      </c>
      <c r="Y222" s="12">
        <f t="shared" si="63"/>
        <v>754.16251039182271</v>
      </c>
      <c r="Z222" s="11">
        <f t="shared" si="64"/>
        <v>25.09460479663543</v>
      </c>
      <c r="AA222" s="6">
        <v>0</v>
      </c>
      <c r="AB222" s="6">
        <v>0</v>
      </c>
      <c r="AC222" s="6">
        <v>0</v>
      </c>
      <c r="AD222" s="7">
        <v>1</v>
      </c>
      <c r="AE222" s="9">
        <v>120</v>
      </c>
      <c r="AF222" s="10">
        <f t="shared" si="71"/>
        <v>8</v>
      </c>
      <c r="AG222" s="12">
        <f t="shared" si="65"/>
        <v>754.16251039182271</v>
      </c>
      <c r="AH222" s="11">
        <f t="shared" si="66"/>
        <v>25.09460479663543</v>
      </c>
      <c r="AJ222" s="6">
        <f t="shared" si="72"/>
        <v>1000</v>
      </c>
      <c r="AK222" s="4">
        <v>205</v>
      </c>
      <c r="AM222" s="2" t="str">
        <f t="shared" si="67"/>
        <v>0</v>
      </c>
      <c r="AN222" s="2" t="str">
        <f t="shared" si="73"/>
        <v>3E8</v>
      </c>
      <c r="AO222" s="2"/>
      <c r="AP222" s="2" t="str">
        <f t="shared" si="74"/>
        <v>03E8</v>
      </c>
    </row>
    <row r="223" spans="1:42" x14ac:dyDescent="0.2">
      <c r="A223">
        <v>206</v>
      </c>
      <c r="B223">
        <v>20.5</v>
      </c>
      <c r="C223" s="6">
        <v>0</v>
      </c>
      <c r="D223" s="6">
        <v>0</v>
      </c>
      <c r="E223" s="6">
        <v>0</v>
      </c>
      <c r="F223" s="7">
        <v>0</v>
      </c>
      <c r="G223" s="9">
        <v>100</v>
      </c>
      <c r="H223" s="10">
        <f t="shared" si="68"/>
        <v>0</v>
      </c>
      <c r="I223" s="12">
        <f t="shared" si="59"/>
        <v>639.30209199318563</v>
      </c>
      <c r="J223" s="11">
        <f t="shared" si="60"/>
        <v>21.729553476362859</v>
      </c>
      <c r="K223" s="6">
        <v>0</v>
      </c>
      <c r="L223" s="6">
        <v>1</v>
      </c>
      <c r="M223" s="6">
        <v>1</v>
      </c>
      <c r="N223" s="7">
        <v>0</v>
      </c>
      <c r="O223" s="9">
        <v>150</v>
      </c>
      <c r="P223" s="10">
        <f t="shared" si="69"/>
        <v>6</v>
      </c>
      <c r="Q223" s="12">
        <f t="shared" si="61"/>
        <v>926.4531379897785</v>
      </c>
      <c r="R223" s="11">
        <f t="shared" si="62"/>
        <v>30.142181777044289</v>
      </c>
      <c r="S223" s="6">
        <v>0</v>
      </c>
      <c r="T223" s="6">
        <v>1</v>
      </c>
      <c r="U223" s="6">
        <v>1</v>
      </c>
      <c r="V223" s="7">
        <v>0</v>
      </c>
      <c r="W223" s="9">
        <v>120</v>
      </c>
      <c r="X223" s="10">
        <f t="shared" si="70"/>
        <v>6</v>
      </c>
      <c r="Y223" s="12">
        <f t="shared" si="63"/>
        <v>754.16251039182271</v>
      </c>
      <c r="Z223" s="11">
        <f t="shared" si="64"/>
        <v>25.09460479663543</v>
      </c>
      <c r="AA223" s="6">
        <v>0</v>
      </c>
      <c r="AB223" s="6">
        <v>0</v>
      </c>
      <c r="AC223" s="6">
        <v>0</v>
      </c>
      <c r="AD223" s="7">
        <v>1</v>
      </c>
      <c r="AE223" s="9">
        <v>120</v>
      </c>
      <c r="AF223" s="10">
        <f t="shared" si="71"/>
        <v>8</v>
      </c>
      <c r="AG223" s="12">
        <f t="shared" si="65"/>
        <v>754.16251039182271</v>
      </c>
      <c r="AH223" s="11">
        <f t="shared" si="66"/>
        <v>25.09460479663543</v>
      </c>
      <c r="AJ223" s="6">
        <f t="shared" si="72"/>
        <v>1000</v>
      </c>
      <c r="AK223" s="4">
        <v>206</v>
      </c>
      <c r="AM223" s="2" t="str">
        <f t="shared" si="67"/>
        <v>0</v>
      </c>
      <c r="AN223" s="2" t="str">
        <f t="shared" si="73"/>
        <v>3E8</v>
      </c>
      <c r="AO223" s="2"/>
      <c r="AP223" s="2" t="str">
        <f t="shared" si="74"/>
        <v>03E8</v>
      </c>
    </row>
    <row r="224" spans="1:42" x14ac:dyDescent="0.2">
      <c r="A224">
        <v>207</v>
      </c>
      <c r="B224">
        <v>20.6</v>
      </c>
      <c r="C224" s="6">
        <v>0</v>
      </c>
      <c r="D224" s="6">
        <v>0</v>
      </c>
      <c r="E224" s="6">
        <v>0</v>
      </c>
      <c r="F224" s="7">
        <v>0</v>
      </c>
      <c r="G224" s="9">
        <v>100</v>
      </c>
      <c r="H224" s="10">
        <f t="shared" si="68"/>
        <v>0</v>
      </c>
      <c r="I224" s="12">
        <f t="shared" si="59"/>
        <v>639.30209199318563</v>
      </c>
      <c r="J224" s="11">
        <f t="shared" si="60"/>
        <v>21.729553476362859</v>
      </c>
      <c r="K224" s="6">
        <v>0</v>
      </c>
      <c r="L224" s="6">
        <v>1</v>
      </c>
      <c r="M224" s="6">
        <v>1</v>
      </c>
      <c r="N224" s="7">
        <v>0</v>
      </c>
      <c r="O224" s="9">
        <v>150</v>
      </c>
      <c r="P224" s="10">
        <f t="shared" si="69"/>
        <v>6</v>
      </c>
      <c r="Q224" s="12">
        <f t="shared" si="61"/>
        <v>926.4531379897785</v>
      </c>
      <c r="R224" s="11">
        <f t="shared" si="62"/>
        <v>30.142181777044289</v>
      </c>
      <c r="S224" s="6">
        <v>0</v>
      </c>
      <c r="T224" s="6">
        <v>1</v>
      </c>
      <c r="U224" s="6">
        <v>1</v>
      </c>
      <c r="V224" s="7">
        <v>0</v>
      </c>
      <c r="W224" s="9">
        <v>120</v>
      </c>
      <c r="X224" s="10">
        <f t="shared" si="70"/>
        <v>6</v>
      </c>
      <c r="Y224" s="12">
        <f t="shared" si="63"/>
        <v>754.16251039182271</v>
      </c>
      <c r="Z224" s="11">
        <f t="shared" si="64"/>
        <v>25.09460479663543</v>
      </c>
      <c r="AA224" s="6">
        <v>0</v>
      </c>
      <c r="AB224" s="6">
        <v>0</v>
      </c>
      <c r="AC224" s="6">
        <v>0</v>
      </c>
      <c r="AD224" s="7">
        <v>1</v>
      </c>
      <c r="AE224" s="9">
        <v>120</v>
      </c>
      <c r="AF224" s="10">
        <f t="shared" si="71"/>
        <v>8</v>
      </c>
      <c r="AG224" s="12">
        <f t="shared" si="65"/>
        <v>754.16251039182271</v>
      </c>
      <c r="AH224" s="11">
        <f t="shared" si="66"/>
        <v>25.09460479663543</v>
      </c>
      <c r="AJ224" s="6">
        <f t="shared" si="72"/>
        <v>1000</v>
      </c>
      <c r="AK224" s="4">
        <v>207</v>
      </c>
      <c r="AM224" s="2" t="str">
        <f t="shared" si="67"/>
        <v>0</v>
      </c>
      <c r="AN224" s="2" t="str">
        <f t="shared" si="73"/>
        <v>3E8</v>
      </c>
      <c r="AO224" s="2"/>
      <c r="AP224" s="2" t="str">
        <f t="shared" si="74"/>
        <v>03E8</v>
      </c>
    </row>
    <row r="225" spans="1:42" x14ac:dyDescent="0.2">
      <c r="A225">
        <v>208</v>
      </c>
      <c r="B225">
        <v>20.7</v>
      </c>
      <c r="C225" s="6">
        <v>0</v>
      </c>
      <c r="D225" s="6">
        <v>0</v>
      </c>
      <c r="E225" s="6">
        <v>0</v>
      </c>
      <c r="F225" s="7">
        <v>0</v>
      </c>
      <c r="G225" s="9">
        <v>100</v>
      </c>
      <c r="H225" s="10">
        <f t="shared" si="68"/>
        <v>0</v>
      </c>
      <c r="I225" s="12">
        <f t="shared" si="59"/>
        <v>639.30209199318563</v>
      </c>
      <c r="J225" s="11">
        <f t="shared" si="60"/>
        <v>21.729553476362859</v>
      </c>
      <c r="K225" s="6">
        <v>0</v>
      </c>
      <c r="L225" s="6">
        <v>1</v>
      </c>
      <c r="M225" s="6">
        <v>1</v>
      </c>
      <c r="N225" s="7">
        <v>0</v>
      </c>
      <c r="O225" s="9">
        <v>150</v>
      </c>
      <c r="P225" s="10">
        <f t="shared" si="69"/>
        <v>6</v>
      </c>
      <c r="Q225" s="12">
        <f t="shared" si="61"/>
        <v>926.4531379897785</v>
      </c>
      <c r="R225" s="11">
        <f t="shared" si="62"/>
        <v>30.142181777044289</v>
      </c>
      <c r="S225" s="6">
        <v>0</v>
      </c>
      <c r="T225" s="6">
        <v>1</v>
      </c>
      <c r="U225" s="6">
        <v>1</v>
      </c>
      <c r="V225" s="7">
        <v>0</v>
      </c>
      <c r="W225" s="9">
        <v>120</v>
      </c>
      <c r="X225" s="10">
        <f t="shared" si="70"/>
        <v>6</v>
      </c>
      <c r="Y225" s="12">
        <f t="shared" si="63"/>
        <v>754.16251039182271</v>
      </c>
      <c r="Z225" s="11">
        <f t="shared" si="64"/>
        <v>25.09460479663543</v>
      </c>
      <c r="AA225" s="6">
        <v>0</v>
      </c>
      <c r="AB225" s="6">
        <v>0</v>
      </c>
      <c r="AC225" s="6">
        <v>0</v>
      </c>
      <c r="AD225" s="7">
        <v>1</v>
      </c>
      <c r="AE225" s="9">
        <v>120</v>
      </c>
      <c r="AF225" s="10">
        <f t="shared" si="71"/>
        <v>8</v>
      </c>
      <c r="AG225" s="12">
        <f t="shared" si="65"/>
        <v>754.16251039182271</v>
      </c>
      <c r="AH225" s="11">
        <f t="shared" si="66"/>
        <v>25.09460479663543</v>
      </c>
      <c r="AJ225" s="6">
        <f t="shared" si="72"/>
        <v>1000</v>
      </c>
      <c r="AK225" s="4">
        <v>208</v>
      </c>
      <c r="AM225" s="2" t="str">
        <f t="shared" si="67"/>
        <v>0</v>
      </c>
      <c r="AN225" s="2" t="str">
        <f t="shared" si="73"/>
        <v>3E8</v>
      </c>
      <c r="AO225" s="2"/>
      <c r="AP225" s="2" t="str">
        <f t="shared" si="74"/>
        <v>03E8</v>
      </c>
    </row>
    <row r="226" spans="1:42" x14ac:dyDescent="0.2">
      <c r="A226">
        <v>209</v>
      </c>
      <c r="B226">
        <v>20.8</v>
      </c>
      <c r="C226" s="6">
        <v>0</v>
      </c>
      <c r="D226" s="6">
        <v>0</v>
      </c>
      <c r="E226" s="6">
        <v>0</v>
      </c>
      <c r="F226" s="7">
        <v>0</v>
      </c>
      <c r="G226" s="9">
        <v>100</v>
      </c>
      <c r="H226" s="10">
        <f t="shared" si="68"/>
        <v>0</v>
      </c>
      <c r="I226" s="12">
        <f t="shared" si="59"/>
        <v>639.30209199318563</v>
      </c>
      <c r="J226" s="11">
        <f t="shared" si="60"/>
        <v>21.729553476362859</v>
      </c>
      <c r="K226" s="6">
        <v>0</v>
      </c>
      <c r="L226" s="6">
        <v>1</v>
      </c>
      <c r="M226" s="6">
        <v>1</v>
      </c>
      <c r="N226" s="7">
        <v>0</v>
      </c>
      <c r="O226" s="9">
        <v>150</v>
      </c>
      <c r="P226" s="10">
        <f t="shared" si="69"/>
        <v>6</v>
      </c>
      <c r="Q226" s="12">
        <f t="shared" si="61"/>
        <v>926.4531379897785</v>
      </c>
      <c r="R226" s="11">
        <f t="shared" si="62"/>
        <v>30.142181777044289</v>
      </c>
      <c r="S226" s="6">
        <v>0</v>
      </c>
      <c r="T226" s="6">
        <v>1</v>
      </c>
      <c r="U226" s="6">
        <v>1</v>
      </c>
      <c r="V226" s="7">
        <v>0</v>
      </c>
      <c r="W226" s="9">
        <v>120</v>
      </c>
      <c r="X226" s="10">
        <f t="shared" si="70"/>
        <v>6</v>
      </c>
      <c r="Y226" s="12">
        <f t="shared" si="63"/>
        <v>754.16251039182271</v>
      </c>
      <c r="Z226" s="11">
        <f t="shared" si="64"/>
        <v>25.09460479663543</v>
      </c>
      <c r="AA226" s="6">
        <v>0</v>
      </c>
      <c r="AB226" s="6">
        <v>0</v>
      </c>
      <c r="AC226" s="6">
        <v>0</v>
      </c>
      <c r="AD226" s="7">
        <v>1</v>
      </c>
      <c r="AE226" s="9">
        <v>120</v>
      </c>
      <c r="AF226" s="10">
        <f t="shared" si="71"/>
        <v>8</v>
      </c>
      <c r="AG226" s="12">
        <f t="shared" si="65"/>
        <v>754.16251039182271</v>
      </c>
      <c r="AH226" s="11">
        <f t="shared" si="66"/>
        <v>25.09460479663543</v>
      </c>
      <c r="AJ226" s="6">
        <f t="shared" si="72"/>
        <v>1000</v>
      </c>
      <c r="AK226" s="4">
        <v>209</v>
      </c>
      <c r="AM226" s="2" t="str">
        <f t="shared" si="67"/>
        <v>0</v>
      </c>
      <c r="AN226" s="2" t="str">
        <f t="shared" si="73"/>
        <v>3E8</v>
      </c>
      <c r="AO226" s="2"/>
      <c r="AP226" s="2" t="str">
        <f t="shared" si="74"/>
        <v>03E8</v>
      </c>
    </row>
    <row r="227" spans="1:42" x14ac:dyDescent="0.2">
      <c r="A227">
        <v>210</v>
      </c>
      <c r="B227">
        <v>20.9</v>
      </c>
      <c r="C227" s="6">
        <v>0</v>
      </c>
      <c r="D227" s="6">
        <v>0</v>
      </c>
      <c r="E227" s="6">
        <v>0</v>
      </c>
      <c r="F227" s="7">
        <v>0</v>
      </c>
      <c r="G227" s="9">
        <v>100</v>
      </c>
      <c r="H227" s="10">
        <f t="shared" si="68"/>
        <v>0</v>
      </c>
      <c r="I227" s="12">
        <f t="shared" si="59"/>
        <v>639.30209199318563</v>
      </c>
      <c r="J227" s="11">
        <f t="shared" si="60"/>
        <v>21.729553476362859</v>
      </c>
      <c r="K227" s="6">
        <v>0</v>
      </c>
      <c r="L227" s="6">
        <v>1</v>
      </c>
      <c r="M227" s="6">
        <v>1</v>
      </c>
      <c r="N227" s="7">
        <v>0</v>
      </c>
      <c r="O227" s="9">
        <v>150</v>
      </c>
      <c r="P227" s="10">
        <f t="shared" si="69"/>
        <v>6</v>
      </c>
      <c r="Q227" s="12">
        <f t="shared" si="61"/>
        <v>926.4531379897785</v>
      </c>
      <c r="R227" s="11">
        <f t="shared" si="62"/>
        <v>30.142181777044289</v>
      </c>
      <c r="S227" s="6">
        <v>0</v>
      </c>
      <c r="T227" s="6">
        <v>1</v>
      </c>
      <c r="U227" s="6">
        <v>1</v>
      </c>
      <c r="V227" s="7">
        <v>0</v>
      </c>
      <c r="W227" s="9">
        <v>120</v>
      </c>
      <c r="X227" s="10">
        <f t="shared" si="70"/>
        <v>6</v>
      </c>
      <c r="Y227" s="12">
        <f t="shared" si="63"/>
        <v>754.16251039182271</v>
      </c>
      <c r="Z227" s="11">
        <f t="shared" si="64"/>
        <v>25.09460479663543</v>
      </c>
      <c r="AA227" s="6">
        <v>0</v>
      </c>
      <c r="AB227" s="6">
        <v>0</v>
      </c>
      <c r="AC227" s="6">
        <v>0</v>
      </c>
      <c r="AD227" s="7">
        <v>1</v>
      </c>
      <c r="AE227" s="9">
        <v>120</v>
      </c>
      <c r="AF227" s="10">
        <f t="shared" si="71"/>
        <v>8</v>
      </c>
      <c r="AG227" s="12">
        <f t="shared" si="65"/>
        <v>754.16251039182271</v>
      </c>
      <c r="AH227" s="11">
        <f t="shared" si="66"/>
        <v>25.09460479663543</v>
      </c>
      <c r="AJ227" s="6">
        <f t="shared" si="72"/>
        <v>1000</v>
      </c>
      <c r="AK227" s="4">
        <v>210</v>
      </c>
      <c r="AM227" s="2" t="str">
        <f t="shared" si="67"/>
        <v>0</v>
      </c>
      <c r="AN227" s="2" t="str">
        <f t="shared" si="73"/>
        <v>3E8</v>
      </c>
      <c r="AO227" s="2"/>
      <c r="AP227" s="2" t="str">
        <f t="shared" si="74"/>
        <v>03E8</v>
      </c>
    </row>
    <row r="228" spans="1:42" x14ac:dyDescent="0.2">
      <c r="A228">
        <v>211</v>
      </c>
      <c r="B228">
        <v>21</v>
      </c>
      <c r="C228" s="6">
        <v>0</v>
      </c>
      <c r="D228" s="6">
        <v>0</v>
      </c>
      <c r="E228" s="6">
        <v>0</v>
      </c>
      <c r="F228" s="7">
        <v>0</v>
      </c>
      <c r="G228" s="9">
        <v>100</v>
      </c>
      <c r="H228" s="10">
        <f t="shared" si="68"/>
        <v>0</v>
      </c>
      <c r="I228" s="12">
        <f t="shared" si="59"/>
        <v>639.30209199318563</v>
      </c>
      <c r="J228" s="11">
        <f t="shared" si="60"/>
        <v>21.729553476362859</v>
      </c>
      <c r="K228" s="6">
        <v>0</v>
      </c>
      <c r="L228" s="6">
        <v>1</v>
      </c>
      <c r="M228" s="6">
        <v>1</v>
      </c>
      <c r="N228" s="7">
        <v>0</v>
      </c>
      <c r="O228" s="9">
        <v>150</v>
      </c>
      <c r="P228" s="10">
        <f t="shared" si="69"/>
        <v>6</v>
      </c>
      <c r="Q228" s="12">
        <f t="shared" si="61"/>
        <v>926.4531379897785</v>
      </c>
      <c r="R228" s="11">
        <f t="shared" si="62"/>
        <v>30.142181777044289</v>
      </c>
      <c r="S228" s="6">
        <v>0</v>
      </c>
      <c r="T228" s="6">
        <v>1</v>
      </c>
      <c r="U228" s="6">
        <v>1</v>
      </c>
      <c r="V228" s="7">
        <v>0</v>
      </c>
      <c r="W228" s="9">
        <v>120</v>
      </c>
      <c r="X228" s="10">
        <f t="shared" si="70"/>
        <v>6</v>
      </c>
      <c r="Y228" s="12">
        <f t="shared" si="63"/>
        <v>754.16251039182271</v>
      </c>
      <c r="Z228" s="11">
        <f t="shared" si="64"/>
        <v>25.09460479663543</v>
      </c>
      <c r="AA228" s="6">
        <v>0</v>
      </c>
      <c r="AB228" s="6">
        <v>0</v>
      </c>
      <c r="AC228" s="6">
        <v>0</v>
      </c>
      <c r="AD228" s="7">
        <v>1</v>
      </c>
      <c r="AE228" s="9">
        <v>120</v>
      </c>
      <c r="AF228" s="10">
        <f t="shared" si="71"/>
        <v>8</v>
      </c>
      <c r="AG228" s="12">
        <f t="shared" si="65"/>
        <v>754.16251039182271</v>
      </c>
      <c r="AH228" s="11">
        <f t="shared" si="66"/>
        <v>25.09460479663543</v>
      </c>
      <c r="AJ228" s="6">
        <f t="shared" si="72"/>
        <v>1000</v>
      </c>
      <c r="AK228" s="4">
        <v>211</v>
      </c>
      <c r="AM228" s="2" t="str">
        <f t="shared" si="67"/>
        <v>0</v>
      </c>
      <c r="AN228" s="2" t="str">
        <f t="shared" si="73"/>
        <v>3E8</v>
      </c>
      <c r="AO228" s="2"/>
      <c r="AP228" s="2" t="str">
        <f t="shared" si="74"/>
        <v>03E8</v>
      </c>
    </row>
    <row r="229" spans="1:42" x14ac:dyDescent="0.2">
      <c r="A229">
        <v>212</v>
      </c>
      <c r="B229">
        <v>21.1</v>
      </c>
      <c r="C229" s="6">
        <v>0</v>
      </c>
      <c r="D229" s="6">
        <v>0</v>
      </c>
      <c r="E229" s="6">
        <v>0</v>
      </c>
      <c r="F229" s="7">
        <v>0</v>
      </c>
      <c r="G229" s="9">
        <v>100</v>
      </c>
      <c r="H229" s="10">
        <f t="shared" si="68"/>
        <v>0</v>
      </c>
      <c r="I229" s="12">
        <f t="shared" si="59"/>
        <v>639.30209199318563</v>
      </c>
      <c r="J229" s="11">
        <f t="shared" si="60"/>
        <v>21.729553476362859</v>
      </c>
      <c r="K229" s="6">
        <v>0</v>
      </c>
      <c r="L229" s="6">
        <v>1</v>
      </c>
      <c r="M229" s="6">
        <v>1</v>
      </c>
      <c r="N229" s="7">
        <v>0</v>
      </c>
      <c r="O229" s="9">
        <v>150</v>
      </c>
      <c r="P229" s="10">
        <f t="shared" si="69"/>
        <v>6</v>
      </c>
      <c r="Q229" s="12">
        <f t="shared" si="61"/>
        <v>926.4531379897785</v>
      </c>
      <c r="R229" s="11">
        <f t="shared" si="62"/>
        <v>30.142181777044289</v>
      </c>
      <c r="S229" s="6">
        <v>0</v>
      </c>
      <c r="T229" s="6">
        <v>1</v>
      </c>
      <c r="U229" s="6">
        <v>1</v>
      </c>
      <c r="V229" s="7">
        <v>0</v>
      </c>
      <c r="W229" s="9">
        <v>120</v>
      </c>
      <c r="X229" s="10">
        <f t="shared" si="70"/>
        <v>6</v>
      </c>
      <c r="Y229" s="12">
        <f t="shared" si="63"/>
        <v>754.16251039182271</v>
      </c>
      <c r="Z229" s="11">
        <f t="shared" si="64"/>
        <v>25.09460479663543</v>
      </c>
      <c r="AA229" s="6">
        <v>0</v>
      </c>
      <c r="AB229" s="6">
        <v>0</v>
      </c>
      <c r="AC229" s="6">
        <v>0</v>
      </c>
      <c r="AD229" s="7">
        <v>1</v>
      </c>
      <c r="AE229" s="9">
        <v>120</v>
      </c>
      <c r="AF229" s="10">
        <f t="shared" si="71"/>
        <v>8</v>
      </c>
      <c r="AG229" s="12">
        <f t="shared" si="65"/>
        <v>754.16251039182271</v>
      </c>
      <c r="AH229" s="11">
        <f t="shared" si="66"/>
        <v>25.09460479663543</v>
      </c>
      <c r="AJ229" s="6">
        <f t="shared" si="72"/>
        <v>1000</v>
      </c>
      <c r="AK229" s="4">
        <v>212</v>
      </c>
      <c r="AM229" s="2" t="str">
        <f t="shared" si="67"/>
        <v>0</v>
      </c>
      <c r="AN229" s="2" t="str">
        <f t="shared" si="73"/>
        <v>3E8</v>
      </c>
      <c r="AO229" s="2"/>
      <c r="AP229" s="2" t="str">
        <f t="shared" si="74"/>
        <v>03E8</v>
      </c>
    </row>
    <row r="230" spans="1:42" x14ac:dyDescent="0.2">
      <c r="A230">
        <v>213</v>
      </c>
      <c r="B230">
        <v>21.2</v>
      </c>
      <c r="C230" s="6">
        <v>0</v>
      </c>
      <c r="D230" s="6">
        <v>0</v>
      </c>
      <c r="E230" s="6">
        <v>0</v>
      </c>
      <c r="F230" s="7">
        <v>0</v>
      </c>
      <c r="G230" s="9">
        <v>100</v>
      </c>
      <c r="H230" s="10">
        <f t="shared" si="68"/>
        <v>0</v>
      </c>
      <c r="I230" s="12">
        <f t="shared" si="59"/>
        <v>639.30209199318563</v>
      </c>
      <c r="J230" s="11">
        <f t="shared" si="60"/>
        <v>21.729553476362859</v>
      </c>
      <c r="K230" s="6">
        <v>0</v>
      </c>
      <c r="L230" s="6">
        <v>1</v>
      </c>
      <c r="M230" s="6">
        <v>1</v>
      </c>
      <c r="N230" s="7">
        <v>0</v>
      </c>
      <c r="O230" s="9">
        <v>150</v>
      </c>
      <c r="P230" s="10">
        <f t="shared" si="69"/>
        <v>6</v>
      </c>
      <c r="Q230" s="12">
        <f t="shared" si="61"/>
        <v>926.4531379897785</v>
      </c>
      <c r="R230" s="11">
        <f t="shared" si="62"/>
        <v>30.142181777044289</v>
      </c>
      <c r="S230" s="6">
        <v>0</v>
      </c>
      <c r="T230" s="6">
        <v>1</v>
      </c>
      <c r="U230" s="6">
        <v>1</v>
      </c>
      <c r="V230" s="7">
        <v>0</v>
      </c>
      <c r="W230" s="9">
        <v>120</v>
      </c>
      <c r="X230" s="10">
        <f t="shared" si="70"/>
        <v>6</v>
      </c>
      <c r="Y230" s="12">
        <f t="shared" si="63"/>
        <v>754.16251039182271</v>
      </c>
      <c r="Z230" s="11">
        <f t="shared" si="64"/>
        <v>25.09460479663543</v>
      </c>
      <c r="AA230" s="6">
        <v>0</v>
      </c>
      <c r="AB230" s="6">
        <v>0</v>
      </c>
      <c r="AC230" s="6">
        <v>0</v>
      </c>
      <c r="AD230" s="7">
        <v>1</v>
      </c>
      <c r="AE230" s="9">
        <v>120</v>
      </c>
      <c r="AF230" s="10">
        <f t="shared" si="71"/>
        <v>8</v>
      </c>
      <c r="AG230" s="12">
        <f t="shared" si="65"/>
        <v>754.16251039182271</v>
      </c>
      <c r="AH230" s="11">
        <f t="shared" si="66"/>
        <v>25.09460479663543</v>
      </c>
      <c r="AJ230" s="6">
        <f t="shared" si="72"/>
        <v>1000</v>
      </c>
      <c r="AK230" s="4">
        <v>213</v>
      </c>
      <c r="AM230" s="2" t="str">
        <f t="shared" si="67"/>
        <v>0</v>
      </c>
      <c r="AN230" s="2" t="str">
        <f t="shared" si="73"/>
        <v>3E8</v>
      </c>
      <c r="AO230" s="2"/>
      <c r="AP230" s="2" t="str">
        <f t="shared" si="74"/>
        <v>03E8</v>
      </c>
    </row>
    <row r="231" spans="1:42" x14ac:dyDescent="0.2">
      <c r="A231">
        <v>214</v>
      </c>
      <c r="B231">
        <v>21.3</v>
      </c>
      <c r="C231" s="6">
        <v>0</v>
      </c>
      <c r="D231" s="6">
        <v>0</v>
      </c>
      <c r="E231" s="6">
        <v>0</v>
      </c>
      <c r="F231" s="7">
        <v>0</v>
      </c>
      <c r="G231" s="9">
        <v>100</v>
      </c>
      <c r="H231" s="10">
        <f t="shared" si="68"/>
        <v>0</v>
      </c>
      <c r="I231" s="12">
        <f t="shared" si="59"/>
        <v>639.30209199318563</v>
      </c>
      <c r="J231" s="11">
        <f t="shared" si="60"/>
        <v>21.729553476362859</v>
      </c>
      <c r="K231" s="6">
        <v>0</v>
      </c>
      <c r="L231" s="6">
        <v>1</v>
      </c>
      <c r="M231" s="6">
        <v>1</v>
      </c>
      <c r="N231" s="7">
        <v>0</v>
      </c>
      <c r="O231" s="9">
        <v>150</v>
      </c>
      <c r="P231" s="10">
        <f t="shared" si="69"/>
        <v>6</v>
      </c>
      <c r="Q231" s="12">
        <f t="shared" si="61"/>
        <v>926.4531379897785</v>
      </c>
      <c r="R231" s="11">
        <f t="shared" si="62"/>
        <v>30.142181777044289</v>
      </c>
      <c r="S231" s="6">
        <v>0</v>
      </c>
      <c r="T231" s="6">
        <v>1</v>
      </c>
      <c r="U231" s="6">
        <v>1</v>
      </c>
      <c r="V231" s="7">
        <v>0</v>
      </c>
      <c r="W231" s="9">
        <v>120</v>
      </c>
      <c r="X231" s="10">
        <f t="shared" si="70"/>
        <v>6</v>
      </c>
      <c r="Y231" s="12">
        <f t="shared" si="63"/>
        <v>754.16251039182271</v>
      </c>
      <c r="Z231" s="11">
        <f t="shared" si="64"/>
        <v>25.09460479663543</v>
      </c>
      <c r="AA231" s="6">
        <v>0</v>
      </c>
      <c r="AB231" s="6">
        <v>0</v>
      </c>
      <c r="AC231" s="6">
        <v>0</v>
      </c>
      <c r="AD231" s="7">
        <v>1</v>
      </c>
      <c r="AE231" s="9">
        <v>120</v>
      </c>
      <c r="AF231" s="10">
        <f t="shared" si="71"/>
        <v>8</v>
      </c>
      <c r="AG231" s="12">
        <f t="shared" si="65"/>
        <v>754.16251039182271</v>
      </c>
      <c r="AH231" s="11">
        <f t="shared" si="66"/>
        <v>25.09460479663543</v>
      </c>
      <c r="AJ231" s="6">
        <f t="shared" si="72"/>
        <v>1000</v>
      </c>
      <c r="AK231" s="4">
        <v>214</v>
      </c>
      <c r="AM231" s="2" t="str">
        <f t="shared" si="67"/>
        <v>0</v>
      </c>
      <c r="AN231" s="2" t="str">
        <f t="shared" si="73"/>
        <v>3E8</v>
      </c>
      <c r="AO231" s="2"/>
      <c r="AP231" s="2" t="str">
        <f t="shared" si="74"/>
        <v>03E8</v>
      </c>
    </row>
    <row r="232" spans="1:42" x14ac:dyDescent="0.2">
      <c r="A232">
        <v>215</v>
      </c>
      <c r="B232">
        <v>21.4</v>
      </c>
      <c r="C232" s="6">
        <v>0</v>
      </c>
      <c r="D232" s="6">
        <v>0</v>
      </c>
      <c r="E232" s="6">
        <v>0</v>
      </c>
      <c r="F232" s="7">
        <v>0</v>
      </c>
      <c r="G232" s="9">
        <v>100</v>
      </c>
      <c r="H232" s="10">
        <f t="shared" si="68"/>
        <v>0</v>
      </c>
      <c r="I232" s="12">
        <f t="shared" si="59"/>
        <v>639.30209199318563</v>
      </c>
      <c r="J232" s="11">
        <f t="shared" si="60"/>
        <v>21.729553476362859</v>
      </c>
      <c r="K232" s="6">
        <v>0</v>
      </c>
      <c r="L232" s="6">
        <v>1</v>
      </c>
      <c r="M232" s="6">
        <v>1</v>
      </c>
      <c r="N232" s="7">
        <v>0</v>
      </c>
      <c r="O232" s="9">
        <v>150</v>
      </c>
      <c r="P232" s="10">
        <f t="shared" si="69"/>
        <v>6</v>
      </c>
      <c r="Q232" s="12">
        <f t="shared" si="61"/>
        <v>926.4531379897785</v>
      </c>
      <c r="R232" s="11">
        <f t="shared" si="62"/>
        <v>30.142181777044289</v>
      </c>
      <c r="S232" s="6">
        <v>0</v>
      </c>
      <c r="T232" s="6">
        <v>1</v>
      </c>
      <c r="U232" s="6">
        <v>1</v>
      </c>
      <c r="V232" s="7">
        <v>0</v>
      </c>
      <c r="W232" s="9">
        <v>120</v>
      </c>
      <c r="X232" s="10">
        <f t="shared" si="70"/>
        <v>6</v>
      </c>
      <c r="Y232" s="12">
        <f t="shared" si="63"/>
        <v>754.16251039182271</v>
      </c>
      <c r="Z232" s="11">
        <f t="shared" si="64"/>
        <v>25.09460479663543</v>
      </c>
      <c r="AA232" s="6">
        <v>0</v>
      </c>
      <c r="AB232" s="6">
        <v>0</v>
      </c>
      <c r="AC232" s="6">
        <v>0</v>
      </c>
      <c r="AD232" s="7">
        <v>1</v>
      </c>
      <c r="AE232" s="9">
        <v>120</v>
      </c>
      <c r="AF232" s="10">
        <f t="shared" si="71"/>
        <v>8</v>
      </c>
      <c r="AG232" s="12">
        <f t="shared" si="65"/>
        <v>754.16251039182271</v>
      </c>
      <c r="AH232" s="11">
        <f t="shared" si="66"/>
        <v>25.09460479663543</v>
      </c>
      <c r="AJ232" s="6">
        <f t="shared" si="72"/>
        <v>1000</v>
      </c>
      <c r="AK232" s="4">
        <v>215</v>
      </c>
      <c r="AM232" s="2" t="str">
        <f t="shared" si="67"/>
        <v>0</v>
      </c>
      <c r="AN232" s="2" t="str">
        <f t="shared" si="73"/>
        <v>3E8</v>
      </c>
      <c r="AO232" s="2"/>
      <c r="AP232" s="2" t="str">
        <f t="shared" si="74"/>
        <v>03E8</v>
      </c>
    </row>
    <row r="233" spans="1:42" x14ac:dyDescent="0.2">
      <c r="A233">
        <v>216</v>
      </c>
      <c r="B233">
        <v>21.5</v>
      </c>
      <c r="C233" s="6">
        <v>0</v>
      </c>
      <c r="D233" s="6">
        <v>0</v>
      </c>
      <c r="E233" s="6">
        <v>0</v>
      </c>
      <c r="F233" s="7">
        <v>0</v>
      </c>
      <c r="G233" s="9">
        <v>100</v>
      </c>
      <c r="H233" s="10">
        <f t="shared" si="68"/>
        <v>0</v>
      </c>
      <c r="I233" s="12">
        <f t="shared" si="59"/>
        <v>639.30209199318563</v>
      </c>
      <c r="J233" s="11">
        <f t="shared" si="60"/>
        <v>21.729553476362859</v>
      </c>
      <c r="K233" s="6">
        <v>0</v>
      </c>
      <c r="L233" s="6">
        <v>1</v>
      </c>
      <c r="M233" s="6">
        <v>1</v>
      </c>
      <c r="N233" s="7">
        <v>0</v>
      </c>
      <c r="O233" s="9">
        <v>150</v>
      </c>
      <c r="P233" s="10">
        <f t="shared" si="69"/>
        <v>6</v>
      </c>
      <c r="Q233" s="12">
        <f t="shared" si="61"/>
        <v>926.4531379897785</v>
      </c>
      <c r="R233" s="11">
        <f t="shared" si="62"/>
        <v>30.142181777044289</v>
      </c>
      <c r="S233" s="6">
        <v>0</v>
      </c>
      <c r="T233" s="6">
        <v>1</v>
      </c>
      <c r="U233" s="6">
        <v>1</v>
      </c>
      <c r="V233" s="7">
        <v>0</v>
      </c>
      <c r="W233" s="9">
        <f>W232-1</f>
        <v>119</v>
      </c>
      <c r="X233" s="10">
        <f t="shared" si="70"/>
        <v>6</v>
      </c>
      <c r="Y233" s="12">
        <f t="shared" si="63"/>
        <v>748.41948947189087</v>
      </c>
      <c r="Z233" s="11">
        <f t="shared" si="64"/>
        <v>24.926352230621802</v>
      </c>
      <c r="AA233" s="6">
        <v>0</v>
      </c>
      <c r="AB233" s="6">
        <v>0</v>
      </c>
      <c r="AC233" s="6">
        <v>0</v>
      </c>
      <c r="AD233" s="7">
        <v>1</v>
      </c>
      <c r="AE233" s="9">
        <f>AE232-1</f>
        <v>119</v>
      </c>
      <c r="AF233" s="10">
        <f t="shared" si="71"/>
        <v>8</v>
      </c>
      <c r="AG233" s="12">
        <f t="shared" si="65"/>
        <v>748.41948947189087</v>
      </c>
      <c r="AH233" s="11">
        <f t="shared" si="66"/>
        <v>24.926352230621802</v>
      </c>
      <c r="AJ233" s="6">
        <f t="shared" si="72"/>
        <v>1000</v>
      </c>
      <c r="AK233" s="4">
        <v>216</v>
      </c>
      <c r="AM233" s="2" t="str">
        <f t="shared" si="67"/>
        <v>0</v>
      </c>
      <c r="AN233" s="2" t="str">
        <f t="shared" si="73"/>
        <v>3E8</v>
      </c>
      <c r="AO233" s="2"/>
      <c r="AP233" s="2" t="str">
        <f t="shared" si="74"/>
        <v>03E8</v>
      </c>
    </row>
    <row r="234" spans="1:42" x14ac:dyDescent="0.2">
      <c r="A234">
        <v>217</v>
      </c>
      <c r="B234">
        <v>21.6</v>
      </c>
      <c r="C234" s="6">
        <v>0</v>
      </c>
      <c r="D234" s="6">
        <v>0</v>
      </c>
      <c r="E234" s="6">
        <v>0</v>
      </c>
      <c r="F234" s="7">
        <v>0</v>
      </c>
      <c r="G234" s="9">
        <v>100</v>
      </c>
      <c r="H234" s="10">
        <f t="shared" si="68"/>
        <v>0</v>
      </c>
      <c r="I234" s="12">
        <f t="shared" si="59"/>
        <v>639.30209199318563</v>
      </c>
      <c r="J234" s="11">
        <f t="shared" si="60"/>
        <v>21.729553476362859</v>
      </c>
      <c r="K234" s="6">
        <v>0</v>
      </c>
      <c r="L234" s="6">
        <v>1</v>
      </c>
      <c r="M234" s="6">
        <v>1</v>
      </c>
      <c r="N234" s="7">
        <v>0</v>
      </c>
      <c r="O234" s="9">
        <v>150</v>
      </c>
      <c r="P234" s="10">
        <f t="shared" si="69"/>
        <v>6</v>
      </c>
      <c r="Q234" s="12">
        <f t="shared" si="61"/>
        <v>926.4531379897785</v>
      </c>
      <c r="R234" s="11">
        <f t="shared" si="62"/>
        <v>30.142181777044289</v>
      </c>
      <c r="S234" s="6">
        <v>0</v>
      </c>
      <c r="T234" s="6">
        <v>1</v>
      </c>
      <c r="U234" s="6">
        <v>1</v>
      </c>
      <c r="V234" s="7">
        <v>0</v>
      </c>
      <c r="W234" s="9">
        <f t="shared" ref="W234:W252" si="75">W233-1</f>
        <v>118</v>
      </c>
      <c r="X234" s="10">
        <f t="shared" si="70"/>
        <v>6</v>
      </c>
      <c r="Y234" s="12">
        <f t="shared" si="63"/>
        <v>742.67646855195903</v>
      </c>
      <c r="Z234" s="11">
        <f t="shared" si="64"/>
        <v>24.758099664608174</v>
      </c>
      <c r="AA234" s="6">
        <v>0</v>
      </c>
      <c r="AB234" s="6">
        <v>0</v>
      </c>
      <c r="AC234" s="6">
        <v>0</v>
      </c>
      <c r="AD234" s="7">
        <v>1</v>
      </c>
      <c r="AE234" s="9">
        <f t="shared" ref="AE234:AE252" si="76">AE233-1</f>
        <v>118</v>
      </c>
      <c r="AF234" s="10">
        <f t="shared" si="71"/>
        <v>8</v>
      </c>
      <c r="AG234" s="12">
        <f t="shared" si="65"/>
        <v>742.67646855195903</v>
      </c>
      <c r="AH234" s="11">
        <f t="shared" si="66"/>
        <v>24.758099664608174</v>
      </c>
      <c r="AJ234" s="6">
        <f t="shared" si="72"/>
        <v>1000</v>
      </c>
      <c r="AK234" s="4">
        <v>217</v>
      </c>
      <c r="AM234" s="2" t="str">
        <f t="shared" si="67"/>
        <v>0</v>
      </c>
      <c r="AN234" s="2" t="str">
        <f t="shared" si="73"/>
        <v>3E8</v>
      </c>
      <c r="AO234" s="2"/>
      <c r="AP234" s="2" t="str">
        <f t="shared" si="74"/>
        <v>03E8</v>
      </c>
    </row>
    <row r="235" spans="1:42" x14ac:dyDescent="0.2">
      <c r="A235">
        <v>218</v>
      </c>
      <c r="B235">
        <v>21.7</v>
      </c>
      <c r="C235" s="6">
        <v>0</v>
      </c>
      <c r="D235" s="6">
        <v>0</v>
      </c>
      <c r="E235" s="6">
        <v>0</v>
      </c>
      <c r="F235" s="7">
        <v>0</v>
      </c>
      <c r="G235" s="9">
        <v>100</v>
      </c>
      <c r="H235" s="10">
        <f t="shared" si="68"/>
        <v>0</v>
      </c>
      <c r="I235" s="12">
        <f t="shared" si="59"/>
        <v>639.30209199318563</v>
      </c>
      <c r="J235" s="11">
        <f t="shared" si="60"/>
        <v>21.729553476362859</v>
      </c>
      <c r="K235" s="6">
        <v>0</v>
      </c>
      <c r="L235" s="6">
        <v>1</v>
      </c>
      <c r="M235" s="6">
        <v>1</v>
      </c>
      <c r="N235" s="7">
        <v>0</v>
      </c>
      <c r="O235" s="9">
        <v>150</v>
      </c>
      <c r="P235" s="10">
        <f t="shared" si="69"/>
        <v>6</v>
      </c>
      <c r="Q235" s="12">
        <f t="shared" si="61"/>
        <v>926.4531379897785</v>
      </c>
      <c r="R235" s="11">
        <f t="shared" si="62"/>
        <v>30.142181777044289</v>
      </c>
      <c r="S235" s="6">
        <v>0</v>
      </c>
      <c r="T235" s="6">
        <v>1</v>
      </c>
      <c r="U235" s="6">
        <v>1</v>
      </c>
      <c r="V235" s="7">
        <v>0</v>
      </c>
      <c r="W235" s="9">
        <f t="shared" si="75"/>
        <v>117</v>
      </c>
      <c r="X235" s="10">
        <f t="shared" si="70"/>
        <v>6</v>
      </c>
      <c r="Y235" s="12">
        <f t="shared" si="63"/>
        <v>736.9334476320272</v>
      </c>
      <c r="Z235" s="11">
        <f t="shared" si="64"/>
        <v>24.589847098594547</v>
      </c>
      <c r="AA235" s="6">
        <v>0</v>
      </c>
      <c r="AB235" s="6">
        <v>0</v>
      </c>
      <c r="AC235" s="6">
        <v>0</v>
      </c>
      <c r="AD235" s="7">
        <v>1</v>
      </c>
      <c r="AE235" s="9">
        <f t="shared" si="76"/>
        <v>117</v>
      </c>
      <c r="AF235" s="10">
        <f t="shared" si="71"/>
        <v>8</v>
      </c>
      <c r="AG235" s="12">
        <f t="shared" si="65"/>
        <v>736.9334476320272</v>
      </c>
      <c r="AH235" s="11">
        <f t="shared" si="66"/>
        <v>24.589847098594547</v>
      </c>
      <c r="AJ235" s="6">
        <f t="shared" si="72"/>
        <v>1000</v>
      </c>
      <c r="AK235" s="4">
        <v>218</v>
      </c>
      <c r="AM235" s="2" t="str">
        <f t="shared" si="67"/>
        <v>0</v>
      </c>
      <c r="AN235" s="2" t="str">
        <f t="shared" si="73"/>
        <v>3E8</v>
      </c>
      <c r="AO235" s="2"/>
      <c r="AP235" s="2" t="str">
        <f t="shared" si="74"/>
        <v>03E8</v>
      </c>
    </row>
    <row r="236" spans="1:42" x14ac:dyDescent="0.2">
      <c r="A236">
        <v>219</v>
      </c>
      <c r="B236">
        <v>21.8</v>
      </c>
      <c r="C236" s="6">
        <v>0</v>
      </c>
      <c r="D236" s="6">
        <v>0</v>
      </c>
      <c r="E236" s="6">
        <v>0</v>
      </c>
      <c r="F236" s="7">
        <v>0</v>
      </c>
      <c r="G236" s="9">
        <v>100</v>
      </c>
      <c r="H236" s="10">
        <f t="shared" si="68"/>
        <v>0</v>
      </c>
      <c r="I236" s="12">
        <f t="shared" si="59"/>
        <v>639.30209199318563</v>
      </c>
      <c r="J236" s="11">
        <f t="shared" si="60"/>
        <v>21.729553476362859</v>
      </c>
      <c r="K236" s="6">
        <v>0</v>
      </c>
      <c r="L236" s="6">
        <v>1</v>
      </c>
      <c r="M236" s="6">
        <v>1</v>
      </c>
      <c r="N236" s="7">
        <v>0</v>
      </c>
      <c r="O236" s="9">
        <v>150</v>
      </c>
      <c r="P236" s="10">
        <f t="shared" si="69"/>
        <v>6</v>
      </c>
      <c r="Q236" s="12">
        <f t="shared" si="61"/>
        <v>926.4531379897785</v>
      </c>
      <c r="R236" s="11">
        <f t="shared" si="62"/>
        <v>30.142181777044289</v>
      </c>
      <c r="S236" s="6">
        <v>0</v>
      </c>
      <c r="T236" s="6">
        <v>1</v>
      </c>
      <c r="U236" s="6">
        <v>1</v>
      </c>
      <c r="V236" s="7">
        <v>0</v>
      </c>
      <c r="W236" s="9">
        <f t="shared" si="75"/>
        <v>116</v>
      </c>
      <c r="X236" s="10">
        <f t="shared" si="70"/>
        <v>6</v>
      </c>
      <c r="Y236" s="12">
        <f t="shared" si="63"/>
        <v>731.19042671209536</v>
      </c>
      <c r="Z236" s="11">
        <f t="shared" si="64"/>
        <v>24.421594532580919</v>
      </c>
      <c r="AA236" s="6">
        <v>0</v>
      </c>
      <c r="AB236" s="6">
        <v>0</v>
      </c>
      <c r="AC236" s="6">
        <v>0</v>
      </c>
      <c r="AD236" s="7">
        <v>1</v>
      </c>
      <c r="AE236" s="9">
        <f t="shared" si="76"/>
        <v>116</v>
      </c>
      <c r="AF236" s="10">
        <f t="shared" si="71"/>
        <v>8</v>
      </c>
      <c r="AG236" s="12">
        <f t="shared" si="65"/>
        <v>731.19042671209536</v>
      </c>
      <c r="AH236" s="11">
        <f t="shared" si="66"/>
        <v>24.421594532580919</v>
      </c>
      <c r="AJ236" s="6">
        <f t="shared" si="72"/>
        <v>1000</v>
      </c>
      <c r="AK236" s="4">
        <v>219</v>
      </c>
      <c r="AM236" s="2" t="str">
        <f t="shared" si="67"/>
        <v>0</v>
      </c>
      <c r="AN236" s="2" t="str">
        <f t="shared" si="73"/>
        <v>3E8</v>
      </c>
      <c r="AO236" s="2"/>
      <c r="AP236" s="2" t="str">
        <f t="shared" si="74"/>
        <v>03E8</v>
      </c>
    </row>
    <row r="237" spans="1:42" x14ac:dyDescent="0.2">
      <c r="A237">
        <v>220</v>
      </c>
      <c r="B237">
        <v>21.9</v>
      </c>
      <c r="C237" s="6">
        <v>0</v>
      </c>
      <c r="D237" s="6">
        <v>0</v>
      </c>
      <c r="E237" s="6">
        <v>0</v>
      </c>
      <c r="F237" s="7">
        <v>0</v>
      </c>
      <c r="G237" s="9">
        <v>100</v>
      </c>
      <c r="H237" s="10">
        <f t="shared" si="68"/>
        <v>0</v>
      </c>
      <c r="I237" s="12">
        <f t="shared" si="59"/>
        <v>639.30209199318563</v>
      </c>
      <c r="J237" s="11">
        <f t="shared" si="60"/>
        <v>21.729553476362859</v>
      </c>
      <c r="K237" s="6">
        <v>0</v>
      </c>
      <c r="L237" s="6">
        <v>1</v>
      </c>
      <c r="M237" s="6">
        <v>1</v>
      </c>
      <c r="N237" s="7">
        <v>0</v>
      </c>
      <c r="O237" s="9">
        <v>150</v>
      </c>
      <c r="P237" s="10">
        <f t="shared" si="69"/>
        <v>6</v>
      </c>
      <c r="Q237" s="12">
        <f t="shared" si="61"/>
        <v>926.4531379897785</v>
      </c>
      <c r="R237" s="11">
        <f t="shared" si="62"/>
        <v>30.142181777044289</v>
      </c>
      <c r="S237" s="6">
        <v>0</v>
      </c>
      <c r="T237" s="6">
        <v>1</v>
      </c>
      <c r="U237" s="6">
        <v>1</v>
      </c>
      <c r="V237" s="7">
        <v>0</v>
      </c>
      <c r="W237" s="9">
        <f t="shared" si="75"/>
        <v>115</v>
      </c>
      <c r="X237" s="10">
        <f t="shared" si="70"/>
        <v>6</v>
      </c>
      <c r="Y237" s="12">
        <f t="shared" si="63"/>
        <v>725.44740579216352</v>
      </c>
      <c r="Z237" s="11">
        <f t="shared" si="64"/>
        <v>24.253341966567291</v>
      </c>
      <c r="AA237" s="6">
        <v>0</v>
      </c>
      <c r="AB237" s="6">
        <v>0</v>
      </c>
      <c r="AC237" s="6">
        <v>0</v>
      </c>
      <c r="AD237" s="7">
        <v>1</v>
      </c>
      <c r="AE237" s="9">
        <f t="shared" si="76"/>
        <v>115</v>
      </c>
      <c r="AF237" s="10">
        <f t="shared" si="71"/>
        <v>8</v>
      </c>
      <c r="AG237" s="12">
        <f t="shared" si="65"/>
        <v>725.44740579216352</v>
      </c>
      <c r="AH237" s="11">
        <f t="shared" si="66"/>
        <v>24.253341966567291</v>
      </c>
      <c r="AJ237" s="6">
        <f t="shared" si="72"/>
        <v>1000</v>
      </c>
      <c r="AK237" s="4">
        <v>220</v>
      </c>
      <c r="AM237" s="2" t="str">
        <f t="shared" si="67"/>
        <v>0</v>
      </c>
      <c r="AN237" s="2" t="str">
        <f t="shared" si="73"/>
        <v>3E8</v>
      </c>
      <c r="AO237" s="2"/>
      <c r="AP237" s="2" t="str">
        <f t="shared" si="74"/>
        <v>03E8</v>
      </c>
    </row>
    <row r="238" spans="1:42" x14ac:dyDescent="0.2">
      <c r="A238">
        <v>221</v>
      </c>
      <c r="B238">
        <v>22</v>
      </c>
      <c r="C238" s="6">
        <v>0</v>
      </c>
      <c r="D238" s="6">
        <v>0</v>
      </c>
      <c r="E238" s="6">
        <v>0</v>
      </c>
      <c r="F238" s="7">
        <v>0</v>
      </c>
      <c r="G238" s="9">
        <v>100</v>
      </c>
      <c r="H238" s="10">
        <f t="shared" si="68"/>
        <v>0</v>
      </c>
      <c r="I238" s="12">
        <f t="shared" si="59"/>
        <v>639.30209199318563</v>
      </c>
      <c r="J238" s="11">
        <f t="shared" si="60"/>
        <v>21.729553476362859</v>
      </c>
      <c r="K238" s="6">
        <v>0</v>
      </c>
      <c r="L238" s="6">
        <v>1</v>
      </c>
      <c r="M238" s="6">
        <v>1</v>
      </c>
      <c r="N238" s="7">
        <v>0</v>
      </c>
      <c r="O238" s="9">
        <v>150</v>
      </c>
      <c r="P238" s="10">
        <f t="shared" si="69"/>
        <v>6</v>
      </c>
      <c r="Q238" s="12">
        <f t="shared" si="61"/>
        <v>926.4531379897785</v>
      </c>
      <c r="R238" s="11">
        <f t="shared" si="62"/>
        <v>30.142181777044289</v>
      </c>
      <c r="S238" s="6">
        <v>0</v>
      </c>
      <c r="T238" s="6">
        <v>1</v>
      </c>
      <c r="U238" s="6">
        <v>1</v>
      </c>
      <c r="V238" s="7">
        <v>0</v>
      </c>
      <c r="W238" s="9">
        <f t="shared" si="75"/>
        <v>114</v>
      </c>
      <c r="X238" s="10">
        <f t="shared" si="70"/>
        <v>6</v>
      </c>
      <c r="Y238" s="12">
        <f t="shared" si="63"/>
        <v>719.70438487223146</v>
      </c>
      <c r="Z238" s="11">
        <f t="shared" si="64"/>
        <v>24.085089400553656</v>
      </c>
      <c r="AA238" s="6">
        <v>0</v>
      </c>
      <c r="AB238" s="6">
        <v>0</v>
      </c>
      <c r="AC238" s="6">
        <v>0</v>
      </c>
      <c r="AD238" s="7">
        <v>1</v>
      </c>
      <c r="AE238" s="9">
        <f t="shared" si="76"/>
        <v>114</v>
      </c>
      <c r="AF238" s="10">
        <f t="shared" si="71"/>
        <v>8</v>
      </c>
      <c r="AG238" s="12">
        <f t="shared" si="65"/>
        <v>719.70438487223146</v>
      </c>
      <c r="AH238" s="11">
        <f t="shared" si="66"/>
        <v>24.085089400553656</v>
      </c>
      <c r="AJ238" s="6">
        <f t="shared" si="72"/>
        <v>1000</v>
      </c>
      <c r="AK238" s="4">
        <v>221</v>
      </c>
      <c r="AM238" s="2" t="str">
        <f t="shared" si="67"/>
        <v>0</v>
      </c>
      <c r="AN238" s="2" t="str">
        <f t="shared" si="73"/>
        <v>3E8</v>
      </c>
      <c r="AO238" s="2"/>
      <c r="AP238" s="2" t="str">
        <f t="shared" si="74"/>
        <v>03E8</v>
      </c>
    </row>
    <row r="239" spans="1:42" x14ac:dyDescent="0.2">
      <c r="A239">
        <v>222</v>
      </c>
      <c r="B239">
        <v>22.1</v>
      </c>
      <c r="C239" s="6">
        <v>0</v>
      </c>
      <c r="D239" s="6">
        <v>0</v>
      </c>
      <c r="E239" s="6">
        <v>0</v>
      </c>
      <c r="F239" s="7">
        <v>0</v>
      </c>
      <c r="G239" s="9">
        <v>100</v>
      </c>
      <c r="H239" s="10">
        <f t="shared" si="68"/>
        <v>0</v>
      </c>
      <c r="I239" s="12">
        <f t="shared" si="59"/>
        <v>639.30209199318563</v>
      </c>
      <c r="J239" s="11">
        <f t="shared" si="60"/>
        <v>21.729553476362859</v>
      </c>
      <c r="K239" s="6">
        <v>0</v>
      </c>
      <c r="L239" s="6">
        <v>1</v>
      </c>
      <c r="M239" s="6">
        <v>1</v>
      </c>
      <c r="N239" s="7">
        <v>0</v>
      </c>
      <c r="O239" s="9">
        <v>145</v>
      </c>
      <c r="P239" s="10">
        <f t="shared" si="69"/>
        <v>6</v>
      </c>
      <c r="Q239" s="12">
        <f t="shared" si="61"/>
        <v>897.7380333901192</v>
      </c>
      <c r="R239" s="11">
        <f t="shared" si="62"/>
        <v>29.300918946976147</v>
      </c>
      <c r="S239" s="6">
        <v>0</v>
      </c>
      <c r="T239" s="6">
        <v>1</v>
      </c>
      <c r="U239" s="6">
        <v>1</v>
      </c>
      <c r="V239" s="7">
        <v>0</v>
      </c>
      <c r="W239" s="9">
        <f t="shared" si="75"/>
        <v>113</v>
      </c>
      <c r="X239" s="10">
        <f t="shared" si="70"/>
        <v>6</v>
      </c>
      <c r="Y239" s="12">
        <f t="shared" si="63"/>
        <v>713.96136395229962</v>
      </c>
      <c r="Z239" s="11">
        <f t="shared" si="64"/>
        <v>23.916836834540028</v>
      </c>
      <c r="AA239" s="6">
        <v>0</v>
      </c>
      <c r="AB239" s="6">
        <v>0</v>
      </c>
      <c r="AC239" s="6">
        <v>0</v>
      </c>
      <c r="AD239" s="7">
        <v>1</v>
      </c>
      <c r="AE239" s="9">
        <f t="shared" si="76"/>
        <v>113</v>
      </c>
      <c r="AF239" s="10">
        <f t="shared" si="71"/>
        <v>8</v>
      </c>
      <c r="AG239" s="12">
        <f t="shared" si="65"/>
        <v>713.96136395229962</v>
      </c>
      <c r="AH239" s="11">
        <f t="shared" si="66"/>
        <v>23.916836834540028</v>
      </c>
      <c r="AJ239" s="6">
        <f t="shared" si="72"/>
        <v>1000</v>
      </c>
      <c r="AK239" s="4">
        <v>222</v>
      </c>
      <c r="AM239" s="2" t="str">
        <f t="shared" si="67"/>
        <v>0</v>
      </c>
      <c r="AN239" s="2" t="str">
        <f t="shared" si="73"/>
        <v>3E8</v>
      </c>
      <c r="AO239" s="2"/>
      <c r="AP239" s="2" t="str">
        <f t="shared" si="74"/>
        <v>03E8</v>
      </c>
    </row>
    <row r="240" spans="1:42" x14ac:dyDescent="0.2">
      <c r="A240">
        <v>223</v>
      </c>
      <c r="B240">
        <v>22.2</v>
      </c>
      <c r="C240" s="6">
        <v>0</v>
      </c>
      <c r="D240" s="6">
        <v>0</v>
      </c>
      <c r="E240" s="6">
        <v>0</v>
      </c>
      <c r="F240" s="7">
        <v>0</v>
      </c>
      <c r="G240" s="9">
        <v>100</v>
      </c>
      <c r="H240" s="10">
        <f t="shared" si="68"/>
        <v>0</v>
      </c>
      <c r="I240" s="12">
        <f t="shared" si="59"/>
        <v>639.30209199318563</v>
      </c>
      <c r="J240" s="11">
        <f t="shared" si="60"/>
        <v>21.729553476362859</v>
      </c>
      <c r="K240" s="6">
        <v>0</v>
      </c>
      <c r="L240" s="6">
        <v>1</v>
      </c>
      <c r="M240" s="6">
        <v>1</v>
      </c>
      <c r="N240" s="7">
        <v>0</v>
      </c>
      <c r="O240" s="9">
        <v>140</v>
      </c>
      <c r="P240" s="10">
        <f t="shared" si="69"/>
        <v>6</v>
      </c>
      <c r="Q240" s="12">
        <f t="shared" si="61"/>
        <v>869.0229287904599</v>
      </c>
      <c r="R240" s="11">
        <f t="shared" si="62"/>
        <v>28.459656116908008</v>
      </c>
      <c r="S240" s="6">
        <v>0</v>
      </c>
      <c r="T240" s="6">
        <v>1</v>
      </c>
      <c r="U240" s="6">
        <v>1</v>
      </c>
      <c r="V240" s="7">
        <v>0</v>
      </c>
      <c r="W240" s="9">
        <f t="shared" si="75"/>
        <v>112</v>
      </c>
      <c r="X240" s="10">
        <f t="shared" si="70"/>
        <v>6</v>
      </c>
      <c r="Y240" s="12">
        <f t="shared" si="63"/>
        <v>708.21834303236801</v>
      </c>
      <c r="Z240" s="11">
        <f t="shared" si="64"/>
        <v>23.748584268526407</v>
      </c>
      <c r="AA240" s="6">
        <v>0</v>
      </c>
      <c r="AB240" s="6">
        <v>0</v>
      </c>
      <c r="AC240" s="6">
        <v>0</v>
      </c>
      <c r="AD240" s="7">
        <v>1</v>
      </c>
      <c r="AE240" s="9">
        <f t="shared" si="76"/>
        <v>112</v>
      </c>
      <c r="AF240" s="10">
        <f t="shared" si="71"/>
        <v>8</v>
      </c>
      <c r="AG240" s="12">
        <f t="shared" si="65"/>
        <v>708.21834303236801</v>
      </c>
      <c r="AH240" s="11">
        <f t="shared" si="66"/>
        <v>23.748584268526407</v>
      </c>
      <c r="AJ240" s="6">
        <f t="shared" si="72"/>
        <v>1000</v>
      </c>
      <c r="AK240" s="4">
        <v>223</v>
      </c>
      <c r="AM240" s="2" t="str">
        <f t="shared" si="67"/>
        <v>0</v>
      </c>
      <c r="AN240" s="2" t="str">
        <f t="shared" si="73"/>
        <v>3E8</v>
      </c>
      <c r="AO240" s="2"/>
      <c r="AP240" s="2" t="str">
        <f t="shared" si="74"/>
        <v>03E8</v>
      </c>
    </row>
    <row r="241" spans="1:42" x14ac:dyDescent="0.2">
      <c r="A241">
        <v>224</v>
      </c>
      <c r="B241">
        <v>22.3</v>
      </c>
      <c r="C241" s="6">
        <v>0</v>
      </c>
      <c r="D241" s="6">
        <v>0</v>
      </c>
      <c r="E241" s="6">
        <v>0</v>
      </c>
      <c r="F241" s="7">
        <v>0</v>
      </c>
      <c r="G241" s="9">
        <v>100</v>
      </c>
      <c r="H241" s="10">
        <f t="shared" si="68"/>
        <v>0</v>
      </c>
      <c r="I241" s="12">
        <f t="shared" si="59"/>
        <v>639.30209199318563</v>
      </c>
      <c r="J241" s="11">
        <f t="shared" si="60"/>
        <v>21.729553476362859</v>
      </c>
      <c r="K241" s="6">
        <v>0</v>
      </c>
      <c r="L241" s="6">
        <v>1</v>
      </c>
      <c r="M241" s="6">
        <v>1</v>
      </c>
      <c r="N241" s="7">
        <v>0</v>
      </c>
      <c r="O241" s="9">
        <v>135</v>
      </c>
      <c r="P241" s="10">
        <f t="shared" si="69"/>
        <v>6</v>
      </c>
      <c r="Q241" s="12">
        <f t="shared" si="61"/>
        <v>840.30782419080083</v>
      </c>
      <c r="R241" s="11">
        <f t="shared" si="62"/>
        <v>27.618393286839868</v>
      </c>
      <c r="S241" s="6">
        <v>0</v>
      </c>
      <c r="T241" s="6">
        <v>1</v>
      </c>
      <c r="U241" s="6">
        <v>1</v>
      </c>
      <c r="V241" s="7">
        <v>0</v>
      </c>
      <c r="W241" s="9">
        <f t="shared" si="75"/>
        <v>111</v>
      </c>
      <c r="X241" s="10">
        <f t="shared" si="70"/>
        <v>6</v>
      </c>
      <c r="Y241" s="12">
        <f t="shared" si="63"/>
        <v>702.47532211243617</v>
      </c>
      <c r="Z241" s="11">
        <f t="shared" si="64"/>
        <v>23.58033170251278</v>
      </c>
      <c r="AA241" s="6">
        <v>0</v>
      </c>
      <c r="AB241" s="6">
        <v>0</v>
      </c>
      <c r="AC241" s="6">
        <v>0</v>
      </c>
      <c r="AD241" s="7">
        <v>1</v>
      </c>
      <c r="AE241" s="9">
        <f t="shared" si="76"/>
        <v>111</v>
      </c>
      <c r="AF241" s="10">
        <f t="shared" si="71"/>
        <v>8</v>
      </c>
      <c r="AG241" s="12">
        <f t="shared" si="65"/>
        <v>702.47532211243617</v>
      </c>
      <c r="AH241" s="11">
        <f t="shared" si="66"/>
        <v>23.58033170251278</v>
      </c>
      <c r="AJ241" s="6">
        <f t="shared" si="72"/>
        <v>1000</v>
      </c>
      <c r="AK241" s="4">
        <v>224</v>
      </c>
      <c r="AM241" s="2" t="str">
        <f t="shared" si="67"/>
        <v>0</v>
      </c>
      <c r="AN241" s="2" t="str">
        <f t="shared" si="73"/>
        <v>3E8</v>
      </c>
      <c r="AO241" s="2"/>
      <c r="AP241" s="2" t="str">
        <f t="shared" si="74"/>
        <v>03E8</v>
      </c>
    </row>
    <row r="242" spans="1:42" x14ac:dyDescent="0.2">
      <c r="A242">
        <v>225</v>
      </c>
      <c r="B242">
        <v>22.4</v>
      </c>
      <c r="C242" s="6">
        <v>0</v>
      </c>
      <c r="D242" s="6">
        <v>0</v>
      </c>
      <c r="E242" s="6">
        <v>0</v>
      </c>
      <c r="F242" s="7">
        <v>0</v>
      </c>
      <c r="G242" s="9">
        <v>100</v>
      </c>
      <c r="H242" s="10">
        <f t="shared" si="68"/>
        <v>0</v>
      </c>
      <c r="I242" s="12">
        <f t="shared" si="59"/>
        <v>639.30209199318563</v>
      </c>
      <c r="J242" s="11">
        <f t="shared" si="60"/>
        <v>21.729553476362859</v>
      </c>
      <c r="K242" s="6">
        <v>0</v>
      </c>
      <c r="L242" s="6">
        <v>1</v>
      </c>
      <c r="M242" s="6">
        <v>1</v>
      </c>
      <c r="N242" s="7">
        <v>0</v>
      </c>
      <c r="O242" s="9">
        <v>130</v>
      </c>
      <c r="P242" s="10">
        <f t="shared" si="69"/>
        <v>6</v>
      </c>
      <c r="Q242" s="12">
        <f t="shared" si="61"/>
        <v>811.59271959114142</v>
      </c>
      <c r="R242" s="11">
        <f t="shared" si="62"/>
        <v>26.777130456771722</v>
      </c>
      <c r="S242" s="6">
        <v>0</v>
      </c>
      <c r="T242" s="6">
        <v>1</v>
      </c>
      <c r="U242" s="6">
        <v>1</v>
      </c>
      <c r="V242" s="7">
        <v>0</v>
      </c>
      <c r="W242" s="9">
        <f t="shared" si="75"/>
        <v>110</v>
      </c>
      <c r="X242" s="10">
        <f t="shared" si="70"/>
        <v>6</v>
      </c>
      <c r="Y242" s="12">
        <f t="shared" si="63"/>
        <v>696.73230119250434</v>
      </c>
      <c r="Z242" s="11">
        <f t="shared" si="64"/>
        <v>23.412079136499152</v>
      </c>
      <c r="AA242" s="6">
        <v>0</v>
      </c>
      <c r="AB242" s="6">
        <v>0</v>
      </c>
      <c r="AC242" s="6">
        <v>0</v>
      </c>
      <c r="AD242" s="7">
        <v>1</v>
      </c>
      <c r="AE242" s="9">
        <f t="shared" si="76"/>
        <v>110</v>
      </c>
      <c r="AF242" s="10">
        <f t="shared" si="71"/>
        <v>8</v>
      </c>
      <c r="AG242" s="12">
        <f t="shared" si="65"/>
        <v>696.73230119250434</v>
      </c>
      <c r="AH242" s="11">
        <f t="shared" si="66"/>
        <v>23.412079136499152</v>
      </c>
      <c r="AJ242" s="6">
        <f t="shared" si="72"/>
        <v>1000</v>
      </c>
      <c r="AK242" s="4">
        <v>225</v>
      </c>
      <c r="AM242" s="2" t="str">
        <f t="shared" si="67"/>
        <v>0</v>
      </c>
      <c r="AN242" s="2" t="str">
        <f t="shared" si="73"/>
        <v>3E8</v>
      </c>
      <c r="AO242" s="2"/>
      <c r="AP242" s="2" t="str">
        <f t="shared" si="74"/>
        <v>03E8</v>
      </c>
    </row>
    <row r="243" spans="1:42" x14ac:dyDescent="0.2">
      <c r="A243">
        <v>226</v>
      </c>
      <c r="B243">
        <v>22.5</v>
      </c>
      <c r="C243" s="6">
        <v>0</v>
      </c>
      <c r="D243" s="6">
        <v>0</v>
      </c>
      <c r="E243" s="6">
        <v>0</v>
      </c>
      <c r="F243" s="7">
        <v>0</v>
      </c>
      <c r="G243" s="9">
        <v>100</v>
      </c>
      <c r="H243" s="10">
        <f t="shared" si="68"/>
        <v>0</v>
      </c>
      <c r="I243" s="12">
        <f t="shared" si="59"/>
        <v>639.30209199318563</v>
      </c>
      <c r="J243" s="11">
        <f t="shared" si="60"/>
        <v>21.729553476362859</v>
      </c>
      <c r="K243" s="6">
        <v>0</v>
      </c>
      <c r="L243" s="6">
        <v>1</v>
      </c>
      <c r="M243" s="6">
        <v>1</v>
      </c>
      <c r="N243" s="7">
        <v>0</v>
      </c>
      <c r="O243" s="9">
        <v>125</v>
      </c>
      <c r="P243" s="10">
        <f t="shared" si="69"/>
        <v>6</v>
      </c>
      <c r="Q243" s="12">
        <f t="shared" si="61"/>
        <v>782.87761499148212</v>
      </c>
      <c r="R243" s="11">
        <f t="shared" si="62"/>
        <v>25.935867626703576</v>
      </c>
      <c r="S243" s="6">
        <v>0</v>
      </c>
      <c r="T243" s="6">
        <v>1</v>
      </c>
      <c r="U243" s="6">
        <v>1</v>
      </c>
      <c r="V243" s="7">
        <v>0</v>
      </c>
      <c r="W243" s="9">
        <f t="shared" si="75"/>
        <v>109</v>
      </c>
      <c r="X243" s="10">
        <f t="shared" si="70"/>
        <v>6</v>
      </c>
      <c r="Y243" s="12">
        <f t="shared" si="63"/>
        <v>690.9892802725725</v>
      </c>
      <c r="Z243" s="11">
        <f t="shared" si="64"/>
        <v>23.243826570485524</v>
      </c>
      <c r="AA243" s="6">
        <v>0</v>
      </c>
      <c r="AB243" s="6">
        <v>0</v>
      </c>
      <c r="AC243" s="6">
        <v>0</v>
      </c>
      <c r="AD243" s="7">
        <v>1</v>
      </c>
      <c r="AE243" s="9">
        <f t="shared" si="76"/>
        <v>109</v>
      </c>
      <c r="AF243" s="10">
        <f t="shared" si="71"/>
        <v>8</v>
      </c>
      <c r="AG243" s="12">
        <f t="shared" si="65"/>
        <v>690.9892802725725</v>
      </c>
      <c r="AH243" s="11">
        <f t="shared" si="66"/>
        <v>23.243826570485524</v>
      </c>
      <c r="AJ243" s="6">
        <f t="shared" si="72"/>
        <v>1000</v>
      </c>
      <c r="AK243" s="4">
        <v>226</v>
      </c>
      <c r="AM243" s="2" t="str">
        <f t="shared" si="67"/>
        <v>0</v>
      </c>
      <c r="AN243" s="2" t="str">
        <f t="shared" si="73"/>
        <v>3E8</v>
      </c>
      <c r="AO243" s="2"/>
      <c r="AP243" s="2" t="str">
        <f t="shared" si="74"/>
        <v>03E8</v>
      </c>
    </row>
    <row r="244" spans="1:42" x14ac:dyDescent="0.2">
      <c r="A244">
        <v>227</v>
      </c>
      <c r="B244">
        <v>22.6</v>
      </c>
      <c r="C244" s="6">
        <v>0</v>
      </c>
      <c r="D244" s="6">
        <v>0</v>
      </c>
      <c r="E244" s="6">
        <v>0</v>
      </c>
      <c r="F244" s="7">
        <v>0</v>
      </c>
      <c r="G244" s="9">
        <v>100</v>
      </c>
      <c r="H244" s="10">
        <f t="shared" si="68"/>
        <v>0</v>
      </c>
      <c r="I244" s="12">
        <f t="shared" si="59"/>
        <v>639.30209199318563</v>
      </c>
      <c r="J244" s="11">
        <f t="shared" si="60"/>
        <v>21.729553476362859</v>
      </c>
      <c r="K244" s="6">
        <v>0</v>
      </c>
      <c r="L244" s="6">
        <v>1</v>
      </c>
      <c r="M244" s="6">
        <v>1</v>
      </c>
      <c r="N244" s="7">
        <v>0</v>
      </c>
      <c r="O244" s="9">
        <v>120</v>
      </c>
      <c r="P244" s="10">
        <f t="shared" si="69"/>
        <v>6</v>
      </c>
      <c r="Q244" s="12">
        <f t="shared" si="61"/>
        <v>754.16251039182271</v>
      </c>
      <c r="R244" s="11">
        <f t="shared" si="62"/>
        <v>25.09460479663543</v>
      </c>
      <c r="S244" s="6">
        <v>0</v>
      </c>
      <c r="T244" s="6">
        <v>1</v>
      </c>
      <c r="U244" s="6">
        <v>1</v>
      </c>
      <c r="V244" s="7">
        <v>0</v>
      </c>
      <c r="W244" s="9">
        <f t="shared" si="75"/>
        <v>108</v>
      </c>
      <c r="X244" s="10">
        <f t="shared" si="70"/>
        <v>6</v>
      </c>
      <c r="Y244" s="12">
        <f t="shared" si="63"/>
        <v>685.24625935264066</v>
      </c>
      <c r="Z244" s="11">
        <f t="shared" si="64"/>
        <v>23.075574004471896</v>
      </c>
      <c r="AA244" s="6">
        <v>0</v>
      </c>
      <c r="AB244" s="6">
        <v>0</v>
      </c>
      <c r="AC244" s="6">
        <v>0</v>
      </c>
      <c r="AD244" s="7">
        <v>1</v>
      </c>
      <c r="AE244" s="9">
        <f t="shared" si="76"/>
        <v>108</v>
      </c>
      <c r="AF244" s="10">
        <f t="shared" si="71"/>
        <v>8</v>
      </c>
      <c r="AG244" s="12">
        <f t="shared" si="65"/>
        <v>685.24625935264066</v>
      </c>
      <c r="AH244" s="11">
        <f t="shared" si="66"/>
        <v>23.075574004471896</v>
      </c>
      <c r="AJ244" s="6">
        <f t="shared" si="72"/>
        <v>1000</v>
      </c>
      <c r="AK244" s="4">
        <v>227</v>
      </c>
      <c r="AM244" s="2" t="str">
        <f t="shared" si="67"/>
        <v>0</v>
      </c>
      <c r="AN244" s="2" t="str">
        <f t="shared" si="73"/>
        <v>3E8</v>
      </c>
      <c r="AO244" s="2"/>
      <c r="AP244" s="2" t="str">
        <f t="shared" si="74"/>
        <v>03E8</v>
      </c>
    </row>
    <row r="245" spans="1:42" x14ac:dyDescent="0.2">
      <c r="A245">
        <v>228</v>
      </c>
      <c r="B245">
        <v>22.7</v>
      </c>
      <c r="C245" s="6">
        <v>0</v>
      </c>
      <c r="D245" s="6">
        <v>0</v>
      </c>
      <c r="E245" s="6">
        <v>0</v>
      </c>
      <c r="F245" s="7">
        <v>0</v>
      </c>
      <c r="G245" s="9">
        <v>100</v>
      </c>
      <c r="H245" s="10">
        <f t="shared" si="68"/>
        <v>0</v>
      </c>
      <c r="I245" s="12">
        <f t="shared" si="59"/>
        <v>639.30209199318563</v>
      </c>
      <c r="J245" s="11">
        <f t="shared" si="60"/>
        <v>21.729553476362859</v>
      </c>
      <c r="K245" s="6">
        <v>0</v>
      </c>
      <c r="L245" s="6">
        <v>1</v>
      </c>
      <c r="M245" s="6">
        <v>1</v>
      </c>
      <c r="N245" s="7">
        <v>0</v>
      </c>
      <c r="O245" s="9">
        <v>115</v>
      </c>
      <c r="P245" s="10">
        <f t="shared" si="69"/>
        <v>6</v>
      </c>
      <c r="Q245" s="12">
        <f t="shared" si="61"/>
        <v>725.44740579216352</v>
      </c>
      <c r="R245" s="11">
        <f t="shared" si="62"/>
        <v>24.253341966567291</v>
      </c>
      <c r="S245" s="6">
        <v>0</v>
      </c>
      <c r="T245" s="6">
        <v>1</v>
      </c>
      <c r="U245" s="6">
        <v>1</v>
      </c>
      <c r="V245" s="7">
        <v>0</v>
      </c>
      <c r="W245" s="9">
        <f t="shared" si="75"/>
        <v>107</v>
      </c>
      <c r="X245" s="10">
        <f t="shared" si="70"/>
        <v>6</v>
      </c>
      <c r="Y245" s="12">
        <f t="shared" si="63"/>
        <v>679.50323843270883</v>
      </c>
      <c r="Z245" s="11">
        <f t="shared" si="64"/>
        <v>22.907321438458265</v>
      </c>
      <c r="AA245" s="6">
        <v>0</v>
      </c>
      <c r="AB245" s="6">
        <v>0</v>
      </c>
      <c r="AC245" s="6">
        <v>0</v>
      </c>
      <c r="AD245" s="7">
        <v>1</v>
      </c>
      <c r="AE245" s="9">
        <f t="shared" si="76"/>
        <v>107</v>
      </c>
      <c r="AF245" s="10">
        <f t="shared" si="71"/>
        <v>8</v>
      </c>
      <c r="AG245" s="12">
        <f t="shared" si="65"/>
        <v>679.50323843270883</v>
      </c>
      <c r="AH245" s="11">
        <f t="shared" si="66"/>
        <v>22.907321438458265</v>
      </c>
      <c r="AJ245" s="6">
        <f t="shared" si="72"/>
        <v>1000</v>
      </c>
      <c r="AK245" s="4">
        <v>228</v>
      </c>
      <c r="AM245" s="2" t="str">
        <f t="shared" si="67"/>
        <v>0</v>
      </c>
      <c r="AN245" s="2" t="str">
        <f t="shared" si="73"/>
        <v>3E8</v>
      </c>
      <c r="AO245" s="2"/>
      <c r="AP245" s="2" t="str">
        <f t="shared" si="74"/>
        <v>03E8</v>
      </c>
    </row>
    <row r="246" spans="1:42" x14ac:dyDescent="0.2">
      <c r="A246">
        <v>229</v>
      </c>
      <c r="B246">
        <v>22.8</v>
      </c>
      <c r="C246" s="6">
        <v>0</v>
      </c>
      <c r="D246" s="6">
        <v>0</v>
      </c>
      <c r="E246" s="6">
        <v>0</v>
      </c>
      <c r="F246" s="7">
        <v>0</v>
      </c>
      <c r="G246" s="9">
        <v>100</v>
      </c>
      <c r="H246" s="10">
        <f t="shared" si="68"/>
        <v>0</v>
      </c>
      <c r="I246" s="12">
        <f t="shared" si="59"/>
        <v>639.30209199318563</v>
      </c>
      <c r="J246" s="11">
        <f t="shared" si="60"/>
        <v>21.729553476362859</v>
      </c>
      <c r="K246" s="6">
        <v>0</v>
      </c>
      <c r="L246" s="6">
        <v>1</v>
      </c>
      <c r="M246" s="6">
        <v>1</v>
      </c>
      <c r="N246" s="7">
        <v>0</v>
      </c>
      <c r="O246" s="9">
        <v>110</v>
      </c>
      <c r="P246" s="10">
        <f t="shared" si="69"/>
        <v>6</v>
      </c>
      <c r="Q246" s="12">
        <f t="shared" si="61"/>
        <v>696.73230119250434</v>
      </c>
      <c r="R246" s="11">
        <f t="shared" si="62"/>
        <v>23.412079136499152</v>
      </c>
      <c r="S246" s="6">
        <v>0</v>
      </c>
      <c r="T246" s="6">
        <v>1</v>
      </c>
      <c r="U246" s="6">
        <v>1</v>
      </c>
      <c r="V246" s="7">
        <v>0</v>
      </c>
      <c r="W246" s="9">
        <f t="shared" si="75"/>
        <v>106</v>
      </c>
      <c r="X246" s="10">
        <f t="shared" si="70"/>
        <v>6</v>
      </c>
      <c r="Y246" s="12">
        <f t="shared" si="63"/>
        <v>673.76021751277688</v>
      </c>
      <c r="Z246" s="11">
        <f t="shared" si="64"/>
        <v>22.739068872444633</v>
      </c>
      <c r="AA246" s="6">
        <v>0</v>
      </c>
      <c r="AB246" s="6">
        <v>0</v>
      </c>
      <c r="AC246" s="6">
        <v>0</v>
      </c>
      <c r="AD246" s="7">
        <v>1</v>
      </c>
      <c r="AE246" s="9">
        <f t="shared" si="76"/>
        <v>106</v>
      </c>
      <c r="AF246" s="10">
        <f t="shared" si="71"/>
        <v>8</v>
      </c>
      <c r="AG246" s="12">
        <f t="shared" si="65"/>
        <v>673.76021751277688</v>
      </c>
      <c r="AH246" s="11">
        <f t="shared" si="66"/>
        <v>22.739068872444633</v>
      </c>
      <c r="AJ246" s="6">
        <f t="shared" si="72"/>
        <v>1000</v>
      </c>
      <c r="AK246" s="4">
        <v>229</v>
      </c>
      <c r="AM246" s="2" t="str">
        <f t="shared" si="67"/>
        <v>0</v>
      </c>
      <c r="AN246" s="2" t="str">
        <f t="shared" si="73"/>
        <v>3E8</v>
      </c>
      <c r="AO246" s="2"/>
      <c r="AP246" s="2" t="str">
        <f t="shared" si="74"/>
        <v>03E8</v>
      </c>
    </row>
    <row r="247" spans="1:42" x14ac:dyDescent="0.2">
      <c r="A247">
        <v>230</v>
      </c>
      <c r="B247">
        <v>22.9</v>
      </c>
      <c r="C247" s="6">
        <v>0</v>
      </c>
      <c r="D247" s="6">
        <v>0</v>
      </c>
      <c r="E247" s="6">
        <v>0</v>
      </c>
      <c r="F247" s="7">
        <v>0</v>
      </c>
      <c r="G247" s="9">
        <v>100</v>
      </c>
      <c r="H247" s="10">
        <f t="shared" si="68"/>
        <v>0</v>
      </c>
      <c r="I247" s="12">
        <f t="shared" si="59"/>
        <v>639.30209199318563</v>
      </c>
      <c r="J247" s="11">
        <f t="shared" si="60"/>
        <v>21.729553476362859</v>
      </c>
      <c r="K247" s="6">
        <v>0</v>
      </c>
      <c r="L247" s="6">
        <v>1</v>
      </c>
      <c r="M247" s="6">
        <v>1</v>
      </c>
      <c r="N247" s="7">
        <v>0</v>
      </c>
      <c r="O247" s="9">
        <v>105</v>
      </c>
      <c r="P247" s="10">
        <f t="shared" si="69"/>
        <v>6</v>
      </c>
      <c r="Q247" s="12">
        <f t="shared" si="61"/>
        <v>668.01719659284504</v>
      </c>
      <c r="R247" s="11">
        <f t="shared" si="62"/>
        <v>22.570816306431006</v>
      </c>
      <c r="S247" s="6">
        <v>0</v>
      </c>
      <c r="T247" s="6">
        <v>1</v>
      </c>
      <c r="U247" s="6">
        <v>1</v>
      </c>
      <c r="V247" s="7">
        <v>0</v>
      </c>
      <c r="W247" s="9">
        <f t="shared" si="75"/>
        <v>105</v>
      </c>
      <c r="X247" s="10">
        <f t="shared" si="70"/>
        <v>6</v>
      </c>
      <c r="Y247" s="12">
        <f t="shared" si="63"/>
        <v>668.01719659284504</v>
      </c>
      <c r="Z247" s="11">
        <f t="shared" si="64"/>
        <v>22.570816306431006</v>
      </c>
      <c r="AA247" s="6">
        <v>0</v>
      </c>
      <c r="AB247" s="6">
        <v>0</v>
      </c>
      <c r="AC247" s="6">
        <v>0</v>
      </c>
      <c r="AD247" s="7">
        <v>1</v>
      </c>
      <c r="AE247" s="9">
        <f t="shared" si="76"/>
        <v>105</v>
      </c>
      <c r="AF247" s="10">
        <f t="shared" si="71"/>
        <v>8</v>
      </c>
      <c r="AG247" s="12">
        <f t="shared" si="65"/>
        <v>668.01719659284504</v>
      </c>
      <c r="AH247" s="11">
        <f t="shared" si="66"/>
        <v>22.570816306431006</v>
      </c>
      <c r="AJ247" s="6">
        <f t="shared" si="72"/>
        <v>1000</v>
      </c>
      <c r="AK247" s="4">
        <v>230</v>
      </c>
      <c r="AM247" s="2" t="str">
        <f t="shared" si="67"/>
        <v>0</v>
      </c>
      <c r="AN247" s="2" t="str">
        <f t="shared" si="73"/>
        <v>3E8</v>
      </c>
      <c r="AO247" s="2"/>
      <c r="AP247" s="2" t="str">
        <f t="shared" si="74"/>
        <v>03E8</v>
      </c>
    </row>
    <row r="248" spans="1:42" x14ac:dyDescent="0.2">
      <c r="A248">
        <v>231</v>
      </c>
      <c r="B248">
        <v>23</v>
      </c>
      <c r="C248" s="6">
        <v>0</v>
      </c>
      <c r="D248" s="6">
        <v>0</v>
      </c>
      <c r="E248" s="6">
        <v>0</v>
      </c>
      <c r="F248" s="7">
        <v>0</v>
      </c>
      <c r="G248" s="9">
        <v>100</v>
      </c>
      <c r="H248" s="10">
        <f t="shared" si="68"/>
        <v>0</v>
      </c>
      <c r="I248" s="12">
        <f t="shared" si="59"/>
        <v>639.30209199318563</v>
      </c>
      <c r="J248" s="11">
        <f t="shared" si="60"/>
        <v>21.729553476362859</v>
      </c>
      <c r="K248" s="6">
        <v>0</v>
      </c>
      <c r="L248" s="6">
        <v>1</v>
      </c>
      <c r="M248" s="6">
        <v>1</v>
      </c>
      <c r="N248" s="7">
        <v>0</v>
      </c>
      <c r="O248" s="9">
        <v>100</v>
      </c>
      <c r="P248" s="10">
        <f t="shared" si="69"/>
        <v>6</v>
      </c>
      <c r="Q248" s="12">
        <f t="shared" si="61"/>
        <v>639.30209199318563</v>
      </c>
      <c r="R248" s="11">
        <f t="shared" si="62"/>
        <v>21.729553476362859</v>
      </c>
      <c r="S248" s="6">
        <v>0</v>
      </c>
      <c r="T248" s="6">
        <v>1</v>
      </c>
      <c r="U248" s="6">
        <v>1</v>
      </c>
      <c r="V248" s="7">
        <v>0</v>
      </c>
      <c r="W248" s="9">
        <f t="shared" si="75"/>
        <v>104</v>
      </c>
      <c r="X248" s="10">
        <f t="shared" si="70"/>
        <v>6</v>
      </c>
      <c r="Y248" s="12">
        <f t="shared" si="63"/>
        <v>662.2741756729132</v>
      </c>
      <c r="Z248" s="11">
        <f t="shared" si="64"/>
        <v>22.402563740417378</v>
      </c>
      <c r="AA248" s="6">
        <v>0</v>
      </c>
      <c r="AB248" s="6">
        <v>0</v>
      </c>
      <c r="AC248" s="6">
        <v>0</v>
      </c>
      <c r="AD248" s="7">
        <v>1</v>
      </c>
      <c r="AE248" s="9">
        <f t="shared" si="76"/>
        <v>104</v>
      </c>
      <c r="AF248" s="10">
        <f t="shared" si="71"/>
        <v>8</v>
      </c>
      <c r="AG248" s="12">
        <f t="shared" si="65"/>
        <v>662.2741756729132</v>
      </c>
      <c r="AH248" s="11">
        <f t="shared" si="66"/>
        <v>22.402563740417378</v>
      </c>
      <c r="AJ248" s="6">
        <f t="shared" si="72"/>
        <v>1000</v>
      </c>
      <c r="AK248" s="4">
        <v>231</v>
      </c>
      <c r="AM248" s="2" t="str">
        <f t="shared" si="67"/>
        <v>0</v>
      </c>
      <c r="AN248" s="2" t="str">
        <f t="shared" si="73"/>
        <v>3E8</v>
      </c>
      <c r="AO248" s="2"/>
      <c r="AP248" s="2" t="str">
        <f t="shared" si="74"/>
        <v>03E8</v>
      </c>
    </row>
    <row r="249" spans="1:42" x14ac:dyDescent="0.2">
      <c r="A249">
        <v>232</v>
      </c>
      <c r="B249">
        <v>23.1</v>
      </c>
      <c r="C249" s="6">
        <v>0</v>
      </c>
      <c r="D249" s="6">
        <v>0</v>
      </c>
      <c r="E249" s="6">
        <v>0</v>
      </c>
      <c r="F249" s="7">
        <v>0</v>
      </c>
      <c r="G249" s="9">
        <v>100</v>
      </c>
      <c r="H249" s="10">
        <f t="shared" si="68"/>
        <v>0</v>
      </c>
      <c r="I249" s="12">
        <f t="shared" si="59"/>
        <v>639.30209199318563</v>
      </c>
      <c r="J249" s="11">
        <f t="shared" si="60"/>
        <v>21.729553476362859</v>
      </c>
      <c r="K249" s="6">
        <v>0</v>
      </c>
      <c r="L249" s="6">
        <v>1</v>
      </c>
      <c r="M249" s="6">
        <v>1</v>
      </c>
      <c r="N249" s="7">
        <v>0</v>
      </c>
      <c r="O249" s="9">
        <v>100</v>
      </c>
      <c r="P249" s="10">
        <f t="shared" si="69"/>
        <v>6</v>
      </c>
      <c r="Q249" s="12">
        <f t="shared" si="61"/>
        <v>639.30209199318563</v>
      </c>
      <c r="R249" s="11">
        <f t="shared" si="62"/>
        <v>21.729553476362859</v>
      </c>
      <c r="S249" s="6">
        <v>0</v>
      </c>
      <c r="T249" s="6">
        <v>1</v>
      </c>
      <c r="U249" s="6">
        <v>1</v>
      </c>
      <c r="V249" s="7">
        <v>0</v>
      </c>
      <c r="W249" s="9">
        <f t="shared" si="75"/>
        <v>103</v>
      </c>
      <c r="X249" s="10">
        <f t="shared" si="70"/>
        <v>6</v>
      </c>
      <c r="Y249" s="12">
        <f t="shared" si="63"/>
        <v>656.53115475298125</v>
      </c>
      <c r="Z249" s="11">
        <f t="shared" si="64"/>
        <v>22.23431117440375</v>
      </c>
      <c r="AA249" s="6">
        <v>0</v>
      </c>
      <c r="AB249" s="6">
        <v>0</v>
      </c>
      <c r="AC249" s="6">
        <v>0</v>
      </c>
      <c r="AD249" s="7">
        <v>1</v>
      </c>
      <c r="AE249" s="9">
        <f t="shared" si="76"/>
        <v>103</v>
      </c>
      <c r="AF249" s="10">
        <f t="shared" si="71"/>
        <v>8</v>
      </c>
      <c r="AG249" s="12">
        <f t="shared" si="65"/>
        <v>656.53115475298125</v>
      </c>
      <c r="AH249" s="11">
        <f t="shared" si="66"/>
        <v>22.23431117440375</v>
      </c>
      <c r="AJ249" s="6">
        <f t="shared" si="72"/>
        <v>1000</v>
      </c>
      <c r="AK249" s="4">
        <v>232</v>
      </c>
      <c r="AM249" s="2" t="str">
        <f t="shared" si="67"/>
        <v>0</v>
      </c>
      <c r="AN249" s="2" t="str">
        <f t="shared" si="73"/>
        <v>3E8</v>
      </c>
      <c r="AO249" s="2"/>
      <c r="AP249" s="2" t="str">
        <f t="shared" si="74"/>
        <v>03E8</v>
      </c>
    </row>
    <row r="250" spans="1:42" x14ac:dyDescent="0.2">
      <c r="A250">
        <v>233</v>
      </c>
      <c r="B250">
        <v>23.2</v>
      </c>
      <c r="C250" s="6">
        <v>0</v>
      </c>
      <c r="D250" s="6">
        <v>0</v>
      </c>
      <c r="E250" s="6">
        <v>0</v>
      </c>
      <c r="F250" s="7">
        <v>0</v>
      </c>
      <c r="G250" s="9">
        <v>100</v>
      </c>
      <c r="H250" s="10">
        <f t="shared" si="68"/>
        <v>0</v>
      </c>
      <c r="I250" s="12">
        <f t="shared" si="59"/>
        <v>639.30209199318563</v>
      </c>
      <c r="J250" s="11">
        <f t="shared" si="60"/>
        <v>21.729553476362859</v>
      </c>
      <c r="K250" s="6">
        <v>0</v>
      </c>
      <c r="L250" s="6">
        <v>1</v>
      </c>
      <c r="M250" s="6">
        <v>1</v>
      </c>
      <c r="N250" s="7">
        <v>0</v>
      </c>
      <c r="O250" s="9">
        <v>100</v>
      </c>
      <c r="P250" s="10">
        <f t="shared" si="69"/>
        <v>6</v>
      </c>
      <c r="Q250" s="12">
        <f t="shared" si="61"/>
        <v>639.30209199318563</v>
      </c>
      <c r="R250" s="11">
        <f t="shared" si="62"/>
        <v>21.729553476362859</v>
      </c>
      <c r="S250" s="6">
        <v>0</v>
      </c>
      <c r="T250" s="6">
        <v>1</v>
      </c>
      <c r="U250" s="6">
        <v>1</v>
      </c>
      <c r="V250" s="7">
        <v>0</v>
      </c>
      <c r="W250" s="9">
        <f t="shared" si="75"/>
        <v>102</v>
      </c>
      <c r="X250" s="10">
        <f t="shared" si="70"/>
        <v>6</v>
      </c>
      <c r="Y250" s="12">
        <f t="shared" si="63"/>
        <v>650.78813383304941</v>
      </c>
      <c r="Z250" s="11">
        <f t="shared" si="64"/>
        <v>22.066058608390119</v>
      </c>
      <c r="AA250" s="6">
        <v>0</v>
      </c>
      <c r="AB250" s="6">
        <v>0</v>
      </c>
      <c r="AC250" s="6">
        <v>0</v>
      </c>
      <c r="AD250" s="7">
        <v>1</v>
      </c>
      <c r="AE250" s="9">
        <f t="shared" si="76"/>
        <v>102</v>
      </c>
      <c r="AF250" s="10">
        <f t="shared" si="71"/>
        <v>8</v>
      </c>
      <c r="AG250" s="12">
        <f t="shared" si="65"/>
        <v>650.78813383304941</v>
      </c>
      <c r="AH250" s="11">
        <f t="shared" si="66"/>
        <v>22.066058608390119</v>
      </c>
      <c r="AJ250" s="6">
        <f t="shared" si="72"/>
        <v>1000</v>
      </c>
      <c r="AK250" s="4">
        <v>233</v>
      </c>
      <c r="AM250" s="2" t="str">
        <f t="shared" si="67"/>
        <v>0</v>
      </c>
      <c r="AN250" s="2" t="str">
        <f t="shared" si="73"/>
        <v>3E8</v>
      </c>
      <c r="AO250" s="2"/>
      <c r="AP250" s="2" t="str">
        <f t="shared" si="74"/>
        <v>03E8</v>
      </c>
    </row>
    <row r="251" spans="1:42" x14ac:dyDescent="0.2">
      <c r="A251">
        <v>234</v>
      </c>
      <c r="B251">
        <v>23.3</v>
      </c>
      <c r="C251" s="6">
        <v>0</v>
      </c>
      <c r="D251" s="6">
        <v>0</v>
      </c>
      <c r="E251" s="6">
        <v>0</v>
      </c>
      <c r="F251" s="7">
        <v>0</v>
      </c>
      <c r="G251" s="9">
        <v>100</v>
      </c>
      <c r="H251" s="10">
        <f t="shared" si="68"/>
        <v>0</v>
      </c>
      <c r="I251" s="12">
        <f t="shared" si="59"/>
        <v>639.30209199318563</v>
      </c>
      <c r="J251" s="11">
        <f t="shared" si="60"/>
        <v>21.729553476362859</v>
      </c>
      <c r="K251" s="6">
        <v>0</v>
      </c>
      <c r="L251" s="6">
        <v>1</v>
      </c>
      <c r="M251" s="6">
        <v>1</v>
      </c>
      <c r="N251" s="7">
        <v>0</v>
      </c>
      <c r="O251" s="9">
        <v>100</v>
      </c>
      <c r="P251" s="10">
        <f t="shared" si="69"/>
        <v>6</v>
      </c>
      <c r="Q251" s="12">
        <f t="shared" si="61"/>
        <v>639.30209199318563</v>
      </c>
      <c r="R251" s="11">
        <f t="shared" si="62"/>
        <v>21.729553476362859</v>
      </c>
      <c r="S251" s="6">
        <v>0</v>
      </c>
      <c r="T251" s="6">
        <v>1</v>
      </c>
      <c r="U251" s="6">
        <v>1</v>
      </c>
      <c r="V251" s="7">
        <v>0</v>
      </c>
      <c r="W251" s="9">
        <f t="shared" si="75"/>
        <v>101</v>
      </c>
      <c r="X251" s="10">
        <f t="shared" si="70"/>
        <v>6</v>
      </c>
      <c r="Y251" s="12">
        <f t="shared" si="63"/>
        <v>645.04511291311758</v>
      </c>
      <c r="Z251" s="11">
        <f t="shared" si="64"/>
        <v>21.897806042376491</v>
      </c>
      <c r="AA251" s="6">
        <v>0</v>
      </c>
      <c r="AB251" s="6">
        <v>0</v>
      </c>
      <c r="AC251" s="6">
        <v>0</v>
      </c>
      <c r="AD251" s="7">
        <v>1</v>
      </c>
      <c r="AE251" s="9">
        <f t="shared" si="76"/>
        <v>101</v>
      </c>
      <c r="AF251" s="10">
        <f t="shared" si="71"/>
        <v>8</v>
      </c>
      <c r="AG251" s="12">
        <f t="shared" si="65"/>
        <v>645.04511291311758</v>
      </c>
      <c r="AH251" s="11">
        <f t="shared" si="66"/>
        <v>21.897806042376491</v>
      </c>
      <c r="AJ251" s="6">
        <f t="shared" si="72"/>
        <v>1000</v>
      </c>
      <c r="AK251" s="4">
        <v>234</v>
      </c>
      <c r="AM251" s="2" t="str">
        <f t="shared" si="67"/>
        <v>0</v>
      </c>
      <c r="AN251" s="2" t="str">
        <f t="shared" si="73"/>
        <v>3E8</v>
      </c>
      <c r="AO251" s="2"/>
      <c r="AP251" s="2" t="str">
        <f t="shared" si="74"/>
        <v>03E8</v>
      </c>
    </row>
    <row r="252" spans="1:42" x14ac:dyDescent="0.2">
      <c r="A252">
        <v>235</v>
      </c>
      <c r="B252">
        <v>23.4</v>
      </c>
      <c r="C252" s="6">
        <v>0</v>
      </c>
      <c r="D252" s="6">
        <v>0</v>
      </c>
      <c r="E252" s="6">
        <v>0</v>
      </c>
      <c r="F252" s="7">
        <v>0</v>
      </c>
      <c r="G252" s="9">
        <v>100</v>
      </c>
      <c r="H252" s="10">
        <f t="shared" si="68"/>
        <v>0</v>
      </c>
      <c r="I252" s="12">
        <f t="shared" si="59"/>
        <v>639.30209199318563</v>
      </c>
      <c r="J252" s="11">
        <f t="shared" si="60"/>
        <v>21.729553476362859</v>
      </c>
      <c r="K252" s="6">
        <v>0</v>
      </c>
      <c r="L252" s="6">
        <v>1</v>
      </c>
      <c r="M252" s="6">
        <v>1</v>
      </c>
      <c r="N252" s="7">
        <v>0</v>
      </c>
      <c r="O252" s="9">
        <v>100</v>
      </c>
      <c r="P252" s="10">
        <f t="shared" si="69"/>
        <v>6</v>
      </c>
      <c r="Q252" s="12">
        <f t="shared" si="61"/>
        <v>639.30209199318563</v>
      </c>
      <c r="R252" s="11">
        <f t="shared" si="62"/>
        <v>21.729553476362859</v>
      </c>
      <c r="S252" s="6">
        <v>0</v>
      </c>
      <c r="T252" s="6">
        <v>1</v>
      </c>
      <c r="U252" s="6">
        <v>1</v>
      </c>
      <c r="V252" s="7">
        <v>0</v>
      </c>
      <c r="W252" s="9">
        <f t="shared" si="75"/>
        <v>100</v>
      </c>
      <c r="X252" s="10">
        <f t="shared" si="70"/>
        <v>6</v>
      </c>
      <c r="Y252" s="12">
        <f t="shared" si="63"/>
        <v>639.30209199318563</v>
      </c>
      <c r="Z252" s="11">
        <f t="shared" si="64"/>
        <v>21.729553476362859</v>
      </c>
      <c r="AA252" s="6">
        <v>0</v>
      </c>
      <c r="AB252" s="6">
        <v>0</v>
      </c>
      <c r="AC252" s="6">
        <v>0</v>
      </c>
      <c r="AD252" s="7">
        <v>1</v>
      </c>
      <c r="AE252" s="9">
        <f t="shared" si="76"/>
        <v>100</v>
      </c>
      <c r="AF252" s="10">
        <f t="shared" si="71"/>
        <v>8</v>
      </c>
      <c r="AG252" s="12">
        <f t="shared" si="65"/>
        <v>639.30209199318563</v>
      </c>
      <c r="AH252" s="11">
        <f t="shared" si="66"/>
        <v>21.729553476362859</v>
      </c>
      <c r="AJ252" s="6">
        <f t="shared" si="72"/>
        <v>1000</v>
      </c>
      <c r="AK252" s="4">
        <v>235</v>
      </c>
      <c r="AM252" s="2" t="str">
        <f t="shared" si="67"/>
        <v>0</v>
      </c>
      <c r="AN252" s="2" t="str">
        <f t="shared" si="73"/>
        <v>3E8</v>
      </c>
      <c r="AO252" s="2"/>
      <c r="AP252" s="2" t="str">
        <f t="shared" si="74"/>
        <v>03E8</v>
      </c>
    </row>
    <row r="253" spans="1:42" x14ac:dyDescent="0.2">
      <c r="A253">
        <v>236</v>
      </c>
      <c r="B253">
        <v>23.5</v>
      </c>
      <c r="C253" s="6">
        <v>0</v>
      </c>
      <c r="D253" s="6">
        <v>0</v>
      </c>
      <c r="E253" s="6">
        <v>0</v>
      </c>
      <c r="F253" s="7">
        <v>0</v>
      </c>
      <c r="G253" s="9">
        <v>100</v>
      </c>
      <c r="H253" s="10">
        <f t="shared" si="68"/>
        <v>0</v>
      </c>
      <c r="I253" s="12">
        <f t="shared" si="59"/>
        <v>639.30209199318563</v>
      </c>
      <c r="J253" s="11">
        <f t="shared" si="60"/>
        <v>21.729553476362859</v>
      </c>
      <c r="K253" s="6">
        <v>0</v>
      </c>
      <c r="L253" s="6">
        <v>1</v>
      </c>
      <c r="M253" s="6">
        <v>1</v>
      </c>
      <c r="N253" s="7">
        <v>0</v>
      </c>
      <c r="O253" s="9">
        <v>100</v>
      </c>
      <c r="P253" s="10">
        <f t="shared" si="69"/>
        <v>6</v>
      </c>
      <c r="Q253" s="12">
        <f t="shared" si="61"/>
        <v>639.30209199318563</v>
      </c>
      <c r="R253" s="11">
        <f t="shared" si="62"/>
        <v>21.729553476362859</v>
      </c>
      <c r="S253" s="6">
        <v>0</v>
      </c>
      <c r="T253" s="6">
        <v>1</v>
      </c>
      <c r="U253" s="6">
        <v>1</v>
      </c>
      <c r="V253" s="7">
        <v>0</v>
      </c>
      <c r="W253" s="9">
        <v>100</v>
      </c>
      <c r="X253" s="10">
        <f t="shared" si="70"/>
        <v>6</v>
      </c>
      <c r="Y253" s="12">
        <f t="shared" si="63"/>
        <v>639.30209199318563</v>
      </c>
      <c r="Z253" s="11">
        <f t="shared" si="64"/>
        <v>21.729553476362859</v>
      </c>
      <c r="AA253" s="6">
        <v>0</v>
      </c>
      <c r="AB253" s="6">
        <v>0</v>
      </c>
      <c r="AC253" s="6">
        <v>0</v>
      </c>
      <c r="AD253" s="7">
        <v>1</v>
      </c>
      <c r="AE253" s="9">
        <v>100</v>
      </c>
      <c r="AF253" s="10">
        <f t="shared" si="71"/>
        <v>8</v>
      </c>
      <c r="AG253" s="12">
        <f t="shared" si="65"/>
        <v>639.30209199318563</v>
      </c>
      <c r="AH253" s="11">
        <f t="shared" si="66"/>
        <v>21.729553476362859</v>
      </c>
      <c r="AJ253" s="6">
        <f t="shared" si="72"/>
        <v>1000</v>
      </c>
      <c r="AK253" s="4">
        <v>236</v>
      </c>
      <c r="AM253" s="2" t="str">
        <f t="shared" si="67"/>
        <v>0</v>
      </c>
      <c r="AN253" s="2" t="str">
        <f t="shared" si="73"/>
        <v>3E8</v>
      </c>
      <c r="AO253" s="2"/>
      <c r="AP253" s="2" t="str">
        <f t="shared" si="74"/>
        <v>03E8</v>
      </c>
    </row>
    <row r="254" spans="1:42" x14ac:dyDescent="0.2">
      <c r="A254">
        <v>237</v>
      </c>
      <c r="B254">
        <v>23.6</v>
      </c>
      <c r="C254" s="6">
        <v>0</v>
      </c>
      <c r="D254" s="6">
        <v>0</v>
      </c>
      <c r="E254" s="6">
        <v>0</v>
      </c>
      <c r="F254" s="7">
        <v>0</v>
      </c>
      <c r="G254" s="9">
        <v>100</v>
      </c>
      <c r="H254" s="10">
        <f t="shared" si="68"/>
        <v>0</v>
      </c>
      <c r="I254" s="12">
        <f t="shared" si="59"/>
        <v>639.30209199318563</v>
      </c>
      <c r="J254" s="11">
        <f t="shared" si="60"/>
        <v>21.729553476362859</v>
      </c>
      <c r="K254" s="6">
        <v>0</v>
      </c>
      <c r="L254" s="6">
        <v>1</v>
      </c>
      <c r="M254" s="6">
        <v>1</v>
      </c>
      <c r="N254" s="7">
        <v>0</v>
      </c>
      <c r="O254" s="9">
        <v>100</v>
      </c>
      <c r="P254" s="10">
        <f t="shared" si="69"/>
        <v>6</v>
      </c>
      <c r="Q254" s="12">
        <f t="shared" si="61"/>
        <v>639.30209199318563</v>
      </c>
      <c r="R254" s="11">
        <f t="shared" si="62"/>
        <v>21.729553476362859</v>
      </c>
      <c r="S254" s="6">
        <v>0</v>
      </c>
      <c r="T254" s="6">
        <v>1</v>
      </c>
      <c r="U254" s="6">
        <v>1</v>
      </c>
      <c r="V254" s="7">
        <v>0</v>
      </c>
      <c r="W254" s="9">
        <v>100</v>
      </c>
      <c r="X254" s="10">
        <f t="shared" si="70"/>
        <v>6</v>
      </c>
      <c r="Y254" s="12">
        <f t="shared" si="63"/>
        <v>639.30209199318563</v>
      </c>
      <c r="Z254" s="11">
        <f t="shared" si="64"/>
        <v>21.729553476362859</v>
      </c>
      <c r="AA254" s="6">
        <v>0</v>
      </c>
      <c r="AB254" s="6">
        <v>0</v>
      </c>
      <c r="AC254" s="6">
        <v>0</v>
      </c>
      <c r="AD254" s="7">
        <v>1</v>
      </c>
      <c r="AE254" s="9">
        <v>100</v>
      </c>
      <c r="AF254" s="10">
        <f t="shared" si="71"/>
        <v>8</v>
      </c>
      <c r="AG254" s="12">
        <f t="shared" si="65"/>
        <v>639.30209199318563</v>
      </c>
      <c r="AH254" s="11">
        <f t="shared" si="66"/>
        <v>21.729553476362859</v>
      </c>
      <c r="AJ254" s="6">
        <f t="shared" si="72"/>
        <v>1000</v>
      </c>
      <c r="AK254" s="4">
        <v>237</v>
      </c>
      <c r="AM254" s="2" t="str">
        <f t="shared" si="67"/>
        <v>0</v>
      </c>
      <c r="AN254" s="2" t="str">
        <f t="shared" si="73"/>
        <v>3E8</v>
      </c>
      <c r="AO254" s="2"/>
      <c r="AP254" s="2" t="str">
        <f t="shared" si="74"/>
        <v>03E8</v>
      </c>
    </row>
    <row r="255" spans="1:42" x14ac:dyDescent="0.2">
      <c r="A255">
        <v>238</v>
      </c>
      <c r="B255">
        <v>23.7</v>
      </c>
      <c r="C255" s="6">
        <v>0</v>
      </c>
      <c r="D255" s="6">
        <v>0</v>
      </c>
      <c r="E255" s="6">
        <v>0</v>
      </c>
      <c r="F255" s="7">
        <v>0</v>
      </c>
      <c r="G255" s="9">
        <v>100</v>
      </c>
      <c r="H255" s="10">
        <f t="shared" si="68"/>
        <v>0</v>
      </c>
      <c r="I255" s="12">
        <f t="shared" si="59"/>
        <v>639.30209199318563</v>
      </c>
      <c r="J255" s="11">
        <f t="shared" si="60"/>
        <v>21.729553476362859</v>
      </c>
      <c r="K255" s="6">
        <v>0</v>
      </c>
      <c r="L255" s="6">
        <v>1</v>
      </c>
      <c r="M255" s="6">
        <v>1</v>
      </c>
      <c r="N255" s="7">
        <v>0</v>
      </c>
      <c r="O255" s="9">
        <v>100</v>
      </c>
      <c r="P255" s="10">
        <f t="shared" si="69"/>
        <v>6</v>
      </c>
      <c r="Q255" s="12">
        <f t="shared" si="61"/>
        <v>639.30209199318563</v>
      </c>
      <c r="R255" s="11">
        <f t="shared" si="62"/>
        <v>21.729553476362859</v>
      </c>
      <c r="S255" s="6">
        <v>0</v>
      </c>
      <c r="T255" s="6">
        <v>1</v>
      </c>
      <c r="U255" s="6">
        <v>1</v>
      </c>
      <c r="V255" s="7">
        <v>0</v>
      </c>
      <c r="W255" s="9">
        <v>100</v>
      </c>
      <c r="X255" s="10">
        <f t="shared" si="70"/>
        <v>6</v>
      </c>
      <c r="Y255" s="12">
        <f t="shared" si="63"/>
        <v>639.30209199318563</v>
      </c>
      <c r="Z255" s="11">
        <f t="shared" si="64"/>
        <v>21.729553476362859</v>
      </c>
      <c r="AA255" s="6">
        <v>0</v>
      </c>
      <c r="AB255" s="6">
        <v>0</v>
      </c>
      <c r="AC255" s="6">
        <v>0</v>
      </c>
      <c r="AD255" s="7">
        <v>1</v>
      </c>
      <c r="AE255" s="9">
        <v>100</v>
      </c>
      <c r="AF255" s="10">
        <f t="shared" si="71"/>
        <v>8</v>
      </c>
      <c r="AG255" s="12">
        <f t="shared" si="65"/>
        <v>639.30209199318563</v>
      </c>
      <c r="AH255" s="11">
        <f t="shared" si="66"/>
        <v>21.729553476362859</v>
      </c>
      <c r="AJ255" s="6">
        <f t="shared" si="72"/>
        <v>1000</v>
      </c>
      <c r="AK255" s="4">
        <v>238</v>
      </c>
      <c r="AM255" s="2" t="str">
        <f t="shared" si="67"/>
        <v>0</v>
      </c>
      <c r="AN255" s="2" t="str">
        <f t="shared" si="73"/>
        <v>3E8</v>
      </c>
      <c r="AO255" s="2"/>
      <c r="AP255" s="2" t="str">
        <f t="shared" si="74"/>
        <v>03E8</v>
      </c>
    </row>
    <row r="256" spans="1:42" x14ac:dyDescent="0.2">
      <c r="A256">
        <v>239</v>
      </c>
      <c r="B256">
        <v>23.8</v>
      </c>
      <c r="C256" s="6">
        <v>0</v>
      </c>
      <c r="D256" s="6">
        <v>0</v>
      </c>
      <c r="E256" s="6">
        <v>0</v>
      </c>
      <c r="F256" s="7">
        <v>0</v>
      </c>
      <c r="G256" s="9">
        <v>100</v>
      </c>
      <c r="H256" s="10">
        <f t="shared" si="68"/>
        <v>0</v>
      </c>
      <c r="I256" s="12">
        <f t="shared" si="59"/>
        <v>639.30209199318563</v>
      </c>
      <c r="J256" s="11">
        <f t="shared" si="60"/>
        <v>21.729553476362859</v>
      </c>
      <c r="K256" s="6">
        <v>0</v>
      </c>
      <c r="L256" s="6">
        <v>1</v>
      </c>
      <c r="M256" s="6">
        <v>1</v>
      </c>
      <c r="N256" s="7">
        <v>0</v>
      </c>
      <c r="O256" s="9">
        <v>100</v>
      </c>
      <c r="P256" s="10">
        <f t="shared" si="69"/>
        <v>6</v>
      </c>
      <c r="Q256" s="12">
        <f t="shared" si="61"/>
        <v>639.30209199318563</v>
      </c>
      <c r="R256" s="11">
        <f t="shared" si="62"/>
        <v>21.729553476362859</v>
      </c>
      <c r="S256" s="6">
        <v>0</v>
      </c>
      <c r="T256" s="6">
        <v>1</v>
      </c>
      <c r="U256" s="6">
        <v>1</v>
      </c>
      <c r="V256" s="7">
        <v>0</v>
      </c>
      <c r="W256" s="9">
        <v>100</v>
      </c>
      <c r="X256" s="10">
        <f t="shared" si="70"/>
        <v>6</v>
      </c>
      <c r="Y256" s="12">
        <f t="shared" si="63"/>
        <v>639.30209199318563</v>
      </c>
      <c r="Z256" s="11">
        <f t="shared" si="64"/>
        <v>21.729553476362859</v>
      </c>
      <c r="AA256" s="6">
        <v>0</v>
      </c>
      <c r="AB256" s="6">
        <v>0</v>
      </c>
      <c r="AC256" s="6">
        <v>0</v>
      </c>
      <c r="AD256" s="7">
        <v>1</v>
      </c>
      <c r="AE256" s="9">
        <v>100</v>
      </c>
      <c r="AF256" s="10">
        <f t="shared" si="71"/>
        <v>8</v>
      </c>
      <c r="AG256" s="12">
        <f t="shared" si="65"/>
        <v>639.30209199318563</v>
      </c>
      <c r="AH256" s="11">
        <f t="shared" si="66"/>
        <v>21.729553476362859</v>
      </c>
      <c r="AJ256" s="6">
        <f t="shared" si="72"/>
        <v>1000</v>
      </c>
      <c r="AK256" s="4">
        <v>239</v>
      </c>
      <c r="AM256" s="2" t="str">
        <f t="shared" si="67"/>
        <v>0</v>
      </c>
      <c r="AN256" s="2" t="str">
        <f t="shared" si="73"/>
        <v>3E8</v>
      </c>
      <c r="AO256" s="2"/>
      <c r="AP256" s="2" t="str">
        <f t="shared" si="74"/>
        <v>03E8</v>
      </c>
    </row>
    <row r="257" spans="1:42" x14ac:dyDescent="0.2">
      <c r="A257">
        <v>240</v>
      </c>
      <c r="B257">
        <v>23.9</v>
      </c>
      <c r="C257" s="6">
        <v>0</v>
      </c>
      <c r="D257" s="6">
        <v>0</v>
      </c>
      <c r="E257" s="6">
        <v>0</v>
      </c>
      <c r="F257" s="7">
        <v>0</v>
      </c>
      <c r="G257" s="9">
        <v>100</v>
      </c>
      <c r="H257" s="10">
        <f t="shared" si="68"/>
        <v>0</v>
      </c>
      <c r="I257" s="12">
        <f t="shared" si="59"/>
        <v>639.30209199318563</v>
      </c>
      <c r="J257" s="11">
        <f t="shared" si="60"/>
        <v>21.729553476362859</v>
      </c>
      <c r="K257" s="6">
        <v>0</v>
      </c>
      <c r="L257" s="6">
        <v>1</v>
      </c>
      <c r="M257" s="6">
        <v>1</v>
      </c>
      <c r="N257" s="7">
        <v>0</v>
      </c>
      <c r="O257" s="9">
        <v>100</v>
      </c>
      <c r="P257" s="10">
        <f t="shared" si="69"/>
        <v>6</v>
      </c>
      <c r="Q257" s="12">
        <f t="shared" si="61"/>
        <v>639.30209199318563</v>
      </c>
      <c r="R257" s="11">
        <f t="shared" si="62"/>
        <v>21.729553476362859</v>
      </c>
      <c r="S257" s="6">
        <v>0</v>
      </c>
      <c r="T257" s="6">
        <v>1</v>
      </c>
      <c r="U257" s="6">
        <v>1</v>
      </c>
      <c r="V257" s="7">
        <v>0</v>
      </c>
      <c r="W257" s="9">
        <v>100</v>
      </c>
      <c r="X257" s="10">
        <f t="shared" si="70"/>
        <v>6</v>
      </c>
      <c r="Y257" s="12">
        <f t="shared" si="63"/>
        <v>639.30209199318563</v>
      </c>
      <c r="Z257" s="11">
        <f t="shared" si="64"/>
        <v>21.729553476362859</v>
      </c>
      <c r="AA257" s="6">
        <v>0</v>
      </c>
      <c r="AB257" s="6">
        <v>0</v>
      </c>
      <c r="AC257" s="6">
        <v>0</v>
      </c>
      <c r="AD257" s="7">
        <v>1</v>
      </c>
      <c r="AE257" s="9">
        <v>100</v>
      </c>
      <c r="AF257" s="10">
        <f t="shared" si="71"/>
        <v>8</v>
      </c>
      <c r="AG257" s="12">
        <f t="shared" si="65"/>
        <v>639.30209199318563</v>
      </c>
      <c r="AH257" s="11">
        <f t="shared" si="66"/>
        <v>21.729553476362859</v>
      </c>
      <c r="AJ257" s="6">
        <f t="shared" si="72"/>
        <v>1000</v>
      </c>
      <c r="AK257" s="4">
        <v>240</v>
      </c>
      <c r="AM257" s="2" t="str">
        <f t="shared" si="67"/>
        <v>0</v>
      </c>
      <c r="AN257" s="2" t="str">
        <f t="shared" si="73"/>
        <v>3E8</v>
      </c>
      <c r="AO257" s="2"/>
      <c r="AP257" s="2" t="str">
        <f t="shared" si="74"/>
        <v>03E8</v>
      </c>
    </row>
    <row r="258" spans="1:42" x14ac:dyDescent="0.2">
      <c r="A258">
        <v>241</v>
      </c>
      <c r="B258">
        <v>24</v>
      </c>
      <c r="C258" s="6">
        <v>0</v>
      </c>
      <c r="D258" s="6">
        <v>0</v>
      </c>
      <c r="E258" s="6">
        <v>0</v>
      </c>
      <c r="F258" s="7">
        <v>0</v>
      </c>
      <c r="G258" s="9">
        <v>100</v>
      </c>
      <c r="H258" s="10">
        <f t="shared" si="68"/>
        <v>0</v>
      </c>
      <c r="I258" s="12">
        <f t="shared" si="59"/>
        <v>639.30209199318563</v>
      </c>
      <c r="J258" s="11">
        <f t="shared" si="60"/>
        <v>21.729553476362859</v>
      </c>
      <c r="K258" s="6">
        <v>0</v>
      </c>
      <c r="L258" s="6">
        <v>1</v>
      </c>
      <c r="M258" s="6">
        <v>1</v>
      </c>
      <c r="N258" s="7">
        <v>0</v>
      </c>
      <c r="O258" s="9">
        <v>100</v>
      </c>
      <c r="P258" s="10">
        <f t="shared" si="69"/>
        <v>6</v>
      </c>
      <c r="Q258" s="12">
        <f t="shared" si="61"/>
        <v>639.30209199318563</v>
      </c>
      <c r="R258" s="11">
        <f t="shared" si="62"/>
        <v>21.729553476362859</v>
      </c>
      <c r="S258" s="6">
        <v>0</v>
      </c>
      <c r="T258" s="6">
        <v>1</v>
      </c>
      <c r="U258" s="6">
        <v>1</v>
      </c>
      <c r="V258" s="7">
        <v>0</v>
      </c>
      <c r="W258" s="9">
        <v>100</v>
      </c>
      <c r="X258" s="10">
        <f t="shared" si="70"/>
        <v>6</v>
      </c>
      <c r="Y258" s="12">
        <f t="shared" si="63"/>
        <v>639.30209199318563</v>
      </c>
      <c r="Z258" s="11">
        <f t="shared" si="64"/>
        <v>21.729553476362859</v>
      </c>
      <c r="AA258" s="6">
        <v>0</v>
      </c>
      <c r="AB258" s="6">
        <v>0</v>
      </c>
      <c r="AC258" s="6">
        <v>0</v>
      </c>
      <c r="AD258" s="7">
        <v>1</v>
      </c>
      <c r="AE258" s="9">
        <v>100</v>
      </c>
      <c r="AF258" s="10">
        <f t="shared" si="71"/>
        <v>8</v>
      </c>
      <c r="AG258" s="12">
        <f t="shared" si="65"/>
        <v>639.30209199318563</v>
      </c>
      <c r="AH258" s="11">
        <f t="shared" si="66"/>
        <v>21.729553476362859</v>
      </c>
      <c r="AJ258" s="6">
        <f t="shared" si="72"/>
        <v>1000</v>
      </c>
      <c r="AK258" s="4">
        <v>241</v>
      </c>
      <c r="AM258" s="2" t="str">
        <f t="shared" si="67"/>
        <v>0</v>
      </c>
      <c r="AN258" s="2" t="str">
        <f t="shared" si="73"/>
        <v>3E8</v>
      </c>
      <c r="AO258" s="2"/>
      <c r="AP258" s="2" t="str">
        <f t="shared" si="74"/>
        <v>03E8</v>
      </c>
    </row>
    <row r="259" spans="1:42" x14ac:dyDescent="0.2">
      <c r="A259">
        <v>242</v>
      </c>
      <c r="B259">
        <v>24.1</v>
      </c>
      <c r="C259" s="6">
        <v>0</v>
      </c>
      <c r="D259" s="6">
        <v>0</v>
      </c>
      <c r="E259" s="6">
        <v>0</v>
      </c>
      <c r="F259" s="7">
        <v>0</v>
      </c>
      <c r="G259" s="9">
        <v>100</v>
      </c>
      <c r="H259" s="10">
        <f t="shared" si="68"/>
        <v>0</v>
      </c>
      <c r="I259" s="12">
        <f t="shared" si="59"/>
        <v>639.30209199318563</v>
      </c>
      <c r="J259" s="11">
        <f t="shared" si="60"/>
        <v>21.729553476362859</v>
      </c>
      <c r="K259" s="6">
        <v>0</v>
      </c>
      <c r="L259" s="6">
        <v>1</v>
      </c>
      <c r="M259" s="6">
        <v>1</v>
      </c>
      <c r="N259" s="7">
        <v>0</v>
      </c>
      <c r="O259" s="9">
        <v>100</v>
      </c>
      <c r="P259" s="10">
        <f t="shared" si="69"/>
        <v>6</v>
      </c>
      <c r="Q259" s="12">
        <f t="shared" si="61"/>
        <v>639.30209199318563</v>
      </c>
      <c r="R259" s="11">
        <f t="shared" si="62"/>
        <v>21.729553476362859</v>
      </c>
      <c r="S259" s="6">
        <v>0</v>
      </c>
      <c r="T259" s="6">
        <v>1</v>
      </c>
      <c r="U259" s="6">
        <v>1</v>
      </c>
      <c r="V259" s="7">
        <v>0</v>
      </c>
      <c r="W259" s="9">
        <v>100</v>
      </c>
      <c r="X259" s="10">
        <f t="shared" si="70"/>
        <v>6</v>
      </c>
      <c r="Y259" s="12">
        <f t="shared" si="63"/>
        <v>639.30209199318563</v>
      </c>
      <c r="Z259" s="11">
        <f t="shared" si="64"/>
        <v>21.729553476362859</v>
      </c>
      <c r="AA259" s="6">
        <v>0</v>
      </c>
      <c r="AB259" s="6">
        <v>0</v>
      </c>
      <c r="AC259" s="6">
        <v>0</v>
      </c>
      <c r="AD259" s="7">
        <v>1</v>
      </c>
      <c r="AE259" s="9">
        <v>100</v>
      </c>
      <c r="AF259" s="10">
        <f t="shared" si="71"/>
        <v>8</v>
      </c>
      <c r="AG259" s="12">
        <f t="shared" si="65"/>
        <v>639.30209199318563</v>
      </c>
      <c r="AH259" s="11">
        <f t="shared" si="66"/>
        <v>21.729553476362859</v>
      </c>
      <c r="AJ259" s="6">
        <f t="shared" si="72"/>
        <v>1000</v>
      </c>
      <c r="AK259" s="4">
        <v>242</v>
      </c>
      <c r="AM259" s="2" t="str">
        <f t="shared" si="67"/>
        <v>0</v>
      </c>
      <c r="AN259" s="2" t="str">
        <f t="shared" si="73"/>
        <v>3E8</v>
      </c>
      <c r="AO259" s="2"/>
      <c r="AP259" s="2" t="str">
        <f t="shared" si="74"/>
        <v>03E8</v>
      </c>
    </row>
    <row r="260" spans="1:42" x14ac:dyDescent="0.2">
      <c r="A260">
        <v>243</v>
      </c>
      <c r="B260">
        <v>24.2</v>
      </c>
      <c r="C260" s="6">
        <v>0</v>
      </c>
      <c r="D260" s="6">
        <v>0</v>
      </c>
      <c r="E260" s="6">
        <v>0</v>
      </c>
      <c r="F260" s="7">
        <v>0</v>
      </c>
      <c r="G260" s="9">
        <v>100</v>
      </c>
      <c r="H260" s="10">
        <f t="shared" si="68"/>
        <v>0</v>
      </c>
      <c r="I260" s="12">
        <f t="shared" si="59"/>
        <v>639.30209199318563</v>
      </c>
      <c r="J260" s="11">
        <f t="shared" si="60"/>
        <v>21.729553476362859</v>
      </c>
      <c r="K260" s="6">
        <v>0</v>
      </c>
      <c r="L260" s="6">
        <v>1</v>
      </c>
      <c r="M260" s="6">
        <v>1</v>
      </c>
      <c r="N260" s="7">
        <v>0</v>
      </c>
      <c r="O260" s="9">
        <v>100</v>
      </c>
      <c r="P260" s="10">
        <f t="shared" si="69"/>
        <v>6</v>
      </c>
      <c r="Q260" s="12">
        <f t="shared" si="61"/>
        <v>639.30209199318563</v>
      </c>
      <c r="R260" s="11">
        <f t="shared" si="62"/>
        <v>21.729553476362859</v>
      </c>
      <c r="S260" s="6">
        <v>0</v>
      </c>
      <c r="T260" s="6">
        <v>1</v>
      </c>
      <c r="U260" s="6">
        <v>1</v>
      </c>
      <c r="V260" s="7">
        <v>0</v>
      </c>
      <c r="W260" s="9">
        <v>100</v>
      </c>
      <c r="X260" s="10">
        <f t="shared" si="70"/>
        <v>6</v>
      </c>
      <c r="Y260" s="12">
        <f t="shared" si="63"/>
        <v>639.30209199318563</v>
      </c>
      <c r="Z260" s="11">
        <f t="shared" si="64"/>
        <v>21.729553476362859</v>
      </c>
      <c r="AA260" s="6">
        <v>0</v>
      </c>
      <c r="AB260" s="6">
        <v>0</v>
      </c>
      <c r="AC260" s="6">
        <v>0</v>
      </c>
      <c r="AD260" s="7">
        <v>1</v>
      </c>
      <c r="AE260" s="9">
        <v>100</v>
      </c>
      <c r="AF260" s="10">
        <f t="shared" si="71"/>
        <v>8</v>
      </c>
      <c r="AG260" s="12">
        <f t="shared" si="65"/>
        <v>639.30209199318563</v>
      </c>
      <c r="AH260" s="11">
        <f t="shared" si="66"/>
        <v>21.729553476362859</v>
      </c>
      <c r="AJ260" s="6">
        <f t="shared" si="72"/>
        <v>1000</v>
      </c>
      <c r="AK260" s="4">
        <v>243</v>
      </c>
      <c r="AM260" s="2" t="str">
        <f t="shared" si="67"/>
        <v>0</v>
      </c>
      <c r="AN260" s="2" t="str">
        <f t="shared" si="73"/>
        <v>3E8</v>
      </c>
      <c r="AO260" s="2"/>
      <c r="AP260" s="2" t="str">
        <f t="shared" si="74"/>
        <v>03E8</v>
      </c>
    </row>
    <row r="261" spans="1:42" x14ac:dyDescent="0.2">
      <c r="A261">
        <v>244</v>
      </c>
      <c r="B261">
        <v>24.3</v>
      </c>
      <c r="C261" s="6">
        <v>0</v>
      </c>
      <c r="D261" s="6">
        <v>0</v>
      </c>
      <c r="E261" s="6">
        <v>0</v>
      </c>
      <c r="F261" s="7">
        <v>0</v>
      </c>
      <c r="G261" s="9">
        <v>100</v>
      </c>
      <c r="H261" s="10">
        <f t="shared" si="68"/>
        <v>0</v>
      </c>
      <c r="I261" s="12">
        <f t="shared" si="59"/>
        <v>639.30209199318563</v>
      </c>
      <c r="J261" s="11">
        <f t="shared" si="60"/>
        <v>21.729553476362859</v>
      </c>
      <c r="K261" s="6">
        <v>0</v>
      </c>
      <c r="L261" s="6">
        <v>1</v>
      </c>
      <c r="M261" s="6">
        <v>1</v>
      </c>
      <c r="N261" s="7">
        <v>0</v>
      </c>
      <c r="O261" s="9">
        <v>100</v>
      </c>
      <c r="P261" s="10">
        <f t="shared" si="69"/>
        <v>6</v>
      </c>
      <c r="Q261" s="12">
        <f t="shared" si="61"/>
        <v>639.30209199318563</v>
      </c>
      <c r="R261" s="11">
        <f t="shared" si="62"/>
        <v>21.729553476362859</v>
      </c>
      <c r="S261" s="6">
        <v>0</v>
      </c>
      <c r="T261" s="6">
        <v>1</v>
      </c>
      <c r="U261" s="6">
        <v>1</v>
      </c>
      <c r="V261" s="7">
        <v>0</v>
      </c>
      <c r="W261" s="9">
        <v>100</v>
      </c>
      <c r="X261" s="10">
        <f t="shared" si="70"/>
        <v>6</v>
      </c>
      <c r="Y261" s="12">
        <f t="shared" si="63"/>
        <v>639.30209199318563</v>
      </c>
      <c r="Z261" s="11">
        <f t="shared" si="64"/>
        <v>21.729553476362859</v>
      </c>
      <c r="AA261" s="6">
        <v>0</v>
      </c>
      <c r="AB261" s="6">
        <v>0</v>
      </c>
      <c r="AC261" s="6">
        <v>0</v>
      </c>
      <c r="AD261" s="7">
        <v>1</v>
      </c>
      <c r="AE261" s="9">
        <v>100</v>
      </c>
      <c r="AF261" s="10">
        <f t="shared" si="71"/>
        <v>8</v>
      </c>
      <c r="AG261" s="12">
        <f t="shared" si="65"/>
        <v>639.30209199318563</v>
      </c>
      <c r="AH261" s="11">
        <f t="shared" si="66"/>
        <v>21.729553476362859</v>
      </c>
      <c r="AJ261" s="6">
        <f t="shared" si="72"/>
        <v>1000</v>
      </c>
      <c r="AK261" s="4">
        <v>244</v>
      </c>
      <c r="AM261" s="2" t="str">
        <f t="shared" si="67"/>
        <v>0</v>
      </c>
      <c r="AN261" s="2" t="str">
        <f t="shared" si="73"/>
        <v>3E8</v>
      </c>
      <c r="AO261" s="2"/>
      <c r="AP261" s="2" t="str">
        <f t="shared" si="74"/>
        <v>03E8</v>
      </c>
    </row>
    <row r="262" spans="1:42" x14ac:dyDescent="0.2">
      <c r="A262">
        <v>245</v>
      </c>
      <c r="B262">
        <v>24.4</v>
      </c>
      <c r="C262" s="6">
        <v>0</v>
      </c>
      <c r="D262" s="6">
        <v>0</v>
      </c>
      <c r="E262" s="6">
        <v>0</v>
      </c>
      <c r="F262" s="7">
        <v>0</v>
      </c>
      <c r="G262" s="9">
        <v>100</v>
      </c>
      <c r="H262" s="10">
        <f t="shared" si="68"/>
        <v>0</v>
      </c>
      <c r="I262" s="12">
        <f t="shared" si="59"/>
        <v>639.30209199318563</v>
      </c>
      <c r="J262" s="11">
        <f t="shared" si="60"/>
        <v>21.729553476362859</v>
      </c>
      <c r="K262" s="6">
        <v>0</v>
      </c>
      <c r="L262" s="6">
        <v>1</v>
      </c>
      <c r="M262" s="6">
        <v>1</v>
      </c>
      <c r="N262" s="7">
        <v>0</v>
      </c>
      <c r="O262" s="9">
        <v>100</v>
      </c>
      <c r="P262" s="10">
        <f t="shared" si="69"/>
        <v>6</v>
      </c>
      <c r="Q262" s="12">
        <f t="shared" si="61"/>
        <v>639.30209199318563</v>
      </c>
      <c r="R262" s="11">
        <f t="shared" si="62"/>
        <v>21.729553476362859</v>
      </c>
      <c r="S262" s="6">
        <v>0</v>
      </c>
      <c r="T262" s="6">
        <v>1</v>
      </c>
      <c r="U262" s="6">
        <v>1</v>
      </c>
      <c r="V262" s="7">
        <v>0</v>
      </c>
      <c r="W262" s="9">
        <v>100</v>
      </c>
      <c r="X262" s="10">
        <f t="shared" si="70"/>
        <v>6</v>
      </c>
      <c r="Y262" s="12">
        <f t="shared" si="63"/>
        <v>639.30209199318563</v>
      </c>
      <c r="Z262" s="11">
        <f t="shared" si="64"/>
        <v>21.729553476362859</v>
      </c>
      <c r="AA262" s="6">
        <v>0</v>
      </c>
      <c r="AB262" s="6">
        <v>0</v>
      </c>
      <c r="AC262" s="6">
        <v>0</v>
      </c>
      <c r="AD262" s="7">
        <v>1</v>
      </c>
      <c r="AE262" s="9">
        <v>100</v>
      </c>
      <c r="AF262" s="10">
        <f t="shared" si="71"/>
        <v>8</v>
      </c>
      <c r="AG262" s="12">
        <f t="shared" si="65"/>
        <v>639.30209199318563</v>
      </c>
      <c r="AH262" s="11">
        <f t="shared" si="66"/>
        <v>21.729553476362859</v>
      </c>
      <c r="AJ262" s="6">
        <f t="shared" si="72"/>
        <v>1000</v>
      </c>
      <c r="AK262" s="4">
        <v>245</v>
      </c>
      <c r="AM262" s="2" t="str">
        <f t="shared" si="67"/>
        <v>0</v>
      </c>
      <c r="AN262" s="2" t="str">
        <f t="shared" si="73"/>
        <v>3E8</v>
      </c>
      <c r="AO262" s="2"/>
      <c r="AP262" s="2" t="str">
        <f t="shared" si="74"/>
        <v>03E8</v>
      </c>
    </row>
    <row r="263" spans="1:42" x14ac:dyDescent="0.2">
      <c r="A263">
        <v>246</v>
      </c>
      <c r="B263">
        <v>24.5</v>
      </c>
      <c r="C263" s="6">
        <v>0</v>
      </c>
      <c r="D263" s="6">
        <v>0</v>
      </c>
      <c r="E263" s="6">
        <v>0</v>
      </c>
      <c r="F263" s="7">
        <v>0</v>
      </c>
      <c r="G263" s="9">
        <v>100</v>
      </c>
      <c r="H263" s="10">
        <f t="shared" si="68"/>
        <v>0</v>
      </c>
      <c r="I263" s="12">
        <f t="shared" si="59"/>
        <v>639.30209199318563</v>
      </c>
      <c r="J263" s="11">
        <f t="shared" si="60"/>
        <v>21.729553476362859</v>
      </c>
      <c r="K263" s="6">
        <v>0</v>
      </c>
      <c r="L263" s="6">
        <v>1</v>
      </c>
      <c r="M263" s="6">
        <v>1</v>
      </c>
      <c r="N263" s="7">
        <v>0</v>
      </c>
      <c r="O263" s="9">
        <v>100</v>
      </c>
      <c r="P263" s="10">
        <f t="shared" si="69"/>
        <v>6</v>
      </c>
      <c r="Q263" s="12">
        <f t="shared" si="61"/>
        <v>639.30209199318563</v>
      </c>
      <c r="R263" s="11">
        <f t="shared" si="62"/>
        <v>21.729553476362859</v>
      </c>
      <c r="S263" s="6">
        <v>0</v>
      </c>
      <c r="T263" s="6">
        <v>1</v>
      </c>
      <c r="U263" s="6">
        <v>1</v>
      </c>
      <c r="V263" s="7">
        <v>0</v>
      </c>
      <c r="W263" s="9">
        <v>100</v>
      </c>
      <c r="X263" s="10">
        <f t="shared" si="70"/>
        <v>6</v>
      </c>
      <c r="Y263" s="12">
        <f t="shared" si="63"/>
        <v>639.30209199318563</v>
      </c>
      <c r="Z263" s="11">
        <f t="shared" si="64"/>
        <v>21.729553476362859</v>
      </c>
      <c r="AA263" s="6">
        <v>0</v>
      </c>
      <c r="AB263" s="6">
        <v>0</v>
      </c>
      <c r="AC263" s="6">
        <v>0</v>
      </c>
      <c r="AD263" s="7">
        <v>1</v>
      </c>
      <c r="AE263" s="9">
        <v>100</v>
      </c>
      <c r="AF263" s="10">
        <f t="shared" si="71"/>
        <v>8</v>
      </c>
      <c r="AG263" s="12">
        <f t="shared" si="65"/>
        <v>639.30209199318563</v>
      </c>
      <c r="AH263" s="11">
        <f t="shared" si="66"/>
        <v>21.729553476362859</v>
      </c>
      <c r="AJ263" s="6">
        <f t="shared" si="72"/>
        <v>1000</v>
      </c>
      <c r="AK263" s="4">
        <v>246</v>
      </c>
      <c r="AM263" s="2" t="str">
        <f t="shared" si="67"/>
        <v>0</v>
      </c>
      <c r="AN263" s="2" t="str">
        <f t="shared" si="73"/>
        <v>3E8</v>
      </c>
      <c r="AO263" s="2"/>
      <c r="AP263" s="2" t="str">
        <f t="shared" si="74"/>
        <v>03E8</v>
      </c>
    </row>
    <row r="264" spans="1:42" x14ac:dyDescent="0.2">
      <c r="A264">
        <v>247</v>
      </c>
      <c r="B264">
        <v>24.6</v>
      </c>
      <c r="C264" s="6">
        <v>0</v>
      </c>
      <c r="D264" s="6">
        <v>0</v>
      </c>
      <c r="E264" s="6">
        <v>0</v>
      </c>
      <c r="F264" s="7">
        <v>0</v>
      </c>
      <c r="G264" s="9">
        <v>100</v>
      </c>
      <c r="H264" s="10">
        <f t="shared" si="68"/>
        <v>0</v>
      </c>
      <c r="I264" s="12">
        <f t="shared" si="59"/>
        <v>639.30209199318563</v>
      </c>
      <c r="J264" s="11">
        <f t="shared" si="60"/>
        <v>21.729553476362859</v>
      </c>
      <c r="K264" s="6">
        <v>0</v>
      </c>
      <c r="L264" s="6">
        <v>1</v>
      </c>
      <c r="M264" s="6">
        <v>1</v>
      </c>
      <c r="N264" s="7">
        <v>0</v>
      </c>
      <c r="O264" s="9">
        <v>100</v>
      </c>
      <c r="P264" s="10">
        <f t="shared" si="69"/>
        <v>6</v>
      </c>
      <c r="Q264" s="12">
        <f t="shared" si="61"/>
        <v>639.30209199318563</v>
      </c>
      <c r="R264" s="11">
        <f t="shared" si="62"/>
        <v>21.729553476362859</v>
      </c>
      <c r="S264" s="6">
        <v>0</v>
      </c>
      <c r="T264" s="6">
        <v>1</v>
      </c>
      <c r="U264" s="6">
        <v>1</v>
      </c>
      <c r="V264" s="7">
        <v>0</v>
      </c>
      <c r="W264" s="9">
        <v>100</v>
      </c>
      <c r="X264" s="10">
        <f t="shared" si="70"/>
        <v>6</v>
      </c>
      <c r="Y264" s="12">
        <f t="shared" si="63"/>
        <v>639.30209199318563</v>
      </c>
      <c r="Z264" s="11">
        <f t="shared" si="64"/>
        <v>21.729553476362859</v>
      </c>
      <c r="AA264" s="6">
        <v>0</v>
      </c>
      <c r="AB264" s="6">
        <v>1</v>
      </c>
      <c r="AC264" s="6">
        <v>1</v>
      </c>
      <c r="AD264" s="7">
        <v>1</v>
      </c>
      <c r="AE264" s="9">
        <v>100</v>
      </c>
      <c r="AF264" s="10">
        <f t="shared" si="71"/>
        <v>14</v>
      </c>
      <c r="AG264" s="12">
        <f t="shared" si="65"/>
        <v>639.30209199318563</v>
      </c>
      <c r="AH264" s="11">
        <f t="shared" si="66"/>
        <v>21.729553476362859</v>
      </c>
      <c r="AJ264" s="6">
        <f t="shared" si="72"/>
        <v>1000</v>
      </c>
      <c r="AK264" s="4">
        <v>247</v>
      </c>
      <c r="AM264" s="2" t="str">
        <f t="shared" si="67"/>
        <v>0</v>
      </c>
      <c r="AN264" s="2" t="str">
        <f t="shared" si="73"/>
        <v>3E8</v>
      </c>
      <c r="AO264" s="2"/>
      <c r="AP264" s="2" t="str">
        <f t="shared" si="74"/>
        <v>03E8</v>
      </c>
    </row>
    <row r="265" spans="1:42" x14ac:dyDescent="0.2">
      <c r="A265">
        <v>248</v>
      </c>
      <c r="B265">
        <v>24.7</v>
      </c>
      <c r="C265" s="6">
        <v>0</v>
      </c>
      <c r="D265" s="6">
        <v>0</v>
      </c>
      <c r="E265" s="6">
        <v>0</v>
      </c>
      <c r="F265" s="7">
        <v>0</v>
      </c>
      <c r="G265" s="9">
        <v>100</v>
      </c>
      <c r="H265" s="10">
        <f t="shared" si="68"/>
        <v>0</v>
      </c>
      <c r="I265" s="12">
        <f t="shared" si="59"/>
        <v>639.30209199318563</v>
      </c>
      <c r="J265" s="11">
        <f t="shared" si="60"/>
        <v>21.729553476362859</v>
      </c>
      <c r="K265" s="6">
        <v>0</v>
      </c>
      <c r="L265" s="6">
        <v>1</v>
      </c>
      <c r="M265" s="6">
        <v>1</v>
      </c>
      <c r="N265" s="7">
        <v>0</v>
      </c>
      <c r="O265" s="9">
        <v>100</v>
      </c>
      <c r="P265" s="10">
        <f t="shared" si="69"/>
        <v>6</v>
      </c>
      <c r="Q265" s="12">
        <f t="shared" si="61"/>
        <v>639.30209199318563</v>
      </c>
      <c r="R265" s="11">
        <f t="shared" si="62"/>
        <v>21.729553476362859</v>
      </c>
      <c r="S265" s="6">
        <v>0</v>
      </c>
      <c r="T265" s="6">
        <v>1</v>
      </c>
      <c r="U265" s="6">
        <v>1</v>
      </c>
      <c r="V265" s="7">
        <v>0</v>
      </c>
      <c r="W265" s="9">
        <v>100</v>
      </c>
      <c r="X265" s="10">
        <f t="shared" si="70"/>
        <v>6</v>
      </c>
      <c r="Y265" s="12">
        <f t="shared" si="63"/>
        <v>639.30209199318563</v>
      </c>
      <c r="Z265" s="11">
        <f t="shared" si="64"/>
        <v>21.729553476362859</v>
      </c>
      <c r="AA265" s="6">
        <v>0</v>
      </c>
      <c r="AB265" s="6">
        <v>1</v>
      </c>
      <c r="AC265" s="6">
        <v>1</v>
      </c>
      <c r="AD265" s="7">
        <v>1</v>
      </c>
      <c r="AE265" s="9">
        <v>100</v>
      </c>
      <c r="AF265" s="10">
        <f t="shared" si="71"/>
        <v>14</v>
      </c>
      <c r="AG265" s="12">
        <f t="shared" si="65"/>
        <v>639.30209199318563</v>
      </c>
      <c r="AH265" s="11">
        <f t="shared" si="66"/>
        <v>21.729553476362859</v>
      </c>
      <c r="AJ265" s="6">
        <f t="shared" si="72"/>
        <v>1000</v>
      </c>
      <c r="AK265" s="4">
        <v>248</v>
      </c>
      <c r="AM265" s="2" t="str">
        <f t="shared" si="67"/>
        <v>0</v>
      </c>
      <c r="AN265" s="2" t="str">
        <f t="shared" si="73"/>
        <v>3E8</v>
      </c>
      <c r="AO265" s="2"/>
      <c r="AP265" s="2" t="str">
        <f t="shared" si="74"/>
        <v>03E8</v>
      </c>
    </row>
    <row r="266" spans="1:42" x14ac:dyDescent="0.2">
      <c r="A266">
        <v>249</v>
      </c>
      <c r="B266">
        <v>24.8</v>
      </c>
      <c r="C266" s="6">
        <v>0</v>
      </c>
      <c r="D266" s="6">
        <v>0</v>
      </c>
      <c r="E266" s="6">
        <v>0</v>
      </c>
      <c r="F266" s="7">
        <v>0</v>
      </c>
      <c r="G266" s="9">
        <v>100</v>
      </c>
      <c r="H266" s="10">
        <f t="shared" si="68"/>
        <v>0</v>
      </c>
      <c r="I266" s="12">
        <f t="shared" si="59"/>
        <v>639.30209199318563</v>
      </c>
      <c r="J266" s="11">
        <f t="shared" si="60"/>
        <v>21.729553476362859</v>
      </c>
      <c r="K266" s="6">
        <v>0</v>
      </c>
      <c r="L266" s="6">
        <v>1</v>
      </c>
      <c r="M266" s="6">
        <v>1</v>
      </c>
      <c r="N266" s="7">
        <v>0</v>
      </c>
      <c r="O266" s="9">
        <v>100</v>
      </c>
      <c r="P266" s="10">
        <f t="shared" si="69"/>
        <v>6</v>
      </c>
      <c r="Q266" s="12">
        <f t="shared" si="61"/>
        <v>639.30209199318563</v>
      </c>
      <c r="R266" s="11">
        <f t="shared" si="62"/>
        <v>21.729553476362859</v>
      </c>
      <c r="S266" s="6">
        <v>0</v>
      </c>
      <c r="T266" s="6">
        <v>1</v>
      </c>
      <c r="U266" s="6">
        <v>1</v>
      </c>
      <c r="V266" s="7">
        <v>0</v>
      </c>
      <c r="W266" s="9">
        <v>100</v>
      </c>
      <c r="X266" s="10">
        <f t="shared" si="70"/>
        <v>6</v>
      </c>
      <c r="Y266" s="12">
        <f t="shared" si="63"/>
        <v>639.30209199318563</v>
      </c>
      <c r="Z266" s="11">
        <f t="shared" si="64"/>
        <v>21.729553476362859</v>
      </c>
      <c r="AA266" s="6">
        <v>0</v>
      </c>
      <c r="AB266" s="6">
        <v>1</v>
      </c>
      <c r="AC266" s="6">
        <v>1</v>
      </c>
      <c r="AD266" s="7">
        <v>1</v>
      </c>
      <c r="AE266" s="9">
        <v>100</v>
      </c>
      <c r="AF266" s="10">
        <f t="shared" si="71"/>
        <v>14</v>
      </c>
      <c r="AG266" s="12">
        <f t="shared" si="65"/>
        <v>639.30209199318563</v>
      </c>
      <c r="AH266" s="11">
        <f t="shared" si="66"/>
        <v>21.729553476362859</v>
      </c>
      <c r="AJ266" s="6">
        <f t="shared" si="72"/>
        <v>1000</v>
      </c>
      <c r="AK266" s="4">
        <v>249</v>
      </c>
      <c r="AM266" s="2" t="str">
        <f t="shared" si="67"/>
        <v>0</v>
      </c>
      <c r="AN266" s="2" t="str">
        <f t="shared" si="73"/>
        <v>3E8</v>
      </c>
      <c r="AO266" s="2"/>
      <c r="AP266" s="2" t="str">
        <f t="shared" si="74"/>
        <v>03E8</v>
      </c>
    </row>
    <row r="267" spans="1:42" x14ac:dyDescent="0.2">
      <c r="A267">
        <v>250</v>
      </c>
      <c r="B267">
        <v>24.9</v>
      </c>
      <c r="C267" s="6">
        <v>0</v>
      </c>
      <c r="D267" s="6">
        <v>0</v>
      </c>
      <c r="E267" s="6">
        <v>0</v>
      </c>
      <c r="F267" s="7">
        <v>0</v>
      </c>
      <c r="G267" s="9">
        <v>100</v>
      </c>
      <c r="H267" s="10">
        <f t="shared" si="68"/>
        <v>0</v>
      </c>
      <c r="I267" s="12">
        <f t="shared" si="59"/>
        <v>639.30209199318563</v>
      </c>
      <c r="J267" s="11">
        <f t="shared" si="60"/>
        <v>21.729553476362859</v>
      </c>
      <c r="K267" s="6">
        <v>0</v>
      </c>
      <c r="L267" s="6">
        <v>1</v>
      </c>
      <c r="M267" s="6">
        <v>1</v>
      </c>
      <c r="N267" s="7">
        <v>0</v>
      </c>
      <c r="O267" s="9">
        <v>100</v>
      </c>
      <c r="P267" s="10">
        <f t="shared" si="69"/>
        <v>6</v>
      </c>
      <c r="Q267" s="12">
        <f t="shared" si="61"/>
        <v>639.30209199318563</v>
      </c>
      <c r="R267" s="11">
        <f t="shared" si="62"/>
        <v>21.729553476362859</v>
      </c>
      <c r="S267" s="6">
        <v>0</v>
      </c>
      <c r="T267" s="6">
        <v>1</v>
      </c>
      <c r="U267" s="6">
        <v>1</v>
      </c>
      <c r="V267" s="7">
        <v>0</v>
      </c>
      <c r="W267" s="9">
        <v>100</v>
      </c>
      <c r="X267" s="10">
        <f t="shared" si="70"/>
        <v>6</v>
      </c>
      <c r="Y267" s="12">
        <f t="shared" si="63"/>
        <v>639.30209199318563</v>
      </c>
      <c r="Z267" s="11">
        <f t="shared" si="64"/>
        <v>21.729553476362859</v>
      </c>
      <c r="AA267" s="6">
        <v>0</v>
      </c>
      <c r="AB267" s="6">
        <v>1</v>
      </c>
      <c r="AC267" s="6">
        <v>1</v>
      </c>
      <c r="AD267" s="7">
        <v>1</v>
      </c>
      <c r="AE267" s="9">
        <f>AE266-5</f>
        <v>95</v>
      </c>
      <c r="AF267" s="10">
        <f t="shared" si="71"/>
        <v>14</v>
      </c>
      <c r="AG267" s="12">
        <f t="shared" si="65"/>
        <v>610.58698739352633</v>
      </c>
      <c r="AH267" s="11">
        <f t="shared" si="66"/>
        <v>20.888290646294717</v>
      </c>
      <c r="AJ267" s="6">
        <f t="shared" si="72"/>
        <v>1000</v>
      </c>
      <c r="AK267" s="4">
        <v>250</v>
      </c>
      <c r="AM267" s="2" t="str">
        <f t="shared" si="67"/>
        <v>0</v>
      </c>
      <c r="AN267" s="2" t="str">
        <f t="shared" si="73"/>
        <v>3E8</v>
      </c>
      <c r="AO267" s="2"/>
      <c r="AP267" s="2" t="str">
        <f t="shared" si="74"/>
        <v>03E8</v>
      </c>
    </row>
    <row r="268" spans="1:42" x14ac:dyDescent="0.2">
      <c r="A268">
        <v>251</v>
      </c>
      <c r="B268">
        <v>25</v>
      </c>
      <c r="C268" s="6">
        <v>0</v>
      </c>
      <c r="D268" s="6">
        <v>0</v>
      </c>
      <c r="E268" s="6">
        <v>0</v>
      </c>
      <c r="F268" s="7">
        <v>0</v>
      </c>
      <c r="G268" s="9">
        <v>100</v>
      </c>
      <c r="H268" s="10">
        <f t="shared" si="68"/>
        <v>0</v>
      </c>
      <c r="I268" s="12">
        <f t="shared" si="59"/>
        <v>639.30209199318563</v>
      </c>
      <c r="J268" s="11">
        <f t="shared" si="60"/>
        <v>21.729553476362859</v>
      </c>
      <c r="K268" s="6">
        <v>0</v>
      </c>
      <c r="L268" s="6">
        <v>1</v>
      </c>
      <c r="M268" s="6">
        <v>1</v>
      </c>
      <c r="N268" s="7">
        <v>0</v>
      </c>
      <c r="O268" s="9">
        <v>100</v>
      </c>
      <c r="P268" s="10">
        <f t="shared" si="69"/>
        <v>6</v>
      </c>
      <c r="Q268" s="12">
        <f t="shared" si="61"/>
        <v>639.30209199318563</v>
      </c>
      <c r="R268" s="11">
        <f t="shared" si="62"/>
        <v>21.729553476362859</v>
      </c>
      <c r="S268" s="6">
        <v>0</v>
      </c>
      <c r="T268" s="6">
        <v>1</v>
      </c>
      <c r="U268" s="6">
        <v>1</v>
      </c>
      <c r="V268" s="7">
        <v>0</v>
      </c>
      <c r="W268" s="9">
        <v>100</v>
      </c>
      <c r="X268" s="10">
        <f t="shared" si="70"/>
        <v>6</v>
      </c>
      <c r="Y268" s="12">
        <f t="shared" si="63"/>
        <v>639.30209199318563</v>
      </c>
      <c r="Z268" s="11">
        <f t="shared" si="64"/>
        <v>21.729553476362859</v>
      </c>
      <c r="AA268" s="6">
        <v>0</v>
      </c>
      <c r="AB268" s="6">
        <v>1</v>
      </c>
      <c r="AC268" s="6">
        <v>1</v>
      </c>
      <c r="AD268" s="7">
        <v>1</v>
      </c>
      <c r="AE268" s="9">
        <f t="shared" ref="AE268:AE286" si="77">AE267-5</f>
        <v>90</v>
      </c>
      <c r="AF268" s="10">
        <f t="shared" si="71"/>
        <v>14</v>
      </c>
      <c r="AG268" s="12">
        <f t="shared" si="65"/>
        <v>581.87188279386714</v>
      </c>
      <c r="AH268" s="11">
        <f t="shared" si="66"/>
        <v>20.047027816226578</v>
      </c>
      <c r="AJ268" s="6">
        <f t="shared" si="72"/>
        <v>1000</v>
      </c>
      <c r="AK268" s="4">
        <v>251</v>
      </c>
      <c r="AM268" s="2" t="str">
        <f t="shared" si="67"/>
        <v>0</v>
      </c>
      <c r="AN268" s="2" t="str">
        <f t="shared" si="73"/>
        <v>3E8</v>
      </c>
      <c r="AO268" s="2"/>
      <c r="AP268" s="2" t="str">
        <f t="shared" si="74"/>
        <v>03E8</v>
      </c>
    </row>
    <row r="269" spans="1:42" x14ac:dyDescent="0.2">
      <c r="A269">
        <v>252</v>
      </c>
      <c r="B269">
        <v>25.1</v>
      </c>
      <c r="C269" s="6">
        <v>0</v>
      </c>
      <c r="D269" s="6">
        <v>0</v>
      </c>
      <c r="E269" s="6">
        <v>0</v>
      </c>
      <c r="F269" s="7">
        <v>0</v>
      </c>
      <c r="G269" s="9">
        <v>100</v>
      </c>
      <c r="H269" s="10">
        <f t="shared" si="68"/>
        <v>0</v>
      </c>
      <c r="I269" s="12">
        <f t="shared" si="59"/>
        <v>639.30209199318563</v>
      </c>
      <c r="J269" s="11">
        <f t="shared" si="60"/>
        <v>21.729553476362859</v>
      </c>
      <c r="K269" s="6">
        <v>0</v>
      </c>
      <c r="L269" s="6">
        <v>1</v>
      </c>
      <c r="M269" s="6">
        <v>1</v>
      </c>
      <c r="N269" s="7">
        <v>0</v>
      </c>
      <c r="O269" s="9">
        <v>100</v>
      </c>
      <c r="P269" s="10">
        <f t="shared" si="69"/>
        <v>6</v>
      </c>
      <c r="Q269" s="12">
        <f t="shared" si="61"/>
        <v>639.30209199318563</v>
      </c>
      <c r="R269" s="11">
        <f t="shared" si="62"/>
        <v>21.729553476362859</v>
      </c>
      <c r="S269" s="6">
        <v>0</v>
      </c>
      <c r="T269" s="6">
        <v>1</v>
      </c>
      <c r="U269" s="6">
        <v>1</v>
      </c>
      <c r="V269" s="7">
        <v>0</v>
      </c>
      <c r="W269" s="9">
        <v>100</v>
      </c>
      <c r="X269" s="10">
        <f t="shared" si="70"/>
        <v>6</v>
      </c>
      <c r="Y269" s="12">
        <f t="shared" si="63"/>
        <v>639.30209199318563</v>
      </c>
      <c r="Z269" s="11">
        <f t="shared" si="64"/>
        <v>21.729553476362859</v>
      </c>
      <c r="AA269" s="6">
        <v>0</v>
      </c>
      <c r="AB269" s="6">
        <v>1</v>
      </c>
      <c r="AC269" s="6">
        <v>1</v>
      </c>
      <c r="AD269" s="7">
        <v>1</v>
      </c>
      <c r="AE269" s="9">
        <f t="shared" si="77"/>
        <v>85</v>
      </c>
      <c r="AF269" s="10">
        <f t="shared" si="71"/>
        <v>14</v>
      </c>
      <c r="AG269" s="12">
        <f t="shared" si="65"/>
        <v>553.15677819420785</v>
      </c>
      <c r="AH269" s="11">
        <f t="shared" si="66"/>
        <v>19.205764986158432</v>
      </c>
      <c r="AJ269" s="6">
        <f t="shared" si="72"/>
        <v>1000</v>
      </c>
      <c r="AK269" s="4">
        <v>252</v>
      </c>
      <c r="AM269" s="2" t="str">
        <f t="shared" si="67"/>
        <v>0</v>
      </c>
      <c r="AN269" s="2" t="str">
        <f t="shared" si="73"/>
        <v>3E8</v>
      </c>
      <c r="AO269" s="2"/>
      <c r="AP269" s="2" t="str">
        <f t="shared" si="74"/>
        <v>03E8</v>
      </c>
    </row>
    <row r="270" spans="1:42" x14ac:dyDescent="0.2">
      <c r="A270">
        <v>253</v>
      </c>
      <c r="B270">
        <v>25.2</v>
      </c>
      <c r="C270" s="6">
        <v>0</v>
      </c>
      <c r="D270" s="6">
        <v>0</v>
      </c>
      <c r="E270" s="6">
        <v>0</v>
      </c>
      <c r="F270" s="7">
        <v>0</v>
      </c>
      <c r="G270" s="9">
        <v>100</v>
      </c>
      <c r="H270" s="10">
        <f t="shared" si="68"/>
        <v>0</v>
      </c>
      <c r="I270" s="12">
        <f t="shared" si="59"/>
        <v>639.30209199318563</v>
      </c>
      <c r="J270" s="11">
        <f t="shared" si="60"/>
        <v>21.729553476362859</v>
      </c>
      <c r="K270" s="6">
        <v>0</v>
      </c>
      <c r="L270" s="6">
        <v>1</v>
      </c>
      <c r="M270" s="6">
        <v>1</v>
      </c>
      <c r="N270" s="7">
        <v>0</v>
      </c>
      <c r="O270" s="9">
        <v>100</v>
      </c>
      <c r="P270" s="10">
        <f t="shared" si="69"/>
        <v>6</v>
      </c>
      <c r="Q270" s="12">
        <f t="shared" si="61"/>
        <v>639.30209199318563</v>
      </c>
      <c r="R270" s="11">
        <f t="shared" si="62"/>
        <v>21.729553476362859</v>
      </c>
      <c r="S270" s="6">
        <v>0</v>
      </c>
      <c r="T270" s="6">
        <v>1</v>
      </c>
      <c r="U270" s="6">
        <v>1</v>
      </c>
      <c r="V270" s="7">
        <v>0</v>
      </c>
      <c r="W270" s="9">
        <v>100</v>
      </c>
      <c r="X270" s="10">
        <f t="shared" si="70"/>
        <v>6</v>
      </c>
      <c r="Y270" s="12">
        <f t="shared" si="63"/>
        <v>639.30209199318563</v>
      </c>
      <c r="Z270" s="11">
        <f t="shared" si="64"/>
        <v>21.729553476362859</v>
      </c>
      <c r="AA270" s="6">
        <v>0</v>
      </c>
      <c r="AB270" s="6">
        <v>1</v>
      </c>
      <c r="AC270" s="6">
        <v>1</v>
      </c>
      <c r="AD270" s="7">
        <v>1</v>
      </c>
      <c r="AE270" s="9">
        <f t="shared" si="77"/>
        <v>80</v>
      </c>
      <c r="AF270" s="10">
        <f t="shared" si="71"/>
        <v>14</v>
      </c>
      <c r="AG270" s="12">
        <f t="shared" si="65"/>
        <v>524.44167359454855</v>
      </c>
      <c r="AH270" s="11">
        <f t="shared" si="66"/>
        <v>18.364502156090289</v>
      </c>
      <c r="AJ270" s="6">
        <f t="shared" si="72"/>
        <v>1000</v>
      </c>
      <c r="AK270" s="4">
        <v>253</v>
      </c>
      <c r="AM270" s="2" t="str">
        <f t="shared" si="67"/>
        <v>0</v>
      </c>
      <c r="AN270" s="2" t="str">
        <f t="shared" si="73"/>
        <v>3E8</v>
      </c>
      <c r="AO270" s="2"/>
      <c r="AP270" s="2" t="str">
        <f t="shared" si="74"/>
        <v>03E8</v>
      </c>
    </row>
    <row r="271" spans="1:42" x14ac:dyDescent="0.2">
      <c r="A271">
        <v>254</v>
      </c>
      <c r="B271">
        <v>25.3</v>
      </c>
      <c r="C271" s="6">
        <v>0</v>
      </c>
      <c r="D271" s="6">
        <v>0</v>
      </c>
      <c r="E271" s="6">
        <v>0</v>
      </c>
      <c r="F271" s="7">
        <v>0</v>
      </c>
      <c r="G271" s="9">
        <v>100</v>
      </c>
      <c r="H271" s="10">
        <f t="shared" si="68"/>
        <v>0</v>
      </c>
      <c r="I271" s="12">
        <f t="shared" si="59"/>
        <v>639.30209199318563</v>
      </c>
      <c r="J271" s="11">
        <f t="shared" si="60"/>
        <v>21.729553476362859</v>
      </c>
      <c r="K271" s="6">
        <v>0</v>
      </c>
      <c r="L271" s="6">
        <v>1</v>
      </c>
      <c r="M271" s="6">
        <v>1</v>
      </c>
      <c r="N271" s="7">
        <v>0</v>
      </c>
      <c r="O271" s="9">
        <v>100</v>
      </c>
      <c r="P271" s="10">
        <f t="shared" si="69"/>
        <v>6</v>
      </c>
      <c r="Q271" s="12">
        <f t="shared" si="61"/>
        <v>639.30209199318563</v>
      </c>
      <c r="R271" s="11">
        <f t="shared" si="62"/>
        <v>21.729553476362859</v>
      </c>
      <c r="S271" s="6">
        <v>0</v>
      </c>
      <c r="T271" s="6">
        <v>1</v>
      </c>
      <c r="U271" s="6">
        <v>1</v>
      </c>
      <c r="V271" s="7">
        <v>0</v>
      </c>
      <c r="W271" s="9">
        <v>100</v>
      </c>
      <c r="X271" s="10">
        <f t="shared" si="70"/>
        <v>6</v>
      </c>
      <c r="Y271" s="12">
        <f t="shared" si="63"/>
        <v>639.30209199318563</v>
      </c>
      <c r="Z271" s="11">
        <f t="shared" si="64"/>
        <v>21.729553476362859</v>
      </c>
      <c r="AA271" s="6">
        <v>0</v>
      </c>
      <c r="AB271" s="6">
        <v>1</v>
      </c>
      <c r="AC271" s="6">
        <v>1</v>
      </c>
      <c r="AD271" s="7">
        <v>1</v>
      </c>
      <c r="AE271" s="9">
        <f t="shared" si="77"/>
        <v>75</v>
      </c>
      <c r="AF271" s="10">
        <f t="shared" si="71"/>
        <v>14</v>
      </c>
      <c r="AG271" s="12">
        <f t="shared" si="65"/>
        <v>495.72656899488925</v>
      </c>
      <c r="AH271" s="11">
        <f t="shared" si="66"/>
        <v>17.523239326022143</v>
      </c>
      <c r="AJ271" s="6">
        <f t="shared" si="72"/>
        <v>1000</v>
      </c>
      <c r="AK271" s="4">
        <v>254</v>
      </c>
      <c r="AM271" s="2" t="str">
        <f t="shared" si="67"/>
        <v>0</v>
      </c>
      <c r="AN271" s="2" t="str">
        <f t="shared" si="73"/>
        <v>3E8</v>
      </c>
      <c r="AO271" s="2"/>
      <c r="AP271" s="2" t="str">
        <f t="shared" si="74"/>
        <v>03E8</v>
      </c>
    </row>
    <row r="272" spans="1:42" x14ac:dyDescent="0.2">
      <c r="A272">
        <v>255</v>
      </c>
      <c r="B272">
        <v>25.4</v>
      </c>
      <c r="C272" s="6">
        <v>0</v>
      </c>
      <c r="D272" s="6">
        <v>0</v>
      </c>
      <c r="E272" s="6">
        <v>0</v>
      </c>
      <c r="F272" s="7">
        <v>0</v>
      </c>
      <c r="G272" s="9">
        <v>100</v>
      </c>
      <c r="H272" s="10">
        <f t="shared" si="68"/>
        <v>0</v>
      </c>
      <c r="I272" s="12">
        <f t="shared" si="59"/>
        <v>639.30209199318563</v>
      </c>
      <c r="J272" s="11">
        <f t="shared" si="60"/>
        <v>21.729553476362859</v>
      </c>
      <c r="K272" s="6">
        <v>0</v>
      </c>
      <c r="L272" s="6">
        <v>1</v>
      </c>
      <c r="M272" s="6">
        <v>1</v>
      </c>
      <c r="N272" s="7">
        <v>0</v>
      </c>
      <c r="O272" s="9">
        <v>100</v>
      </c>
      <c r="P272" s="10">
        <f t="shared" si="69"/>
        <v>6</v>
      </c>
      <c r="Q272" s="12">
        <f t="shared" si="61"/>
        <v>639.30209199318563</v>
      </c>
      <c r="R272" s="11">
        <f t="shared" si="62"/>
        <v>21.729553476362859</v>
      </c>
      <c r="S272" s="6">
        <v>0</v>
      </c>
      <c r="T272" s="6">
        <v>1</v>
      </c>
      <c r="U272" s="6">
        <v>1</v>
      </c>
      <c r="V272" s="7">
        <v>0</v>
      </c>
      <c r="W272" s="9">
        <v>100</v>
      </c>
      <c r="X272" s="10">
        <f t="shared" si="70"/>
        <v>6</v>
      </c>
      <c r="Y272" s="12">
        <f t="shared" si="63"/>
        <v>639.30209199318563</v>
      </c>
      <c r="Z272" s="11">
        <f t="shared" si="64"/>
        <v>21.729553476362859</v>
      </c>
      <c r="AA272" s="6">
        <v>0</v>
      </c>
      <c r="AB272" s="6">
        <v>1</v>
      </c>
      <c r="AC272" s="6">
        <v>1</v>
      </c>
      <c r="AD272" s="7">
        <v>1</v>
      </c>
      <c r="AE272" s="9">
        <f t="shared" si="77"/>
        <v>70</v>
      </c>
      <c r="AF272" s="10">
        <f t="shared" si="71"/>
        <v>14</v>
      </c>
      <c r="AG272" s="12">
        <f t="shared" si="65"/>
        <v>467.01146439522995</v>
      </c>
      <c r="AH272" s="11">
        <f t="shared" si="66"/>
        <v>16.681976495954004</v>
      </c>
      <c r="AJ272" s="6">
        <f t="shared" si="72"/>
        <v>1000</v>
      </c>
      <c r="AK272" s="4">
        <v>255</v>
      </c>
      <c r="AM272" s="2" t="str">
        <f t="shared" si="67"/>
        <v>0</v>
      </c>
      <c r="AN272" s="2" t="str">
        <f t="shared" si="73"/>
        <v>3E8</v>
      </c>
      <c r="AO272" s="2"/>
      <c r="AP272" s="2" t="str">
        <f t="shared" si="74"/>
        <v>03E8</v>
      </c>
    </row>
    <row r="273" spans="1:42" x14ac:dyDescent="0.2">
      <c r="A273">
        <v>256</v>
      </c>
      <c r="B273">
        <v>25.5</v>
      </c>
      <c r="C273" s="6">
        <v>0</v>
      </c>
      <c r="D273" s="6">
        <v>0</v>
      </c>
      <c r="E273" s="6">
        <v>0</v>
      </c>
      <c r="F273" s="7">
        <v>0</v>
      </c>
      <c r="G273" s="9">
        <v>100</v>
      </c>
      <c r="H273" s="10">
        <f t="shared" si="68"/>
        <v>0</v>
      </c>
      <c r="I273" s="12">
        <f t="shared" si="59"/>
        <v>639.30209199318563</v>
      </c>
      <c r="J273" s="11">
        <f t="shared" si="60"/>
        <v>21.729553476362859</v>
      </c>
      <c r="K273" s="6">
        <v>0</v>
      </c>
      <c r="L273" s="6">
        <v>1</v>
      </c>
      <c r="M273" s="6">
        <v>1</v>
      </c>
      <c r="N273" s="7">
        <v>0</v>
      </c>
      <c r="O273" s="9">
        <v>100</v>
      </c>
      <c r="P273" s="10">
        <f t="shared" si="69"/>
        <v>6</v>
      </c>
      <c r="Q273" s="12">
        <f t="shared" si="61"/>
        <v>639.30209199318563</v>
      </c>
      <c r="R273" s="11">
        <f t="shared" si="62"/>
        <v>21.729553476362859</v>
      </c>
      <c r="S273" s="6">
        <v>0</v>
      </c>
      <c r="T273" s="6">
        <v>1</v>
      </c>
      <c r="U273" s="6">
        <v>1</v>
      </c>
      <c r="V273" s="7">
        <v>0</v>
      </c>
      <c r="W273" s="9">
        <v>100</v>
      </c>
      <c r="X273" s="10">
        <f t="shared" si="70"/>
        <v>6</v>
      </c>
      <c r="Y273" s="12">
        <f t="shared" si="63"/>
        <v>639.30209199318563</v>
      </c>
      <c r="Z273" s="11">
        <f t="shared" si="64"/>
        <v>21.729553476362859</v>
      </c>
      <c r="AA273" s="6">
        <v>0</v>
      </c>
      <c r="AB273" s="6">
        <v>1</v>
      </c>
      <c r="AC273" s="6">
        <v>1</v>
      </c>
      <c r="AD273" s="7">
        <v>1</v>
      </c>
      <c r="AE273" s="9">
        <f t="shared" si="77"/>
        <v>65</v>
      </c>
      <c r="AF273" s="10">
        <f t="shared" si="71"/>
        <v>14</v>
      </c>
      <c r="AG273" s="12">
        <f t="shared" si="65"/>
        <v>438.29635979557071</v>
      </c>
      <c r="AH273" s="11">
        <f t="shared" si="66"/>
        <v>15.840713665885861</v>
      </c>
      <c r="AJ273" s="6">
        <f t="shared" si="72"/>
        <v>1000</v>
      </c>
      <c r="AK273" s="4">
        <v>256</v>
      </c>
      <c r="AM273" s="2" t="str">
        <f t="shared" si="67"/>
        <v>0</v>
      </c>
      <c r="AN273" s="2" t="str">
        <f t="shared" si="73"/>
        <v>3E8</v>
      </c>
      <c r="AO273" s="2"/>
      <c r="AP273" s="2" t="str">
        <f t="shared" si="74"/>
        <v>03E8</v>
      </c>
    </row>
    <row r="274" spans="1:42" x14ac:dyDescent="0.2">
      <c r="A274">
        <v>257</v>
      </c>
      <c r="B274">
        <v>25.6</v>
      </c>
      <c r="C274" s="6">
        <v>0</v>
      </c>
      <c r="D274" s="6">
        <v>0</v>
      </c>
      <c r="E274" s="6">
        <v>0</v>
      </c>
      <c r="F274" s="7">
        <v>0</v>
      </c>
      <c r="G274" s="9">
        <v>100</v>
      </c>
      <c r="H274" s="10">
        <f t="shared" si="68"/>
        <v>0</v>
      </c>
      <c r="I274" s="12">
        <f t="shared" ref="I274:I337" si="78">PH_FIRE_VOLTAGE_OFFSET + 1023*(G274/100*G$16*$I$7+$I$6)*$S$10/(PH_FIRE_VOLTAGE_AMPLITUDE*0.01)</f>
        <v>639.30209199318563</v>
      </c>
      <c r="J274" s="11">
        <f t="shared" ref="J274:J337" si="79">I274/(DAC_LIMIT_MAX-DAC_LIMIT_MIN+1)*GAIN_PREAMP*GAIN_POWERAMP+OFFSET_AMP</f>
        <v>21.729553476362859</v>
      </c>
      <c r="K274" s="6">
        <v>0</v>
      </c>
      <c r="L274" s="6">
        <v>1</v>
      </c>
      <c r="M274" s="6">
        <v>1</v>
      </c>
      <c r="N274" s="7">
        <v>0</v>
      </c>
      <c r="O274" s="9">
        <v>100</v>
      </c>
      <c r="P274" s="10">
        <f t="shared" si="69"/>
        <v>6</v>
      </c>
      <c r="Q274" s="12">
        <f t="shared" ref="Q274:Q337" si="80">PH_FIRE_VOLTAGE_OFFSET + 1023*(O274/100*O$16*$I$7+$I$6)*$S$10/(PH_FIRE_VOLTAGE_AMPLITUDE*0.01)</f>
        <v>639.30209199318563</v>
      </c>
      <c r="R274" s="11">
        <f t="shared" ref="R274:R337" si="81">Q274/(DAC_LIMIT_MAX-DAC_LIMIT_MIN+1)*GAIN_PREAMP*GAIN_POWERAMP+OFFSET_AMP</f>
        <v>21.729553476362859</v>
      </c>
      <c r="S274" s="6">
        <v>0</v>
      </c>
      <c r="T274" s="6">
        <v>1</v>
      </c>
      <c r="U274" s="6">
        <v>1</v>
      </c>
      <c r="V274" s="7">
        <v>0</v>
      </c>
      <c r="W274" s="9">
        <v>100</v>
      </c>
      <c r="X274" s="10">
        <f t="shared" si="70"/>
        <v>6</v>
      </c>
      <c r="Y274" s="12">
        <f t="shared" ref="Y274:Y337" si="82">PH_FIRE_VOLTAGE_OFFSET + 1023*(W274/100*W$16*$I$7+$I$6)*$S$10/(PH_FIRE_VOLTAGE_AMPLITUDE*0.01)</f>
        <v>639.30209199318563</v>
      </c>
      <c r="Z274" s="11">
        <f t="shared" ref="Z274:Z337" si="83">Y274/(DAC_LIMIT_MAX-DAC_LIMIT_MIN+1)*GAIN_PREAMP*GAIN_POWERAMP+OFFSET_AMP</f>
        <v>21.729553476362859</v>
      </c>
      <c r="AA274" s="6">
        <v>0</v>
      </c>
      <c r="AB274" s="6">
        <v>1</v>
      </c>
      <c r="AC274" s="6">
        <v>1</v>
      </c>
      <c r="AD274" s="7">
        <v>1</v>
      </c>
      <c r="AE274" s="9">
        <f t="shared" si="77"/>
        <v>60</v>
      </c>
      <c r="AF274" s="10">
        <f t="shared" si="71"/>
        <v>14</v>
      </c>
      <c r="AG274" s="12">
        <f t="shared" ref="AG274:AG337" si="84">PH_FIRE_VOLTAGE_OFFSET + 1023*(AE274/100*AE$16*$I$7+$I$6)*$S$10/(PH_FIRE_VOLTAGE_AMPLITUDE*0.01)</f>
        <v>409.58125519591135</v>
      </c>
      <c r="AH274" s="11">
        <f t="shared" ref="AH274:AH337" si="85">AG274/(DAC_LIMIT_MAX-DAC_LIMIT_MIN+1)*GAIN_PREAMP*GAIN_POWERAMP+OFFSET_AMP</f>
        <v>14.999450835817715</v>
      </c>
      <c r="AJ274" s="6">
        <f t="shared" si="72"/>
        <v>1000</v>
      </c>
      <c r="AK274" s="4">
        <v>257</v>
      </c>
      <c r="AM274" s="2" t="str">
        <f t="shared" ref="AM274:AM337" si="86">BIN2HEX(C274+10*D274+100*E274+1000*F274,1)</f>
        <v>0</v>
      </c>
      <c r="AN274" s="2" t="str">
        <f t="shared" si="73"/>
        <v>3E8</v>
      </c>
      <c r="AO274" s="2"/>
      <c r="AP274" s="2" t="str">
        <f t="shared" si="74"/>
        <v>03E8</v>
      </c>
    </row>
    <row r="275" spans="1:42" x14ac:dyDescent="0.2">
      <c r="A275">
        <v>258</v>
      </c>
      <c r="B275">
        <v>25.7</v>
      </c>
      <c r="C275" s="6">
        <v>0</v>
      </c>
      <c r="D275" s="6">
        <v>0</v>
      </c>
      <c r="E275" s="6">
        <v>0</v>
      </c>
      <c r="F275" s="7">
        <v>0</v>
      </c>
      <c r="G275" s="9">
        <v>100</v>
      </c>
      <c r="H275" s="10">
        <f t="shared" ref="H275:H338" si="87">BIN2DEC(C275+10*D275+100*E275+1000*F275)</f>
        <v>0</v>
      </c>
      <c r="I275" s="12">
        <f t="shared" si="78"/>
        <v>639.30209199318563</v>
      </c>
      <c r="J275" s="11">
        <f t="shared" si="79"/>
        <v>21.729553476362859</v>
      </c>
      <c r="K275" s="6">
        <v>0</v>
      </c>
      <c r="L275" s="6">
        <v>1</v>
      </c>
      <c r="M275" s="6">
        <v>1</v>
      </c>
      <c r="N275" s="7">
        <v>0</v>
      </c>
      <c r="O275" s="9">
        <v>100</v>
      </c>
      <c r="P275" s="10">
        <f t="shared" ref="P275:P338" si="88">BIN2DEC(K275+10*L275+100*M275+1000*N275)</f>
        <v>6</v>
      </c>
      <c r="Q275" s="12">
        <f t="shared" si="80"/>
        <v>639.30209199318563</v>
      </c>
      <c r="R275" s="11">
        <f t="shared" si="81"/>
        <v>21.729553476362859</v>
      </c>
      <c r="S275" s="6">
        <v>0</v>
      </c>
      <c r="T275" s="6">
        <v>1</v>
      </c>
      <c r="U275" s="6">
        <v>1</v>
      </c>
      <c r="V275" s="7">
        <v>0</v>
      </c>
      <c r="W275" s="9">
        <v>100</v>
      </c>
      <c r="X275" s="10">
        <f t="shared" ref="X275:X338" si="89">BIN2DEC(S275+10*T275+100*U275+1000*V275)</f>
        <v>6</v>
      </c>
      <c r="Y275" s="12">
        <f t="shared" si="82"/>
        <v>639.30209199318563</v>
      </c>
      <c r="Z275" s="11">
        <f t="shared" si="83"/>
        <v>21.729553476362859</v>
      </c>
      <c r="AA275" s="6">
        <v>0</v>
      </c>
      <c r="AB275" s="6">
        <v>1</v>
      </c>
      <c r="AC275" s="6">
        <v>1</v>
      </c>
      <c r="AD275" s="7">
        <v>1</v>
      </c>
      <c r="AE275" s="9">
        <f t="shared" si="77"/>
        <v>55</v>
      </c>
      <c r="AF275" s="10">
        <f t="shared" ref="AF275:AF338" si="90">BIN2DEC(AA275+10*AB275+100*AC275+1000*AD275)</f>
        <v>14</v>
      </c>
      <c r="AG275" s="12">
        <f t="shared" si="84"/>
        <v>380.86615059625217</v>
      </c>
      <c r="AH275" s="11">
        <f t="shared" si="85"/>
        <v>14.158188005749576</v>
      </c>
      <c r="AJ275" s="6">
        <f t="shared" ref="AJ275:AJ338" si="91">ROUNDDOWN(($G275*$G$16+$I$6*100)*10,0)</f>
        <v>1000</v>
      </c>
      <c r="AK275" s="4">
        <v>258</v>
      </c>
      <c r="AM275" s="2" t="str">
        <f t="shared" si="86"/>
        <v>0</v>
      </c>
      <c r="AN275" s="2" t="str">
        <f t="shared" ref="AN275:AN338" si="92">DEC2HEX(AJ275,3)</f>
        <v>3E8</v>
      </c>
      <c r="AO275" s="2"/>
      <c r="AP275" s="2" t="str">
        <f t="shared" ref="AP275:AP338" si="93">CONCATENATE(AM275,AN275)</f>
        <v>03E8</v>
      </c>
    </row>
    <row r="276" spans="1:42" x14ac:dyDescent="0.2">
      <c r="A276">
        <v>259</v>
      </c>
      <c r="B276">
        <v>25.8</v>
      </c>
      <c r="C276" s="6">
        <v>0</v>
      </c>
      <c r="D276" s="6">
        <v>0</v>
      </c>
      <c r="E276" s="6">
        <v>0</v>
      </c>
      <c r="F276" s="7">
        <v>0</v>
      </c>
      <c r="G276" s="9">
        <v>100</v>
      </c>
      <c r="H276" s="10">
        <f t="shared" si="87"/>
        <v>0</v>
      </c>
      <c r="I276" s="12">
        <f t="shared" si="78"/>
        <v>639.30209199318563</v>
      </c>
      <c r="J276" s="11">
        <f t="shared" si="79"/>
        <v>21.729553476362859</v>
      </c>
      <c r="K276" s="6">
        <v>0</v>
      </c>
      <c r="L276" s="6">
        <v>1</v>
      </c>
      <c r="M276" s="6">
        <v>1</v>
      </c>
      <c r="N276" s="7">
        <v>0</v>
      </c>
      <c r="O276" s="9">
        <v>100</v>
      </c>
      <c r="P276" s="10">
        <f t="shared" si="88"/>
        <v>6</v>
      </c>
      <c r="Q276" s="12">
        <f t="shared" si="80"/>
        <v>639.30209199318563</v>
      </c>
      <c r="R276" s="11">
        <f t="shared" si="81"/>
        <v>21.729553476362859</v>
      </c>
      <c r="S276" s="6">
        <v>0</v>
      </c>
      <c r="T276" s="6">
        <v>1</v>
      </c>
      <c r="U276" s="6">
        <v>1</v>
      </c>
      <c r="V276" s="7">
        <v>0</v>
      </c>
      <c r="W276" s="9">
        <v>100</v>
      </c>
      <c r="X276" s="10">
        <f t="shared" si="89"/>
        <v>6</v>
      </c>
      <c r="Y276" s="12">
        <f t="shared" si="82"/>
        <v>639.30209199318563</v>
      </c>
      <c r="Z276" s="11">
        <f t="shared" si="83"/>
        <v>21.729553476362859</v>
      </c>
      <c r="AA276" s="6">
        <v>0</v>
      </c>
      <c r="AB276" s="6">
        <v>1</v>
      </c>
      <c r="AC276" s="6">
        <v>1</v>
      </c>
      <c r="AD276" s="7">
        <v>1</v>
      </c>
      <c r="AE276" s="9">
        <f t="shared" si="77"/>
        <v>50</v>
      </c>
      <c r="AF276" s="10">
        <f t="shared" si="90"/>
        <v>14</v>
      </c>
      <c r="AG276" s="12">
        <f t="shared" si="84"/>
        <v>352.15104599659281</v>
      </c>
      <c r="AH276" s="11">
        <f t="shared" si="85"/>
        <v>13.31692517568143</v>
      </c>
      <c r="AJ276" s="6">
        <f t="shared" si="91"/>
        <v>1000</v>
      </c>
      <c r="AK276" s="4">
        <v>259</v>
      </c>
      <c r="AM276" s="2" t="str">
        <f t="shared" si="86"/>
        <v>0</v>
      </c>
      <c r="AN276" s="2" t="str">
        <f t="shared" si="92"/>
        <v>3E8</v>
      </c>
      <c r="AO276" s="2"/>
      <c r="AP276" s="2" t="str">
        <f t="shared" si="93"/>
        <v>03E8</v>
      </c>
    </row>
    <row r="277" spans="1:42" x14ac:dyDescent="0.2">
      <c r="A277">
        <v>260</v>
      </c>
      <c r="B277">
        <v>25.9</v>
      </c>
      <c r="C277" s="6">
        <v>0</v>
      </c>
      <c r="D277" s="6">
        <v>0</v>
      </c>
      <c r="E277" s="6">
        <v>0</v>
      </c>
      <c r="F277" s="7">
        <v>0</v>
      </c>
      <c r="G277" s="9">
        <v>100</v>
      </c>
      <c r="H277" s="10">
        <f t="shared" si="87"/>
        <v>0</v>
      </c>
      <c r="I277" s="12">
        <f t="shared" si="78"/>
        <v>639.30209199318563</v>
      </c>
      <c r="J277" s="11">
        <f t="shared" si="79"/>
        <v>21.729553476362859</v>
      </c>
      <c r="K277" s="6">
        <v>0</v>
      </c>
      <c r="L277" s="6">
        <v>1</v>
      </c>
      <c r="M277" s="6">
        <v>1</v>
      </c>
      <c r="N277" s="7">
        <v>0</v>
      </c>
      <c r="O277" s="9">
        <v>100</v>
      </c>
      <c r="P277" s="10">
        <f t="shared" si="88"/>
        <v>6</v>
      </c>
      <c r="Q277" s="12">
        <f t="shared" si="80"/>
        <v>639.30209199318563</v>
      </c>
      <c r="R277" s="11">
        <f t="shared" si="81"/>
        <v>21.729553476362859</v>
      </c>
      <c r="S277" s="6">
        <v>0</v>
      </c>
      <c r="T277" s="6">
        <v>1</v>
      </c>
      <c r="U277" s="6">
        <v>1</v>
      </c>
      <c r="V277" s="7">
        <v>0</v>
      </c>
      <c r="W277" s="9">
        <v>100</v>
      </c>
      <c r="X277" s="10">
        <f t="shared" si="89"/>
        <v>6</v>
      </c>
      <c r="Y277" s="12">
        <f t="shared" si="82"/>
        <v>639.30209199318563</v>
      </c>
      <c r="Z277" s="11">
        <f t="shared" si="83"/>
        <v>21.729553476362859</v>
      </c>
      <c r="AA277" s="6">
        <v>0</v>
      </c>
      <c r="AB277" s="6">
        <v>1</v>
      </c>
      <c r="AC277" s="6">
        <v>1</v>
      </c>
      <c r="AD277" s="7">
        <v>1</v>
      </c>
      <c r="AE277" s="9">
        <f t="shared" si="77"/>
        <v>45</v>
      </c>
      <c r="AF277" s="10">
        <f t="shared" si="90"/>
        <v>14</v>
      </c>
      <c r="AG277" s="12">
        <f t="shared" si="84"/>
        <v>323.43594139693357</v>
      </c>
      <c r="AH277" s="11">
        <f t="shared" si="85"/>
        <v>12.475662345613289</v>
      </c>
      <c r="AJ277" s="6">
        <f t="shared" si="91"/>
        <v>1000</v>
      </c>
      <c r="AK277" s="4">
        <v>260</v>
      </c>
      <c r="AM277" s="2" t="str">
        <f t="shared" si="86"/>
        <v>0</v>
      </c>
      <c r="AN277" s="2" t="str">
        <f t="shared" si="92"/>
        <v>3E8</v>
      </c>
      <c r="AO277" s="2"/>
      <c r="AP277" s="2" t="str">
        <f t="shared" si="93"/>
        <v>03E8</v>
      </c>
    </row>
    <row r="278" spans="1:42" x14ac:dyDescent="0.2">
      <c r="A278">
        <v>261</v>
      </c>
      <c r="B278">
        <v>26</v>
      </c>
      <c r="C278" s="6">
        <v>0</v>
      </c>
      <c r="D278" s="6">
        <v>0</v>
      </c>
      <c r="E278" s="6">
        <v>0</v>
      </c>
      <c r="F278" s="7">
        <v>0</v>
      </c>
      <c r="G278" s="9">
        <v>100</v>
      </c>
      <c r="H278" s="10">
        <f t="shared" si="87"/>
        <v>0</v>
      </c>
      <c r="I278" s="12">
        <f t="shared" si="78"/>
        <v>639.30209199318563</v>
      </c>
      <c r="J278" s="11">
        <f t="shared" si="79"/>
        <v>21.729553476362859</v>
      </c>
      <c r="K278" s="6">
        <v>0</v>
      </c>
      <c r="L278" s="6">
        <v>1</v>
      </c>
      <c r="M278" s="6">
        <v>1</v>
      </c>
      <c r="N278" s="7">
        <v>0</v>
      </c>
      <c r="O278" s="9">
        <v>100</v>
      </c>
      <c r="P278" s="10">
        <f t="shared" si="88"/>
        <v>6</v>
      </c>
      <c r="Q278" s="12">
        <f t="shared" si="80"/>
        <v>639.30209199318563</v>
      </c>
      <c r="R278" s="11">
        <f t="shared" si="81"/>
        <v>21.729553476362859</v>
      </c>
      <c r="S278" s="6">
        <v>0</v>
      </c>
      <c r="T278" s="6">
        <v>1</v>
      </c>
      <c r="U278" s="6">
        <v>1</v>
      </c>
      <c r="V278" s="7">
        <v>0</v>
      </c>
      <c r="W278" s="9">
        <v>100</v>
      </c>
      <c r="X278" s="10">
        <f t="shared" si="89"/>
        <v>6</v>
      </c>
      <c r="Y278" s="12">
        <f t="shared" si="82"/>
        <v>639.30209199318563</v>
      </c>
      <c r="Z278" s="11">
        <f t="shared" si="83"/>
        <v>21.729553476362859</v>
      </c>
      <c r="AA278" s="6">
        <v>0</v>
      </c>
      <c r="AB278" s="6">
        <v>1</v>
      </c>
      <c r="AC278" s="6">
        <v>1</v>
      </c>
      <c r="AD278" s="7">
        <v>1</v>
      </c>
      <c r="AE278" s="9">
        <f t="shared" si="77"/>
        <v>40</v>
      </c>
      <c r="AF278" s="10">
        <f t="shared" si="90"/>
        <v>14</v>
      </c>
      <c r="AG278" s="12">
        <f t="shared" si="84"/>
        <v>294.72083679727427</v>
      </c>
      <c r="AH278" s="11">
        <f t="shared" si="85"/>
        <v>11.634399515545145</v>
      </c>
      <c r="AJ278" s="6">
        <f t="shared" si="91"/>
        <v>1000</v>
      </c>
      <c r="AK278" s="4">
        <v>261</v>
      </c>
      <c r="AM278" s="2" t="str">
        <f t="shared" si="86"/>
        <v>0</v>
      </c>
      <c r="AN278" s="2" t="str">
        <f t="shared" si="92"/>
        <v>3E8</v>
      </c>
      <c r="AO278" s="2"/>
      <c r="AP278" s="2" t="str">
        <f t="shared" si="93"/>
        <v>03E8</v>
      </c>
    </row>
    <row r="279" spans="1:42" x14ac:dyDescent="0.2">
      <c r="A279">
        <v>262</v>
      </c>
      <c r="B279">
        <v>26.1</v>
      </c>
      <c r="C279" s="6">
        <v>0</v>
      </c>
      <c r="D279" s="6">
        <v>0</v>
      </c>
      <c r="E279" s="6">
        <v>0</v>
      </c>
      <c r="F279" s="7">
        <v>0</v>
      </c>
      <c r="G279" s="9">
        <v>100</v>
      </c>
      <c r="H279" s="10">
        <f t="shared" si="87"/>
        <v>0</v>
      </c>
      <c r="I279" s="12">
        <f t="shared" si="78"/>
        <v>639.30209199318563</v>
      </c>
      <c r="J279" s="11">
        <f t="shared" si="79"/>
        <v>21.729553476362859</v>
      </c>
      <c r="K279" s="6">
        <v>0</v>
      </c>
      <c r="L279" s="6">
        <v>0</v>
      </c>
      <c r="M279" s="6">
        <v>0</v>
      </c>
      <c r="N279" s="7">
        <v>0</v>
      </c>
      <c r="O279" s="9">
        <v>100</v>
      </c>
      <c r="P279" s="10">
        <f t="shared" si="88"/>
        <v>0</v>
      </c>
      <c r="Q279" s="12">
        <f t="shared" si="80"/>
        <v>639.30209199318563</v>
      </c>
      <c r="R279" s="11">
        <f t="shared" si="81"/>
        <v>21.729553476362859</v>
      </c>
      <c r="S279" s="6">
        <v>0</v>
      </c>
      <c r="T279" s="6">
        <v>0</v>
      </c>
      <c r="U279" s="6">
        <v>0</v>
      </c>
      <c r="V279" s="7">
        <v>0</v>
      </c>
      <c r="W279" s="9">
        <v>100</v>
      </c>
      <c r="X279" s="10">
        <f t="shared" si="89"/>
        <v>0</v>
      </c>
      <c r="Y279" s="12">
        <f t="shared" si="82"/>
        <v>639.30209199318563</v>
      </c>
      <c r="Z279" s="11">
        <f t="shared" si="83"/>
        <v>21.729553476362859</v>
      </c>
      <c r="AA279" s="6">
        <v>0</v>
      </c>
      <c r="AB279" s="6">
        <v>1</v>
      </c>
      <c r="AC279" s="6">
        <v>1</v>
      </c>
      <c r="AD279" s="7">
        <v>1</v>
      </c>
      <c r="AE279" s="9">
        <f t="shared" si="77"/>
        <v>35</v>
      </c>
      <c r="AF279" s="10">
        <f t="shared" si="90"/>
        <v>14</v>
      </c>
      <c r="AG279" s="12">
        <f t="shared" si="84"/>
        <v>266.00573219761498</v>
      </c>
      <c r="AH279" s="11">
        <f t="shared" si="85"/>
        <v>10.793136685477002</v>
      </c>
      <c r="AJ279" s="6">
        <f t="shared" si="91"/>
        <v>1000</v>
      </c>
      <c r="AK279" s="4">
        <v>262</v>
      </c>
      <c r="AM279" s="2" t="str">
        <f t="shared" si="86"/>
        <v>0</v>
      </c>
      <c r="AN279" s="2" t="str">
        <f t="shared" si="92"/>
        <v>3E8</v>
      </c>
      <c r="AO279" s="2"/>
      <c r="AP279" s="2" t="str">
        <f t="shared" si="93"/>
        <v>03E8</v>
      </c>
    </row>
    <row r="280" spans="1:42" x14ac:dyDescent="0.2">
      <c r="A280">
        <v>263</v>
      </c>
      <c r="B280">
        <v>26.2</v>
      </c>
      <c r="C280" s="6">
        <v>0</v>
      </c>
      <c r="D280" s="6">
        <v>0</v>
      </c>
      <c r="E280" s="6">
        <v>0</v>
      </c>
      <c r="F280" s="7">
        <v>0</v>
      </c>
      <c r="G280" s="9">
        <v>100</v>
      </c>
      <c r="H280" s="10">
        <f t="shared" si="87"/>
        <v>0</v>
      </c>
      <c r="I280" s="12">
        <f t="shared" si="78"/>
        <v>639.30209199318563</v>
      </c>
      <c r="J280" s="11">
        <f t="shared" si="79"/>
        <v>21.729553476362859</v>
      </c>
      <c r="K280" s="6">
        <v>0</v>
      </c>
      <c r="L280" s="6">
        <v>0</v>
      </c>
      <c r="M280" s="6">
        <v>0</v>
      </c>
      <c r="N280" s="7">
        <v>0</v>
      </c>
      <c r="O280" s="9">
        <v>100</v>
      </c>
      <c r="P280" s="10">
        <f t="shared" si="88"/>
        <v>0</v>
      </c>
      <c r="Q280" s="12">
        <f t="shared" si="80"/>
        <v>639.30209199318563</v>
      </c>
      <c r="R280" s="11">
        <f t="shared" si="81"/>
        <v>21.729553476362859</v>
      </c>
      <c r="S280" s="6">
        <v>0</v>
      </c>
      <c r="T280" s="6">
        <v>0</v>
      </c>
      <c r="U280" s="6">
        <v>0</v>
      </c>
      <c r="V280" s="7">
        <v>0</v>
      </c>
      <c r="W280" s="9">
        <v>100</v>
      </c>
      <c r="X280" s="10">
        <f t="shared" si="89"/>
        <v>0</v>
      </c>
      <c r="Y280" s="12">
        <f t="shared" si="82"/>
        <v>639.30209199318563</v>
      </c>
      <c r="Z280" s="11">
        <f t="shared" si="83"/>
        <v>21.729553476362859</v>
      </c>
      <c r="AA280" s="6">
        <v>0</v>
      </c>
      <c r="AB280" s="6">
        <v>1</v>
      </c>
      <c r="AC280" s="6">
        <v>1</v>
      </c>
      <c r="AD280" s="7">
        <v>1</v>
      </c>
      <c r="AE280" s="9">
        <f t="shared" si="77"/>
        <v>30</v>
      </c>
      <c r="AF280" s="10">
        <f t="shared" si="90"/>
        <v>14</v>
      </c>
      <c r="AG280" s="12">
        <f t="shared" si="84"/>
        <v>237.29062759795568</v>
      </c>
      <c r="AH280" s="11">
        <f t="shared" si="85"/>
        <v>9.9518738554088593</v>
      </c>
      <c r="AJ280" s="6">
        <f t="shared" si="91"/>
        <v>1000</v>
      </c>
      <c r="AK280" s="4">
        <v>263</v>
      </c>
      <c r="AM280" s="2" t="str">
        <f t="shared" si="86"/>
        <v>0</v>
      </c>
      <c r="AN280" s="2" t="str">
        <f t="shared" si="92"/>
        <v>3E8</v>
      </c>
      <c r="AO280" s="2"/>
      <c r="AP280" s="2" t="str">
        <f t="shared" si="93"/>
        <v>03E8</v>
      </c>
    </row>
    <row r="281" spans="1:42" x14ac:dyDescent="0.2">
      <c r="A281">
        <v>264</v>
      </c>
      <c r="B281">
        <v>26.3</v>
      </c>
      <c r="C281" s="6">
        <v>0</v>
      </c>
      <c r="D281" s="6">
        <v>0</v>
      </c>
      <c r="E281" s="6">
        <v>0</v>
      </c>
      <c r="F281" s="7">
        <v>0</v>
      </c>
      <c r="G281" s="9">
        <v>100</v>
      </c>
      <c r="H281" s="10">
        <f t="shared" si="87"/>
        <v>0</v>
      </c>
      <c r="I281" s="12">
        <f t="shared" si="78"/>
        <v>639.30209199318563</v>
      </c>
      <c r="J281" s="11">
        <f t="shared" si="79"/>
        <v>21.729553476362859</v>
      </c>
      <c r="K281" s="6">
        <v>0</v>
      </c>
      <c r="L281" s="6">
        <v>0</v>
      </c>
      <c r="M281" s="6">
        <v>0</v>
      </c>
      <c r="N281" s="7">
        <v>0</v>
      </c>
      <c r="O281" s="9">
        <v>100</v>
      </c>
      <c r="P281" s="10">
        <f t="shared" si="88"/>
        <v>0</v>
      </c>
      <c r="Q281" s="12">
        <f t="shared" si="80"/>
        <v>639.30209199318563</v>
      </c>
      <c r="R281" s="11">
        <f t="shared" si="81"/>
        <v>21.729553476362859</v>
      </c>
      <c r="S281" s="6">
        <v>0</v>
      </c>
      <c r="T281" s="6">
        <v>0</v>
      </c>
      <c r="U281" s="6">
        <v>0</v>
      </c>
      <c r="V281" s="7">
        <v>0</v>
      </c>
      <c r="W281" s="9">
        <v>100</v>
      </c>
      <c r="X281" s="10">
        <f t="shared" si="89"/>
        <v>0</v>
      </c>
      <c r="Y281" s="12">
        <f t="shared" si="82"/>
        <v>639.30209199318563</v>
      </c>
      <c r="Z281" s="11">
        <f t="shared" si="83"/>
        <v>21.729553476362859</v>
      </c>
      <c r="AA281" s="6">
        <v>0</v>
      </c>
      <c r="AB281" s="6">
        <v>1</v>
      </c>
      <c r="AC281" s="6">
        <v>1</v>
      </c>
      <c r="AD281" s="7">
        <v>1</v>
      </c>
      <c r="AE281" s="9">
        <f t="shared" si="77"/>
        <v>25</v>
      </c>
      <c r="AF281" s="10">
        <f t="shared" si="90"/>
        <v>14</v>
      </c>
      <c r="AG281" s="12">
        <f t="shared" si="84"/>
        <v>208.57552299829641</v>
      </c>
      <c r="AH281" s="11">
        <f t="shared" si="85"/>
        <v>9.1106110253407149</v>
      </c>
      <c r="AJ281" s="6">
        <f t="shared" si="91"/>
        <v>1000</v>
      </c>
      <c r="AK281" s="4">
        <v>264</v>
      </c>
      <c r="AM281" s="2" t="str">
        <f t="shared" si="86"/>
        <v>0</v>
      </c>
      <c r="AN281" s="2" t="str">
        <f t="shared" si="92"/>
        <v>3E8</v>
      </c>
      <c r="AO281" s="2"/>
      <c r="AP281" s="2" t="str">
        <f t="shared" si="93"/>
        <v>03E8</v>
      </c>
    </row>
    <row r="282" spans="1:42" x14ac:dyDescent="0.2">
      <c r="A282">
        <v>265</v>
      </c>
      <c r="B282">
        <v>26.4</v>
      </c>
      <c r="C282" s="6">
        <v>0</v>
      </c>
      <c r="D282" s="6">
        <v>0</v>
      </c>
      <c r="E282" s="6">
        <v>0</v>
      </c>
      <c r="F282" s="7">
        <v>0</v>
      </c>
      <c r="G282" s="9">
        <v>100</v>
      </c>
      <c r="H282" s="10">
        <f t="shared" si="87"/>
        <v>0</v>
      </c>
      <c r="I282" s="12">
        <f t="shared" si="78"/>
        <v>639.30209199318563</v>
      </c>
      <c r="J282" s="11">
        <f t="shared" si="79"/>
        <v>21.729553476362859</v>
      </c>
      <c r="K282" s="6">
        <v>0</v>
      </c>
      <c r="L282" s="6">
        <v>0</v>
      </c>
      <c r="M282" s="6">
        <v>0</v>
      </c>
      <c r="N282" s="7">
        <v>0</v>
      </c>
      <c r="O282" s="9">
        <v>100</v>
      </c>
      <c r="P282" s="10">
        <f t="shared" si="88"/>
        <v>0</v>
      </c>
      <c r="Q282" s="12">
        <f t="shared" si="80"/>
        <v>639.30209199318563</v>
      </c>
      <c r="R282" s="11">
        <f t="shared" si="81"/>
        <v>21.729553476362859</v>
      </c>
      <c r="S282" s="6">
        <v>0</v>
      </c>
      <c r="T282" s="6">
        <v>0</v>
      </c>
      <c r="U282" s="6">
        <v>0</v>
      </c>
      <c r="V282" s="7">
        <v>0</v>
      </c>
      <c r="W282" s="9">
        <v>100</v>
      </c>
      <c r="X282" s="10">
        <f t="shared" si="89"/>
        <v>0</v>
      </c>
      <c r="Y282" s="12">
        <f t="shared" si="82"/>
        <v>639.30209199318563</v>
      </c>
      <c r="Z282" s="11">
        <f t="shared" si="83"/>
        <v>21.729553476362859</v>
      </c>
      <c r="AA282" s="6">
        <v>0</v>
      </c>
      <c r="AB282" s="6">
        <v>1</v>
      </c>
      <c r="AC282" s="6">
        <v>1</v>
      </c>
      <c r="AD282" s="7">
        <v>1</v>
      </c>
      <c r="AE282" s="9">
        <f t="shared" si="77"/>
        <v>20</v>
      </c>
      <c r="AF282" s="10">
        <f t="shared" si="90"/>
        <v>14</v>
      </c>
      <c r="AG282" s="12">
        <f t="shared" si="84"/>
        <v>179.86041839863714</v>
      </c>
      <c r="AH282" s="11">
        <f t="shared" si="85"/>
        <v>8.2693481952725723</v>
      </c>
      <c r="AJ282" s="6">
        <f t="shared" si="91"/>
        <v>1000</v>
      </c>
      <c r="AK282" s="4">
        <v>265</v>
      </c>
      <c r="AM282" s="2" t="str">
        <f t="shared" si="86"/>
        <v>0</v>
      </c>
      <c r="AN282" s="2" t="str">
        <f t="shared" si="92"/>
        <v>3E8</v>
      </c>
      <c r="AO282" s="2"/>
      <c r="AP282" s="2" t="str">
        <f t="shared" si="93"/>
        <v>03E8</v>
      </c>
    </row>
    <row r="283" spans="1:42" x14ac:dyDescent="0.2">
      <c r="A283">
        <v>266</v>
      </c>
      <c r="B283">
        <v>26.5</v>
      </c>
      <c r="C283" s="6">
        <v>0</v>
      </c>
      <c r="D283" s="6">
        <v>0</v>
      </c>
      <c r="E283" s="6">
        <v>0</v>
      </c>
      <c r="F283" s="7">
        <v>0</v>
      </c>
      <c r="G283" s="9">
        <v>100</v>
      </c>
      <c r="H283" s="10">
        <f t="shared" si="87"/>
        <v>0</v>
      </c>
      <c r="I283" s="12">
        <f t="shared" si="78"/>
        <v>639.30209199318563</v>
      </c>
      <c r="J283" s="11">
        <f t="shared" si="79"/>
        <v>21.729553476362859</v>
      </c>
      <c r="K283" s="6">
        <v>0</v>
      </c>
      <c r="L283" s="6">
        <v>0</v>
      </c>
      <c r="M283" s="6">
        <v>0</v>
      </c>
      <c r="N283" s="7">
        <v>0</v>
      </c>
      <c r="O283" s="9">
        <v>100</v>
      </c>
      <c r="P283" s="10">
        <f t="shared" si="88"/>
        <v>0</v>
      </c>
      <c r="Q283" s="12">
        <f t="shared" si="80"/>
        <v>639.30209199318563</v>
      </c>
      <c r="R283" s="11">
        <f t="shared" si="81"/>
        <v>21.729553476362859</v>
      </c>
      <c r="S283" s="6">
        <v>0</v>
      </c>
      <c r="T283" s="6">
        <v>0</v>
      </c>
      <c r="U283" s="6">
        <v>0</v>
      </c>
      <c r="V283" s="7">
        <v>0</v>
      </c>
      <c r="W283" s="9">
        <v>100</v>
      </c>
      <c r="X283" s="10">
        <f t="shared" si="89"/>
        <v>0</v>
      </c>
      <c r="Y283" s="12">
        <f t="shared" si="82"/>
        <v>639.30209199318563</v>
      </c>
      <c r="Z283" s="11">
        <f t="shared" si="83"/>
        <v>21.729553476362859</v>
      </c>
      <c r="AA283" s="6">
        <v>0</v>
      </c>
      <c r="AB283" s="6">
        <v>1</v>
      </c>
      <c r="AC283" s="6">
        <v>1</v>
      </c>
      <c r="AD283" s="7">
        <v>1</v>
      </c>
      <c r="AE283" s="9">
        <f t="shared" si="77"/>
        <v>15</v>
      </c>
      <c r="AF283" s="10">
        <f t="shared" si="90"/>
        <v>14</v>
      </c>
      <c r="AG283" s="12">
        <f t="shared" si="84"/>
        <v>151.14531379897784</v>
      </c>
      <c r="AH283" s="11">
        <f t="shared" si="85"/>
        <v>7.4280853652044296</v>
      </c>
      <c r="AJ283" s="6">
        <f t="shared" si="91"/>
        <v>1000</v>
      </c>
      <c r="AK283" s="4">
        <v>266</v>
      </c>
      <c r="AM283" s="2" t="str">
        <f t="shared" si="86"/>
        <v>0</v>
      </c>
      <c r="AN283" s="2" t="str">
        <f t="shared" si="92"/>
        <v>3E8</v>
      </c>
      <c r="AO283" s="2"/>
      <c r="AP283" s="2" t="str">
        <f t="shared" si="93"/>
        <v>03E8</v>
      </c>
    </row>
    <row r="284" spans="1:42" x14ac:dyDescent="0.2">
      <c r="A284">
        <v>267</v>
      </c>
      <c r="B284">
        <v>26.6</v>
      </c>
      <c r="C284" s="6">
        <v>0</v>
      </c>
      <c r="D284" s="6">
        <v>0</v>
      </c>
      <c r="E284" s="6">
        <v>0</v>
      </c>
      <c r="F284" s="7">
        <v>0</v>
      </c>
      <c r="G284" s="9">
        <v>100</v>
      </c>
      <c r="H284" s="10">
        <f t="shared" si="87"/>
        <v>0</v>
      </c>
      <c r="I284" s="12">
        <f t="shared" si="78"/>
        <v>639.30209199318563</v>
      </c>
      <c r="J284" s="11">
        <f t="shared" si="79"/>
        <v>21.729553476362859</v>
      </c>
      <c r="K284" s="6">
        <v>0</v>
      </c>
      <c r="L284" s="6">
        <v>0</v>
      </c>
      <c r="M284" s="6">
        <v>0</v>
      </c>
      <c r="N284" s="7">
        <v>0</v>
      </c>
      <c r="O284" s="9">
        <v>100</v>
      </c>
      <c r="P284" s="10">
        <f t="shared" si="88"/>
        <v>0</v>
      </c>
      <c r="Q284" s="12">
        <f t="shared" si="80"/>
        <v>639.30209199318563</v>
      </c>
      <c r="R284" s="11">
        <f t="shared" si="81"/>
        <v>21.729553476362859</v>
      </c>
      <c r="S284" s="6">
        <v>0</v>
      </c>
      <c r="T284" s="6">
        <v>0</v>
      </c>
      <c r="U284" s="6">
        <v>0</v>
      </c>
      <c r="V284" s="7">
        <v>0</v>
      </c>
      <c r="W284" s="9">
        <v>100</v>
      </c>
      <c r="X284" s="10">
        <f t="shared" si="89"/>
        <v>0</v>
      </c>
      <c r="Y284" s="12">
        <f t="shared" si="82"/>
        <v>639.30209199318563</v>
      </c>
      <c r="Z284" s="11">
        <f t="shared" si="83"/>
        <v>21.729553476362859</v>
      </c>
      <c r="AA284" s="6">
        <v>0</v>
      </c>
      <c r="AB284" s="6">
        <v>1</v>
      </c>
      <c r="AC284" s="6">
        <v>1</v>
      </c>
      <c r="AD284" s="7">
        <v>1</v>
      </c>
      <c r="AE284" s="9">
        <f t="shared" si="77"/>
        <v>10</v>
      </c>
      <c r="AF284" s="10">
        <f t="shared" si="90"/>
        <v>14</v>
      </c>
      <c r="AG284" s="12">
        <f t="shared" si="84"/>
        <v>122.43020919931857</v>
      </c>
      <c r="AH284" s="11">
        <f t="shared" si="85"/>
        <v>6.5868225351362861</v>
      </c>
      <c r="AJ284" s="6">
        <f t="shared" si="91"/>
        <v>1000</v>
      </c>
      <c r="AK284" s="4">
        <v>267</v>
      </c>
      <c r="AM284" s="2" t="str">
        <f t="shared" si="86"/>
        <v>0</v>
      </c>
      <c r="AN284" s="2" t="str">
        <f t="shared" si="92"/>
        <v>3E8</v>
      </c>
      <c r="AO284" s="2"/>
      <c r="AP284" s="2" t="str">
        <f t="shared" si="93"/>
        <v>03E8</v>
      </c>
    </row>
    <row r="285" spans="1:42" x14ac:dyDescent="0.2">
      <c r="A285">
        <v>268</v>
      </c>
      <c r="B285">
        <v>26.7</v>
      </c>
      <c r="C285" s="6">
        <v>0</v>
      </c>
      <c r="D285" s="6">
        <v>0</v>
      </c>
      <c r="E285" s="6">
        <v>0</v>
      </c>
      <c r="F285" s="7">
        <v>0</v>
      </c>
      <c r="G285" s="9">
        <v>100</v>
      </c>
      <c r="H285" s="10">
        <f t="shared" si="87"/>
        <v>0</v>
      </c>
      <c r="I285" s="12">
        <f t="shared" si="78"/>
        <v>639.30209199318563</v>
      </c>
      <c r="J285" s="11">
        <f t="shared" si="79"/>
        <v>21.729553476362859</v>
      </c>
      <c r="K285" s="6">
        <v>0</v>
      </c>
      <c r="L285" s="6">
        <v>0</v>
      </c>
      <c r="M285" s="6">
        <v>0</v>
      </c>
      <c r="N285" s="7">
        <v>0</v>
      </c>
      <c r="O285" s="9">
        <v>100</v>
      </c>
      <c r="P285" s="10">
        <f t="shared" si="88"/>
        <v>0</v>
      </c>
      <c r="Q285" s="12">
        <f t="shared" si="80"/>
        <v>639.30209199318563</v>
      </c>
      <c r="R285" s="11">
        <f t="shared" si="81"/>
        <v>21.729553476362859</v>
      </c>
      <c r="S285" s="6">
        <v>0</v>
      </c>
      <c r="T285" s="6">
        <v>0</v>
      </c>
      <c r="U285" s="6">
        <v>0</v>
      </c>
      <c r="V285" s="7">
        <v>0</v>
      </c>
      <c r="W285" s="9">
        <v>100</v>
      </c>
      <c r="X285" s="10">
        <f t="shared" si="89"/>
        <v>0</v>
      </c>
      <c r="Y285" s="12">
        <f t="shared" si="82"/>
        <v>639.30209199318563</v>
      </c>
      <c r="Z285" s="11">
        <f t="shared" si="83"/>
        <v>21.729553476362859</v>
      </c>
      <c r="AA285" s="6">
        <v>0</v>
      </c>
      <c r="AB285" s="6">
        <v>1</v>
      </c>
      <c r="AC285" s="6">
        <v>1</v>
      </c>
      <c r="AD285" s="7">
        <v>1</v>
      </c>
      <c r="AE285" s="9">
        <f t="shared" si="77"/>
        <v>5</v>
      </c>
      <c r="AF285" s="10">
        <f t="shared" si="90"/>
        <v>14</v>
      </c>
      <c r="AG285" s="12">
        <f t="shared" si="84"/>
        <v>93.715104599659284</v>
      </c>
      <c r="AH285" s="11">
        <f t="shared" si="85"/>
        <v>5.7455597050681426</v>
      </c>
      <c r="AJ285" s="6">
        <f t="shared" si="91"/>
        <v>1000</v>
      </c>
      <c r="AK285" s="4">
        <v>268</v>
      </c>
      <c r="AM285" s="2" t="str">
        <f t="shared" si="86"/>
        <v>0</v>
      </c>
      <c r="AN285" s="2" t="str">
        <f t="shared" si="92"/>
        <v>3E8</v>
      </c>
      <c r="AO285" s="2"/>
      <c r="AP285" s="2" t="str">
        <f t="shared" si="93"/>
        <v>03E8</v>
      </c>
    </row>
    <row r="286" spans="1:42" x14ac:dyDescent="0.2">
      <c r="A286">
        <v>269</v>
      </c>
      <c r="B286">
        <v>26.8</v>
      </c>
      <c r="C286" s="6">
        <v>0</v>
      </c>
      <c r="D286" s="6">
        <v>0</v>
      </c>
      <c r="E286" s="6">
        <v>0</v>
      </c>
      <c r="F286" s="7">
        <v>0</v>
      </c>
      <c r="G286" s="9">
        <v>100</v>
      </c>
      <c r="H286" s="10">
        <f t="shared" si="87"/>
        <v>0</v>
      </c>
      <c r="I286" s="12">
        <f t="shared" si="78"/>
        <v>639.30209199318563</v>
      </c>
      <c r="J286" s="11">
        <f t="shared" si="79"/>
        <v>21.729553476362859</v>
      </c>
      <c r="K286" s="6">
        <v>0</v>
      </c>
      <c r="L286" s="6">
        <v>0</v>
      </c>
      <c r="M286" s="6">
        <v>0</v>
      </c>
      <c r="N286" s="7">
        <v>0</v>
      </c>
      <c r="O286" s="9">
        <v>100</v>
      </c>
      <c r="P286" s="10">
        <f t="shared" si="88"/>
        <v>0</v>
      </c>
      <c r="Q286" s="12">
        <f t="shared" si="80"/>
        <v>639.30209199318563</v>
      </c>
      <c r="R286" s="11">
        <f t="shared" si="81"/>
        <v>21.729553476362859</v>
      </c>
      <c r="S286" s="6">
        <v>0</v>
      </c>
      <c r="T286" s="6">
        <v>0</v>
      </c>
      <c r="U286" s="6">
        <v>0</v>
      </c>
      <c r="V286" s="7">
        <v>0</v>
      </c>
      <c r="W286" s="9">
        <v>100</v>
      </c>
      <c r="X286" s="10">
        <f t="shared" si="89"/>
        <v>0</v>
      </c>
      <c r="Y286" s="12">
        <f t="shared" si="82"/>
        <v>639.30209199318563</v>
      </c>
      <c r="Z286" s="11">
        <f t="shared" si="83"/>
        <v>21.729553476362859</v>
      </c>
      <c r="AA286" s="6">
        <v>0</v>
      </c>
      <c r="AB286" s="6">
        <v>1</v>
      </c>
      <c r="AC286" s="6">
        <v>1</v>
      </c>
      <c r="AD286" s="7">
        <v>1</v>
      </c>
      <c r="AE286" s="9">
        <f t="shared" si="77"/>
        <v>0</v>
      </c>
      <c r="AF286" s="10">
        <f t="shared" si="90"/>
        <v>14</v>
      </c>
      <c r="AG286" s="12">
        <f t="shared" si="84"/>
        <v>65</v>
      </c>
      <c r="AH286" s="11">
        <f t="shared" si="85"/>
        <v>4.904296875</v>
      </c>
      <c r="AJ286" s="6">
        <f t="shared" si="91"/>
        <v>1000</v>
      </c>
      <c r="AK286" s="4">
        <v>269</v>
      </c>
      <c r="AM286" s="2" t="str">
        <f t="shared" si="86"/>
        <v>0</v>
      </c>
      <c r="AN286" s="2" t="str">
        <f t="shared" si="92"/>
        <v>3E8</v>
      </c>
      <c r="AO286" s="2"/>
      <c r="AP286" s="2" t="str">
        <f t="shared" si="93"/>
        <v>03E8</v>
      </c>
    </row>
    <row r="287" spans="1:42" x14ac:dyDescent="0.2">
      <c r="A287">
        <v>270</v>
      </c>
      <c r="B287">
        <v>26.9</v>
      </c>
      <c r="C287" s="6">
        <v>0</v>
      </c>
      <c r="D287" s="6">
        <v>0</v>
      </c>
      <c r="E287" s="6">
        <v>0</v>
      </c>
      <c r="F287" s="7">
        <v>0</v>
      </c>
      <c r="G287" s="9">
        <v>100</v>
      </c>
      <c r="H287" s="10">
        <f t="shared" si="87"/>
        <v>0</v>
      </c>
      <c r="I287" s="12">
        <f t="shared" si="78"/>
        <v>639.30209199318563</v>
      </c>
      <c r="J287" s="11">
        <f t="shared" si="79"/>
        <v>21.729553476362859</v>
      </c>
      <c r="K287" s="6">
        <v>0</v>
      </c>
      <c r="L287" s="6">
        <v>0</v>
      </c>
      <c r="M287" s="6">
        <v>0</v>
      </c>
      <c r="N287" s="7">
        <v>0</v>
      </c>
      <c r="O287" s="9">
        <v>100</v>
      </c>
      <c r="P287" s="10">
        <f t="shared" si="88"/>
        <v>0</v>
      </c>
      <c r="Q287" s="12">
        <f t="shared" si="80"/>
        <v>639.30209199318563</v>
      </c>
      <c r="R287" s="11">
        <f t="shared" si="81"/>
        <v>21.729553476362859</v>
      </c>
      <c r="S287" s="6">
        <v>0</v>
      </c>
      <c r="T287" s="6">
        <v>0</v>
      </c>
      <c r="U287" s="6">
        <v>0</v>
      </c>
      <c r="V287" s="7">
        <v>0</v>
      </c>
      <c r="W287" s="9">
        <v>100</v>
      </c>
      <c r="X287" s="10">
        <f t="shared" si="89"/>
        <v>0</v>
      </c>
      <c r="Y287" s="12">
        <f t="shared" si="82"/>
        <v>639.30209199318563</v>
      </c>
      <c r="Z287" s="11">
        <f t="shared" si="83"/>
        <v>21.729553476362859</v>
      </c>
      <c r="AA287" s="6">
        <v>0</v>
      </c>
      <c r="AB287" s="6">
        <v>1</v>
      </c>
      <c r="AC287" s="6">
        <v>1</v>
      </c>
      <c r="AD287" s="7">
        <v>1</v>
      </c>
      <c r="AE287" s="9">
        <v>0</v>
      </c>
      <c r="AF287" s="10">
        <f t="shared" si="90"/>
        <v>14</v>
      </c>
      <c r="AG287" s="12">
        <f t="shared" si="84"/>
        <v>65</v>
      </c>
      <c r="AH287" s="11">
        <f t="shared" si="85"/>
        <v>4.904296875</v>
      </c>
      <c r="AJ287" s="6">
        <f t="shared" si="91"/>
        <v>1000</v>
      </c>
      <c r="AK287" s="4">
        <v>270</v>
      </c>
      <c r="AM287" s="2" t="str">
        <f t="shared" si="86"/>
        <v>0</v>
      </c>
      <c r="AN287" s="2" t="str">
        <f t="shared" si="92"/>
        <v>3E8</v>
      </c>
      <c r="AO287" s="2"/>
      <c r="AP287" s="2" t="str">
        <f t="shared" si="93"/>
        <v>03E8</v>
      </c>
    </row>
    <row r="288" spans="1:42" x14ac:dyDescent="0.2">
      <c r="A288">
        <v>271</v>
      </c>
      <c r="B288">
        <v>27</v>
      </c>
      <c r="C288" s="6">
        <v>0</v>
      </c>
      <c r="D288" s="6">
        <v>0</v>
      </c>
      <c r="E288" s="6">
        <v>0</v>
      </c>
      <c r="F288" s="7">
        <v>0</v>
      </c>
      <c r="G288" s="9">
        <v>100</v>
      </c>
      <c r="H288" s="10">
        <f t="shared" si="87"/>
        <v>0</v>
      </c>
      <c r="I288" s="12">
        <f t="shared" si="78"/>
        <v>639.30209199318563</v>
      </c>
      <c r="J288" s="11">
        <f t="shared" si="79"/>
        <v>21.729553476362859</v>
      </c>
      <c r="K288" s="6">
        <v>0</v>
      </c>
      <c r="L288" s="6">
        <v>0</v>
      </c>
      <c r="M288" s="6">
        <v>0</v>
      </c>
      <c r="N288" s="7">
        <v>0</v>
      </c>
      <c r="O288" s="9">
        <v>100</v>
      </c>
      <c r="P288" s="10">
        <f t="shared" si="88"/>
        <v>0</v>
      </c>
      <c r="Q288" s="12">
        <f t="shared" si="80"/>
        <v>639.30209199318563</v>
      </c>
      <c r="R288" s="11">
        <f t="shared" si="81"/>
        <v>21.729553476362859</v>
      </c>
      <c r="S288" s="6">
        <v>0</v>
      </c>
      <c r="T288" s="6">
        <v>0</v>
      </c>
      <c r="U288" s="6">
        <v>0</v>
      </c>
      <c r="V288" s="7">
        <v>0</v>
      </c>
      <c r="W288" s="9">
        <v>100</v>
      </c>
      <c r="X288" s="10">
        <f t="shared" si="89"/>
        <v>0</v>
      </c>
      <c r="Y288" s="12">
        <f t="shared" si="82"/>
        <v>639.30209199318563</v>
      </c>
      <c r="Z288" s="11">
        <f t="shared" si="83"/>
        <v>21.729553476362859</v>
      </c>
      <c r="AA288" s="6">
        <v>0</v>
      </c>
      <c r="AB288" s="6">
        <v>1</v>
      </c>
      <c r="AC288" s="6">
        <v>1</v>
      </c>
      <c r="AD288" s="7">
        <v>1</v>
      </c>
      <c r="AE288" s="9">
        <v>0</v>
      </c>
      <c r="AF288" s="10">
        <f t="shared" si="90"/>
        <v>14</v>
      </c>
      <c r="AG288" s="12">
        <f t="shared" si="84"/>
        <v>65</v>
      </c>
      <c r="AH288" s="11">
        <f t="shared" si="85"/>
        <v>4.904296875</v>
      </c>
      <c r="AJ288" s="6">
        <f t="shared" si="91"/>
        <v>1000</v>
      </c>
      <c r="AK288" s="4">
        <v>271</v>
      </c>
      <c r="AM288" s="2" t="str">
        <f t="shared" si="86"/>
        <v>0</v>
      </c>
      <c r="AN288" s="2" t="str">
        <f t="shared" si="92"/>
        <v>3E8</v>
      </c>
      <c r="AO288" s="2"/>
      <c r="AP288" s="2" t="str">
        <f t="shared" si="93"/>
        <v>03E8</v>
      </c>
    </row>
    <row r="289" spans="1:42" x14ac:dyDescent="0.2">
      <c r="A289">
        <v>272</v>
      </c>
      <c r="B289">
        <v>27.1</v>
      </c>
      <c r="C289" s="6">
        <v>0</v>
      </c>
      <c r="D289" s="6">
        <v>0</v>
      </c>
      <c r="E289" s="6">
        <v>0</v>
      </c>
      <c r="F289" s="7">
        <v>0</v>
      </c>
      <c r="G289" s="9">
        <v>100</v>
      </c>
      <c r="H289" s="10">
        <f t="shared" si="87"/>
        <v>0</v>
      </c>
      <c r="I289" s="12">
        <f t="shared" si="78"/>
        <v>639.30209199318563</v>
      </c>
      <c r="J289" s="11">
        <f t="shared" si="79"/>
        <v>21.729553476362859</v>
      </c>
      <c r="K289" s="6">
        <v>0</v>
      </c>
      <c r="L289" s="6">
        <v>0</v>
      </c>
      <c r="M289" s="6">
        <v>0</v>
      </c>
      <c r="N289" s="7">
        <v>0</v>
      </c>
      <c r="O289" s="9">
        <v>100</v>
      </c>
      <c r="P289" s="10">
        <f t="shared" si="88"/>
        <v>0</v>
      </c>
      <c r="Q289" s="12">
        <f t="shared" si="80"/>
        <v>639.30209199318563</v>
      </c>
      <c r="R289" s="11">
        <f t="shared" si="81"/>
        <v>21.729553476362859</v>
      </c>
      <c r="S289" s="6">
        <v>0</v>
      </c>
      <c r="T289" s="6">
        <v>0</v>
      </c>
      <c r="U289" s="6">
        <v>0</v>
      </c>
      <c r="V289" s="7">
        <v>0</v>
      </c>
      <c r="W289" s="9">
        <v>100</v>
      </c>
      <c r="X289" s="10">
        <f t="shared" si="89"/>
        <v>0</v>
      </c>
      <c r="Y289" s="12">
        <f t="shared" si="82"/>
        <v>639.30209199318563</v>
      </c>
      <c r="Z289" s="11">
        <f t="shared" si="83"/>
        <v>21.729553476362859</v>
      </c>
      <c r="AA289" s="6">
        <v>0</v>
      </c>
      <c r="AB289" s="6">
        <v>1</v>
      </c>
      <c r="AC289" s="6">
        <v>1</v>
      </c>
      <c r="AD289" s="7">
        <v>1</v>
      </c>
      <c r="AE289" s="9">
        <v>0</v>
      </c>
      <c r="AF289" s="10">
        <f t="shared" si="90"/>
        <v>14</v>
      </c>
      <c r="AG289" s="12">
        <f t="shared" si="84"/>
        <v>65</v>
      </c>
      <c r="AH289" s="11">
        <f t="shared" si="85"/>
        <v>4.904296875</v>
      </c>
      <c r="AJ289" s="6">
        <f t="shared" si="91"/>
        <v>1000</v>
      </c>
      <c r="AK289" s="4">
        <v>272</v>
      </c>
      <c r="AM289" s="2" t="str">
        <f t="shared" si="86"/>
        <v>0</v>
      </c>
      <c r="AN289" s="2" t="str">
        <f t="shared" si="92"/>
        <v>3E8</v>
      </c>
      <c r="AO289" s="2"/>
      <c r="AP289" s="2" t="str">
        <f t="shared" si="93"/>
        <v>03E8</v>
      </c>
    </row>
    <row r="290" spans="1:42" x14ac:dyDescent="0.2">
      <c r="A290">
        <v>273</v>
      </c>
      <c r="B290">
        <v>27.2</v>
      </c>
      <c r="C290" s="6">
        <v>0</v>
      </c>
      <c r="D290" s="6">
        <v>0</v>
      </c>
      <c r="E290" s="6">
        <v>0</v>
      </c>
      <c r="F290" s="7">
        <v>0</v>
      </c>
      <c r="G290" s="9">
        <v>100</v>
      </c>
      <c r="H290" s="10">
        <f t="shared" si="87"/>
        <v>0</v>
      </c>
      <c r="I290" s="12">
        <f t="shared" si="78"/>
        <v>639.30209199318563</v>
      </c>
      <c r="J290" s="11">
        <f t="shared" si="79"/>
        <v>21.729553476362859</v>
      </c>
      <c r="K290" s="6">
        <v>0</v>
      </c>
      <c r="L290" s="6">
        <v>0</v>
      </c>
      <c r="M290" s="6">
        <v>0</v>
      </c>
      <c r="N290" s="7">
        <v>0</v>
      </c>
      <c r="O290" s="9">
        <v>100</v>
      </c>
      <c r="P290" s="10">
        <f t="shared" si="88"/>
        <v>0</v>
      </c>
      <c r="Q290" s="12">
        <f t="shared" si="80"/>
        <v>639.30209199318563</v>
      </c>
      <c r="R290" s="11">
        <f t="shared" si="81"/>
        <v>21.729553476362859</v>
      </c>
      <c r="S290" s="6">
        <v>0</v>
      </c>
      <c r="T290" s="6">
        <v>0</v>
      </c>
      <c r="U290" s="6">
        <v>0</v>
      </c>
      <c r="V290" s="7">
        <v>0</v>
      </c>
      <c r="W290" s="9">
        <v>100</v>
      </c>
      <c r="X290" s="10">
        <f t="shared" si="89"/>
        <v>0</v>
      </c>
      <c r="Y290" s="12">
        <f t="shared" si="82"/>
        <v>639.30209199318563</v>
      </c>
      <c r="Z290" s="11">
        <f t="shared" si="83"/>
        <v>21.729553476362859</v>
      </c>
      <c r="AA290" s="6">
        <v>0</v>
      </c>
      <c r="AB290" s="6">
        <v>1</v>
      </c>
      <c r="AC290" s="6">
        <v>1</v>
      </c>
      <c r="AD290" s="7">
        <v>1</v>
      </c>
      <c r="AE290" s="9">
        <v>0</v>
      </c>
      <c r="AF290" s="10">
        <f t="shared" si="90"/>
        <v>14</v>
      </c>
      <c r="AG290" s="12">
        <f t="shared" si="84"/>
        <v>65</v>
      </c>
      <c r="AH290" s="11">
        <f t="shared" si="85"/>
        <v>4.904296875</v>
      </c>
      <c r="AJ290" s="6">
        <f t="shared" si="91"/>
        <v>1000</v>
      </c>
      <c r="AK290" s="4">
        <v>273</v>
      </c>
      <c r="AM290" s="2" t="str">
        <f t="shared" si="86"/>
        <v>0</v>
      </c>
      <c r="AN290" s="2" t="str">
        <f t="shared" si="92"/>
        <v>3E8</v>
      </c>
      <c r="AO290" s="2"/>
      <c r="AP290" s="2" t="str">
        <f t="shared" si="93"/>
        <v>03E8</v>
      </c>
    </row>
    <row r="291" spans="1:42" x14ac:dyDescent="0.2">
      <c r="A291">
        <v>274</v>
      </c>
      <c r="B291">
        <v>27.3</v>
      </c>
      <c r="C291" s="6">
        <v>0</v>
      </c>
      <c r="D291" s="6">
        <v>0</v>
      </c>
      <c r="E291" s="6">
        <v>0</v>
      </c>
      <c r="F291" s="7">
        <v>0</v>
      </c>
      <c r="G291" s="9">
        <v>100</v>
      </c>
      <c r="H291" s="10">
        <f t="shared" si="87"/>
        <v>0</v>
      </c>
      <c r="I291" s="12">
        <f t="shared" si="78"/>
        <v>639.30209199318563</v>
      </c>
      <c r="J291" s="11">
        <f t="shared" si="79"/>
        <v>21.729553476362859</v>
      </c>
      <c r="K291" s="6">
        <v>0</v>
      </c>
      <c r="L291" s="6">
        <v>0</v>
      </c>
      <c r="M291" s="6">
        <v>0</v>
      </c>
      <c r="N291" s="7">
        <v>0</v>
      </c>
      <c r="O291" s="9">
        <v>100</v>
      </c>
      <c r="P291" s="10">
        <f t="shared" si="88"/>
        <v>0</v>
      </c>
      <c r="Q291" s="12">
        <f t="shared" si="80"/>
        <v>639.30209199318563</v>
      </c>
      <c r="R291" s="11">
        <f t="shared" si="81"/>
        <v>21.729553476362859</v>
      </c>
      <c r="S291" s="6">
        <v>0</v>
      </c>
      <c r="T291" s="6">
        <v>0</v>
      </c>
      <c r="U291" s="6">
        <v>0</v>
      </c>
      <c r="V291" s="7">
        <v>0</v>
      </c>
      <c r="W291" s="9">
        <v>100</v>
      </c>
      <c r="X291" s="10">
        <f t="shared" si="89"/>
        <v>0</v>
      </c>
      <c r="Y291" s="12">
        <f t="shared" si="82"/>
        <v>639.30209199318563</v>
      </c>
      <c r="Z291" s="11">
        <f t="shared" si="83"/>
        <v>21.729553476362859</v>
      </c>
      <c r="AA291" s="6">
        <v>0</v>
      </c>
      <c r="AB291" s="6">
        <v>1</v>
      </c>
      <c r="AC291" s="6">
        <v>1</v>
      </c>
      <c r="AD291" s="7">
        <v>1</v>
      </c>
      <c r="AE291" s="9">
        <v>0</v>
      </c>
      <c r="AF291" s="10">
        <f t="shared" si="90"/>
        <v>14</v>
      </c>
      <c r="AG291" s="12">
        <f t="shared" si="84"/>
        <v>65</v>
      </c>
      <c r="AH291" s="11">
        <f t="shared" si="85"/>
        <v>4.904296875</v>
      </c>
      <c r="AJ291" s="6">
        <f t="shared" si="91"/>
        <v>1000</v>
      </c>
      <c r="AK291" s="4">
        <v>274</v>
      </c>
      <c r="AM291" s="2" t="str">
        <f t="shared" si="86"/>
        <v>0</v>
      </c>
      <c r="AN291" s="2" t="str">
        <f t="shared" si="92"/>
        <v>3E8</v>
      </c>
      <c r="AO291" s="2"/>
      <c r="AP291" s="2" t="str">
        <f t="shared" si="93"/>
        <v>03E8</v>
      </c>
    </row>
    <row r="292" spans="1:42" x14ac:dyDescent="0.2">
      <c r="A292">
        <v>275</v>
      </c>
      <c r="B292">
        <v>27.4</v>
      </c>
      <c r="C292" s="6">
        <v>0</v>
      </c>
      <c r="D292" s="6">
        <v>0</v>
      </c>
      <c r="E292" s="6">
        <v>0</v>
      </c>
      <c r="F292" s="7">
        <v>0</v>
      </c>
      <c r="G292" s="9">
        <v>100</v>
      </c>
      <c r="H292" s="10">
        <f t="shared" si="87"/>
        <v>0</v>
      </c>
      <c r="I292" s="12">
        <f t="shared" si="78"/>
        <v>639.30209199318563</v>
      </c>
      <c r="J292" s="11">
        <f t="shared" si="79"/>
        <v>21.729553476362859</v>
      </c>
      <c r="K292" s="6">
        <v>0</v>
      </c>
      <c r="L292" s="6">
        <v>0</v>
      </c>
      <c r="M292" s="6">
        <v>0</v>
      </c>
      <c r="N292" s="7">
        <v>0</v>
      </c>
      <c r="O292" s="9">
        <v>100</v>
      </c>
      <c r="P292" s="10">
        <f t="shared" si="88"/>
        <v>0</v>
      </c>
      <c r="Q292" s="12">
        <f t="shared" si="80"/>
        <v>639.30209199318563</v>
      </c>
      <c r="R292" s="11">
        <f t="shared" si="81"/>
        <v>21.729553476362859</v>
      </c>
      <c r="S292" s="6">
        <v>0</v>
      </c>
      <c r="T292" s="6">
        <v>0</v>
      </c>
      <c r="U292" s="6">
        <v>0</v>
      </c>
      <c r="V292" s="7">
        <v>0</v>
      </c>
      <c r="W292" s="9">
        <v>100</v>
      </c>
      <c r="X292" s="10">
        <f t="shared" si="89"/>
        <v>0</v>
      </c>
      <c r="Y292" s="12">
        <f t="shared" si="82"/>
        <v>639.30209199318563</v>
      </c>
      <c r="Z292" s="11">
        <f t="shared" si="83"/>
        <v>21.729553476362859</v>
      </c>
      <c r="AA292" s="6">
        <v>0</v>
      </c>
      <c r="AB292" s="6">
        <v>1</v>
      </c>
      <c r="AC292" s="6">
        <v>1</v>
      </c>
      <c r="AD292" s="7">
        <v>1</v>
      </c>
      <c r="AE292" s="9">
        <v>0</v>
      </c>
      <c r="AF292" s="10">
        <f t="shared" si="90"/>
        <v>14</v>
      </c>
      <c r="AG292" s="12">
        <f t="shared" si="84"/>
        <v>65</v>
      </c>
      <c r="AH292" s="11">
        <f t="shared" si="85"/>
        <v>4.904296875</v>
      </c>
      <c r="AJ292" s="6">
        <f t="shared" si="91"/>
        <v>1000</v>
      </c>
      <c r="AK292" s="4">
        <v>275</v>
      </c>
      <c r="AM292" s="2" t="str">
        <f t="shared" si="86"/>
        <v>0</v>
      </c>
      <c r="AN292" s="2" t="str">
        <f t="shared" si="92"/>
        <v>3E8</v>
      </c>
      <c r="AO292" s="2"/>
      <c r="AP292" s="2" t="str">
        <f t="shared" si="93"/>
        <v>03E8</v>
      </c>
    </row>
    <row r="293" spans="1:42" x14ac:dyDescent="0.2">
      <c r="A293">
        <v>276</v>
      </c>
      <c r="B293">
        <v>27.5</v>
      </c>
      <c r="C293" s="6">
        <v>0</v>
      </c>
      <c r="D293" s="6">
        <v>0</v>
      </c>
      <c r="E293" s="6">
        <v>0</v>
      </c>
      <c r="F293" s="7">
        <v>0</v>
      </c>
      <c r="G293" s="9">
        <v>100</v>
      </c>
      <c r="H293" s="10">
        <f t="shared" si="87"/>
        <v>0</v>
      </c>
      <c r="I293" s="12">
        <f t="shared" si="78"/>
        <v>639.30209199318563</v>
      </c>
      <c r="J293" s="11">
        <f t="shared" si="79"/>
        <v>21.729553476362859</v>
      </c>
      <c r="K293" s="6">
        <v>0</v>
      </c>
      <c r="L293" s="6">
        <v>0</v>
      </c>
      <c r="M293" s="6">
        <v>0</v>
      </c>
      <c r="N293" s="7">
        <v>0</v>
      </c>
      <c r="O293" s="9">
        <v>100</v>
      </c>
      <c r="P293" s="10">
        <f t="shared" si="88"/>
        <v>0</v>
      </c>
      <c r="Q293" s="12">
        <f t="shared" si="80"/>
        <v>639.30209199318563</v>
      </c>
      <c r="R293" s="11">
        <f t="shared" si="81"/>
        <v>21.729553476362859</v>
      </c>
      <c r="S293" s="6">
        <v>0</v>
      </c>
      <c r="T293" s="6">
        <v>0</v>
      </c>
      <c r="U293" s="6">
        <v>0</v>
      </c>
      <c r="V293" s="7">
        <v>0</v>
      </c>
      <c r="W293" s="9">
        <v>100</v>
      </c>
      <c r="X293" s="10">
        <f t="shared" si="89"/>
        <v>0</v>
      </c>
      <c r="Y293" s="12">
        <f t="shared" si="82"/>
        <v>639.30209199318563</v>
      </c>
      <c r="Z293" s="11">
        <f t="shared" si="83"/>
        <v>21.729553476362859</v>
      </c>
      <c r="AA293" s="6">
        <v>0</v>
      </c>
      <c r="AB293" s="6">
        <v>1</v>
      </c>
      <c r="AC293" s="6">
        <v>1</v>
      </c>
      <c r="AD293" s="7">
        <v>1</v>
      </c>
      <c r="AE293" s="9">
        <v>0</v>
      </c>
      <c r="AF293" s="10">
        <f t="shared" si="90"/>
        <v>14</v>
      </c>
      <c r="AG293" s="12">
        <f t="shared" si="84"/>
        <v>65</v>
      </c>
      <c r="AH293" s="11">
        <f t="shared" si="85"/>
        <v>4.904296875</v>
      </c>
      <c r="AJ293" s="6">
        <f t="shared" si="91"/>
        <v>1000</v>
      </c>
      <c r="AK293" s="4">
        <v>276</v>
      </c>
      <c r="AM293" s="2" t="str">
        <f t="shared" si="86"/>
        <v>0</v>
      </c>
      <c r="AN293" s="2" t="str">
        <f t="shared" si="92"/>
        <v>3E8</v>
      </c>
      <c r="AO293" s="2"/>
      <c r="AP293" s="2" t="str">
        <f t="shared" si="93"/>
        <v>03E8</v>
      </c>
    </row>
    <row r="294" spans="1:42" x14ac:dyDescent="0.2">
      <c r="A294">
        <v>277</v>
      </c>
      <c r="B294">
        <v>27.6</v>
      </c>
      <c r="C294" s="6">
        <v>0</v>
      </c>
      <c r="D294" s="6">
        <v>0</v>
      </c>
      <c r="E294" s="6">
        <v>0</v>
      </c>
      <c r="F294" s="7">
        <v>0</v>
      </c>
      <c r="G294" s="9">
        <v>100</v>
      </c>
      <c r="H294" s="10">
        <f t="shared" si="87"/>
        <v>0</v>
      </c>
      <c r="I294" s="12">
        <f t="shared" si="78"/>
        <v>639.30209199318563</v>
      </c>
      <c r="J294" s="11">
        <f t="shared" si="79"/>
        <v>21.729553476362859</v>
      </c>
      <c r="K294" s="6">
        <v>0</v>
      </c>
      <c r="L294" s="6">
        <v>0</v>
      </c>
      <c r="M294" s="6">
        <v>0</v>
      </c>
      <c r="N294" s="7">
        <v>0</v>
      </c>
      <c r="O294" s="9">
        <v>100</v>
      </c>
      <c r="P294" s="10">
        <f t="shared" si="88"/>
        <v>0</v>
      </c>
      <c r="Q294" s="12">
        <f t="shared" si="80"/>
        <v>639.30209199318563</v>
      </c>
      <c r="R294" s="11">
        <f t="shared" si="81"/>
        <v>21.729553476362859</v>
      </c>
      <c r="S294" s="6">
        <v>0</v>
      </c>
      <c r="T294" s="6">
        <v>0</v>
      </c>
      <c r="U294" s="6">
        <v>0</v>
      </c>
      <c r="V294" s="7">
        <v>0</v>
      </c>
      <c r="W294" s="9">
        <v>100</v>
      </c>
      <c r="X294" s="10">
        <f t="shared" si="89"/>
        <v>0</v>
      </c>
      <c r="Y294" s="12">
        <f t="shared" si="82"/>
        <v>639.30209199318563</v>
      </c>
      <c r="Z294" s="11">
        <f t="shared" si="83"/>
        <v>21.729553476362859</v>
      </c>
      <c r="AA294" s="6">
        <v>0</v>
      </c>
      <c r="AB294" s="6">
        <v>1</v>
      </c>
      <c r="AC294" s="6">
        <v>1</v>
      </c>
      <c r="AD294" s="7">
        <v>1</v>
      </c>
      <c r="AE294" s="9">
        <v>0</v>
      </c>
      <c r="AF294" s="10">
        <f t="shared" si="90"/>
        <v>14</v>
      </c>
      <c r="AG294" s="12">
        <f t="shared" si="84"/>
        <v>65</v>
      </c>
      <c r="AH294" s="11">
        <f t="shared" si="85"/>
        <v>4.904296875</v>
      </c>
      <c r="AJ294" s="6">
        <f t="shared" si="91"/>
        <v>1000</v>
      </c>
      <c r="AK294" s="4">
        <v>277</v>
      </c>
      <c r="AM294" s="2" t="str">
        <f t="shared" si="86"/>
        <v>0</v>
      </c>
      <c r="AN294" s="2" t="str">
        <f t="shared" si="92"/>
        <v>3E8</v>
      </c>
      <c r="AO294" s="2"/>
      <c r="AP294" s="2" t="str">
        <f t="shared" si="93"/>
        <v>03E8</v>
      </c>
    </row>
    <row r="295" spans="1:42" x14ac:dyDescent="0.2">
      <c r="A295">
        <v>278</v>
      </c>
      <c r="B295">
        <v>27.7</v>
      </c>
      <c r="C295" s="6">
        <v>0</v>
      </c>
      <c r="D295" s="6">
        <v>0</v>
      </c>
      <c r="E295" s="6">
        <v>0</v>
      </c>
      <c r="F295" s="7">
        <v>0</v>
      </c>
      <c r="G295" s="9">
        <v>100</v>
      </c>
      <c r="H295" s="10">
        <f t="shared" si="87"/>
        <v>0</v>
      </c>
      <c r="I295" s="12">
        <f t="shared" si="78"/>
        <v>639.30209199318563</v>
      </c>
      <c r="J295" s="11">
        <f t="shared" si="79"/>
        <v>21.729553476362859</v>
      </c>
      <c r="K295" s="6">
        <v>0</v>
      </c>
      <c r="L295" s="6">
        <v>0</v>
      </c>
      <c r="M295" s="6">
        <v>0</v>
      </c>
      <c r="N295" s="7">
        <v>0</v>
      </c>
      <c r="O295" s="9">
        <v>100</v>
      </c>
      <c r="P295" s="10">
        <f t="shared" si="88"/>
        <v>0</v>
      </c>
      <c r="Q295" s="12">
        <f t="shared" si="80"/>
        <v>639.30209199318563</v>
      </c>
      <c r="R295" s="11">
        <f t="shared" si="81"/>
        <v>21.729553476362859</v>
      </c>
      <c r="S295" s="6">
        <v>0</v>
      </c>
      <c r="T295" s="6">
        <v>0</v>
      </c>
      <c r="U295" s="6">
        <v>0</v>
      </c>
      <c r="V295" s="7">
        <v>0</v>
      </c>
      <c r="W295" s="9">
        <v>100</v>
      </c>
      <c r="X295" s="10">
        <f t="shared" si="89"/>
        <v>0</v>
      </c>
      <c r="Y295" s="12">
        <f t="shared" si="82"/>
        <v>639.30209199318563</v>
      </c>
      <c r="Z295" s="11">
        <f t="shared" si="83"/>
        <v>21.729553476362859</v>
      </c>
      <c r="AA295" s="6">
        <v>0</v>
      </c>
      <c r="AB295" s="6">
        <v>1</v>
      </c>
      <c r="AC295" s="6">
        <v>1</v>
      </c>
      <c r="AD295" s="7">
        <v>1</v>
      </c>
      <c r="AE295" s="9">
        <v>0</v>
      </c>
      <c r="AF295" s="10">
        <f t="shared" si="90"/>
        <v>14</v>
      </c>
      <c r="AG295" s="12">
        <f t="shared" si="84"/>
        <v>65</v>
      </c>
      <c r="AH295" s="11">
        <f t="shared" si="85"/>
        <v>4.904296875</v>
      </c>
      <c r="AJ295" s="6">
        <f t="shared" si="91"/>
        <v>1000</v>
      </c>
      <c r="AK295" s="4">
        <v>278</v>
      </c>
      <c r="AM295" s="2" t="str">
        <f t="shared" si="86"/>
        <v>0</v>
      </c>
      <c r="AN295" s="2" t="str">
        <f t="shared" si="92"/>
        <v>3E8</v>
      </c>
      <c r="AO295" s="2"/>
      <c r="AP295" s="2" t="str">
        <f t="shared" si="93"/>
        <v>03E8</v>
      </c>
    </row>
    <row r="296" spans="1:42" x14ac:dyDescent="0.2">
      <c r="A296">
        <v>279</v>
      </c>
      <c r="B296">
        <v>27.8</v>
      </c>
      <c r="C296" s="6">
        <v>0</v>
      </c>
      <c r="D296" s="6">
        <v>0</v>
      </c>
      <c r="E296" s="6">
        <v>0</v>
      </c>
      <c r="F296" s="7">
        <v>0</v>
      </c>
      <c r="G296" s="9">
        <v>100</v>
      </c>
      <c r="H296" s="10">
        <f t="shared" si="87"/>
        <v>0</v>
      </c>
      <c r="I296" s="12">
        <f t="shared" si="78"/>
        <v>639.30209199318563</v>
      </c>
      <c r="J296" s="11">
        <f t="shared" si="79"/>
        <v>21.729553476362859</v>
      </c>
      <c r="K296" s="6">
        <v>0</v>
      </c>
      <c r="L296" s="6">
        <v>0</v>
      </c>
      <c r="M296" s="6">
        <v>0</v>
      </c>
      <c r="N296" s="7">
        <v>0</v>
      </c>
      <c r="O296" s="9">
        <v>100</v>
      </c>
      <c r="P296" s="10">
        <f t="shared" si="88"/>
        <v>0</v>
      </c>
      <c r="Q296" s="12">
        <f t="shared" si="80"/>
        <v>639.30209199318563</v>
      </c>
      <c r="R296" s="11">
        <f t="shared" si="81"/>
        <v>21.729553476362859</v>
      </c>
      <c r="S296" s="6">
        <v>0</v>
      </c>
      <c r="T296" s="6">
        <v>0</v>
      </c>
      <c r="U296" s="6">
        <v>0</v>
      </c>
      <c r="V296" s="7">
        <v>0</v>
      </c>
      <c r="W296" s="9">
        <v>100</v>
      </c>
      <c r="X296" s="10">
        <f t="shared" si="89"/>
        <v>0</v>
      </c>
      <c r="Y296" s="12">
        <f t="shared" si="82"/>
        <v>639.30209199318563</v>
      </c>
      <c r="Z296" s="11">
        <f t="shared" si="83"/>
        <v>21.729553476362859</v>
      </c>
      <c r="AA296" s="6">
        <v>0</v>
      </c>
      <c r="AB296" s="6">
        <v>1</v>
      </c>
      <c r="AC296" s="6">
        <v>1</v>
      </c>
      <c r="AD296" s="7">
        <v>1</v>
      </c>
      <c r="AE296" s="9">
        <v>0</v>
      </c>
      <c r="AF296" s="10">
        <f t="shared" si="90"/>
        <v>14</v>
      </c>
      <c r="AG296" s="12">
        <f t="shared" si="84"/>
        <v>65</v>
      </c>
      <c r="AH296" s="11">
        <f t="shared" si="85"/>
        <v>4.904296875</v>
      </c>
      <c r="AJ296" s="6">
        <f t="shared" si="91"/>
        <v>1000</v>
      </c>
      <c r="AK296" s="4">
        <v>279</v>
      </c>
      <c r="AM296" s="2" t="str">
        <f t="shared" si="86"/>
        <v>0</v>
      </c>
      <c r="AN296" s="2" t="str">
        <f t="shared" si="92"/>
        <v>3E8</v>
      </c>
      <c r="AO296" s="2"/>
      <c r="AP296" s="2" t="str">
        <f t="shared" si="93"/>
        <v>03E8</v>
      </c>
    </row>
    <row r="297" spans="1:42" x14ac:dyDescent="0.2">
      <c r="A297">
        <v>280</v>
      </c>
      <c r="B297">
        <v>27.9</v>
      </c>
      <c r="C297" s="6">
        <v>0</v>
      </c>
      <c r="D297" s="6">
        <v>0</v>
      </c>
      <c r="E297" s="6">
        <v>0</v>
      </c>
      <c r="F297" s="7">
        <v>0</v>
      </c>
      <c r="G297" s="9">
        <v>100</v>
      </c>
      <c r="H297" s="10">
        <f t="shared" si="87"/>
        <v>0</v>
      </c>
      <c r="I297" s="12">
        <f t="shared" si="78"/>
        <v>639.30209199318563</v>
      </c>
      <c r="J297" s="11">
        <f t="shared" si="79"/>
        <v>21.729553476362859</v>
      </c>
      <c r="K297" s="6">
        <v>0</v>
      </c>
      <c r="L297" s="6">
        <v>0</v>
      </c>
      <c r="M297" s="6">
        <v>0</v>
      </c>
      <c r="N297" s="7">
        <v>0</v>
      </c>
      <c r="O297" s="9">
        <v>100</v>
      </c>
      <c r="P297" s="10">
        <f t="shared" si="88"/>
        <v>0</v>
      </c>
      <c r="Q297" s="12">
        <f t="shared" si="80"/>
        <v>639.30209199318563</v>
      </c>
      <c r="R297" s="11">
        <f t="shared" si="81"/>
        <v>21.729553476362859</v>
      </c>
      <c r="S297" s="6">
        <v>0</v>
      </c>
      <c r="T297" s="6">
        <v>0</v>
      </c>
      <c r="U297" s="6">
        <v>0</v>
      </c>
      <c r="V297" s="7">
        <v>0</v>
      </c>
      <c r="W297" s="9">
        <v>100</v>
      </c>
      <c r="X297" s="10">
        <f t="shared" si="89"/>
        <v>0</v>
      </c>
      <c r="Y297" s="12">
        <f t="shared" si="82"/>
        <v>639.30209199318563</v>
      </c>
      <c r="Z297" s="11">
        <f t="shared" si="83"/>
        <v>21.729553476362859</v>
      </c>
      <c r="AA297" s="6">
        <v>0</v>
      </c>
      <c r="AB297" s="6">
        <v>1</v>
      </c>
      <c r="AC297" s="6">
        <v>1</v>
      </c>
      <c r="AD297" s="7">
        <v>1</v>
      </c>
      <c r="AE297" s="9">
        <v>0</v>
      </c>
      <c r="AF297" s="10">
        <f t="shared" si="90"/>
        <v>14</v>
      </c>
      <c r="AG297" s="12">
        <f t="shared" si="84"/>
        <v>65</v>
      </c>
      <c r="AH297" s="11">
        <f t="shared" si="85"/>
        <v>4.904296875</v>
      </c>
      <c r="AJ297" s="6">
        <f t="shared" si="91"/>
        <v>1000</v>
      </c>
      <c r="AK297" s="4">
        <v>280</v>
      </c>
      <c r="AM297" s="2" t="str">
        <f t="shared" si="86"/>
        <v>0</v>
      </c>
      <c r="AN297" s="2" t="str">
        <f t="shared" si="92"/>
        <v>3E8</v>
      </c>
      <c r="AO297" s="2"/>
      <c r="AP297" s="2" t="str">
        <f t="shared" si="93"/>
        <v>03E8</v>
      </c>
    </row>
    <row r="298" spans="1:42" x14ac:dyDescent="0.2">
      <c r="A298">
        <v>281</v>
      </c>
      <c r="B298">
        <v>28</v>
      </c>
      <c r="C298" s="6">
        <v>0</v>
      </c>
      <c r="D298" s="6">
        <v>0</v>
      </c>
      <c r="E298" s="6">
        <v>0</v>
      </c>
      <c r="F298" s="7">
        <v>0</v>
      </c>
      <c r="G298" s="9">
        <v>100</v>
      </c>
      <c r="H298" s="10">
        <f t="shared" si="87"/>
        <v>0</v>
      </c>
      <c r="I298" s="12">
        <f t="shared" si="78"/>
        <v>639.30209199318563</v>
      </c>
      <c r="J298" s="11">
        <f t="shared" si="79"/>
        <v>21.729553476362859</v>
      </c>
      <c r="K298" s="6">
        <v>0</v>
      </c>
      <c r="L298" s="6">
        <v>0</v>
      </c>
      <c r="M298" s="6">
        <v>0</v>
      </c>
      <c r="N298" s="7">
        <v>0</v>
      </c>
      <c r="O298" s="9">
        <v>100</v>
      </c>
      <c r="P298" s="10">
        <f t="shared" si="88"/>
        <v>0</v>
      </c>
      <c r="Q298" s="12">
        <f t="shared" si="80"/>
        <v>639.30209199318563</v>
      </c>
      <c r="R298" s="11">
        <f t="shared" si="81"/>
        <v>21.729553476362859</v>
      </c>
      <c r="S298" s="6">
        <v>0</v>
      </c>
      <c r="T298" s="6">
        <v>0</v>
      </c>
      <c r="U298" s="6">
        <v>0</v>
      </c>
      <c r="V298" s="7">
        <v>0</v>
      </c>
      <c r="W298" s="9">
        <v>100</v>
      </c>
      <c r="X298" s="10">
        <f t="shared" si="89"/>
        <v>0</v>
      </c>
      <c r="Y298" s="12">
        <f t="shared" si="82"/>
        <v>639.30209199318563</v>
      </c>
      <c r="Z298" s="11">
        <f t="shared" si="83"/>
        <v>21.729553476362859</v>
      </c>
      <c r="AA298" s="6">
        <v>0</v>
      </c>
      <c r="AB298" s="6">
        <v>1</v>
      </c>
      <c r="AC298" s="6">
        <v>1</v>
      </c>
      <c r="AD298" s="7">
        <v>1</v>
      </c>
      <c r="AE298" s="9">
        <v>0</v>
      </c>
      <c r="AF298" s="10">
        <f t="shared" si="90"/>
        <v>14</v>
      </c>
      <c r="AG298" s="12">
        <f t="shared" si="84"/>
        <v>65</v>
      </c>
      <c r="AH298" s="11">
        <f t="shared" si="85"/>
        <v>4.904296875</v>
      </c>
      <c r="AJ298" s="6">
        <f t="shared" si="91"/>
        <v>1000</v>
      </c>
      <c r="AK298" s="4">
        <v>281</v>
      </c>
      <c r="AM298" s="2" t="str">
        <f t="shared" si="86"/>
        <v>0</v>
      </c>
      <c r="AN298" s="2" t="str">
        <f t="shared" si="92"/>
        <v>3E8</v>
      </c>
      <c r="AO298" s="2"/>
      <c r="AP298" s="2" t="str">
        <f t="shared" si="93"/>
        <v>03E8</v>
      </c>
    </row>
    <row r="299" spans="1:42" x14ac:dyDescent="0.2">
      <c r="A299">
        <v>282</v>
      </c>
      <c r="B299">
        <v>28.1</v>
      </c>
      <c r="C299" s="6">
        <v>0</v>
      </c>
      <c r="D299" s="6">
        <v>0</v>
      </c>
      <c r="E299" s="6">
        <v>0</v>
      </c>
      <c r="F299" s="7">
        <v>0</v>
      </c>
      <c r="G299" s="9">
        <v>100</v>
      </c>
      <c r="H299" s="10">
        <f t="shared" si="87"/>
        <v>0</v>
      </c>
      <c r="I299" s="12">
        <f t="shared" si="78"/>
        <v>639.30209199318563</v>
      </c>
      <c r="J299" s="11">
        <f t="shared" si="79"/>
        <v>21.729553476362859</v>
      </c>
      <c r="K299" s="6">
        <v>0</v>
      </c>
      <c r="L299" s="6">
        <v>0</v>
      </c>
      <c r="M299" s="6">
        <v>0</v>
      </c>
      <c r="N299" s="7">
        <v>0</v>
      </c>
      <c r="O299" s="9">
        <v>100</v>
      </c>
      <c r="P299" s="10">
        <f t="shared" si="88"/>
        <v>0</v>
      </c>
      <c r="Q299" s="12">
        <f t="shared" si="80"/>
        <v>639.30209199318563</v>
      </c>
      <c r="R299" s="11">
        <f t="shared" si="81"/>
        <v>21.729553476362859</v>
      </c>
      <c r="S299" s="6">
        <v>0</v>
      </c>
      <c r="T299" s="6">
        <v>0</v>
      </c>
      <c r="U299" s="6">
        <v>0</v>
      </c>
      <c r="V299" s="7">
        <v>0</v>
      </c>
      <c r="W299" s="9">
        <v>100</v>
      </c>
      <c r="X299" s="10">
        <f t="shared" si="89"/>
        <v>0</v>
      </c>
      <c r="Y299" s="12">
        <f t="shared" si="82"/>
        <v>639.30209199318563</v>
      </c>
      <c r="Z299" s="11">
        <f t="shared" si="83"/>
        <v>21.729553476362859</v>
      </c>
      <c r="AA299" s="6">
        <v>0</v>
      </c>
      <c r="AB299" s="6">
        <v>1</v>
      </c>
      <c r="AC299" s="6">
        <v>1</v>
      </c>
      <c r="AD299" s="7">
        <v>1</v>
      </c>
      <c r="AE299" s="9">
        <v>0</v>
      </c>
      <c r="AF299" s="10">
        <f t="shared" si="90"/>
        <v>14</v>
      </c>
      <c r="AG299" s="12">
        <f t="shared" si="84"/>
        <v>65</v>
      </c>
      <c r="AH299" s="11">
        <f t="shared" si="85"/>
        <v>4.904296875</v>
      </c>
      <c r="AJ299" s="6">
        <f t="shared" si="91"/>
        <v>1000</v>
      </c>
      <c r="AK299" s="4">
        <v>282</v>
      </c>
      <c r="AM299" s="2" t="str">
        <f t="shared" si="86"/>
        <v>0</v>
      </c>
      <c r="AN299" s="2" t="str">
        <f t="shared" si="92"/>
        <v>3E8</v>
      </c>
      <c r="AO299" s="2"/>
      <c r="AP299" s="2" t="str">
        <f t="shared" si="93"/>
        <v>03E8</v>
      </c>
    </row>
    <row r="300" spans="1:42" x14ac:dyDescent="0.2">
      <c r="A300">
        <v>283</v>
      </c>
      <c r="B300">
        <v>28.2</v>
      </c>
      <c r="C300" s="6">
        <v>0</v>
      </c>
      <c r="D300" s="6">
        <v>0</v>
      </c>
      <c r="E300" s="6">
        <v>0</v>
      </c>
      <c r="F300" s="7">
        <v>0</v>
      </c>
      <c r="G300" s="9">
        <v>100</v>
      </c>
      <c r="H300" s="10">
        <f t="shared" si="87"/>
        <v>0</v>
      </c>
      <c r="I300" s="12">
        <f t="shared" si="78"/>
        <v>639.30209199318563</v>
      </c>
      <c r="J300" s="11">
        <f t="shared" si="79"/>
        <v>21.729553476362859</v>
      </c>
      <c r="K300" s="6">
        <v>0</v>
      </c>
      <c r="L300" s="6">
        <v>0</v>
      </c>
      <c r="M300" s="6">
        <v>0</v>
      </c>
      <c r="N300" s="7">
        <v>0</v>
      </c>
      <c r="O300" s="9">
        <v>100</v>
      </c>
      <c r="P300" s="10">
        <f t="shared" si="88"/>
        <v>0</v>
      </c>
      <c r="Q300" s="12">
        <f t="shared" si="80"/>
        <v>639.30209199318563</v>
      </c>
      <c r="R300" s="11">
        <f t="shared" si="81"/>
        <v>21.729553476362859</v>
      </c>
      <c r="S300" s="6">
        <v>0</v>
      </c>
      <c r="T300" s="6">
        <v>0</v>
      </c>
      <c r="U300" s="6">
        <v>0</v>
      </c>
      <c r="V300" s="7">
        <v>0</v>
      </c>
      <c r="W300" s="9">
        <v>100</v>
      </c>
      <c r="X300" s="10">
        <f t="shared" si="89"/>
        <v>0</v>
      </c>
      <c r="Y300" s="12">
        <f t="shared" si="82"/>
        <v>639.30209199318563</v>
      </c>
      <c r="Z300" s="11">
        <f t="shared" si="83"/>
        <v>21.729553476362859</v>
      </c>
      <c r="AA300" s="6">
        <v>0</v>
      </c>
      <c r="AB300" s="6">
        <v>1</v>
      </c>
      <c r="AC300" s="6">
        <v>1</v>
      </c>
      <c r="AD300" s="7">
        <v>1</v>
      </c>
      <c r="AE300" s="9">
        <v>0</v>
      </c>
      <c r="AF300" s="10">
        <f t="shared" si="90"/>
        <v>14</v>
      </c>
      <c r="AG300" s="12">
        <f t="shared" si="84"/>
        <v>65</v>
      </c>
      <c r="AH300" s="11">
        <f t="shared" si="85"/>
        <v>4.904296875</v>
      </c>
      <c r="AJ300" s="6">
        <f t="shared" si="91"/>
        <v>1000</v>
      </c>
      <c r="AK300" s="4">
        <v>283</v>
      </c>
      <c r="AM300" s="2" t="str">
        <f t="shared" si="86"/>
        <v>0</v>
      </c>
      <c r="AN300" s="2" t="str">
        <f t="shared" si="92"/>
        <v>3E8</v>
      </c>
      <c r="AO300" s="2"/>
      <c r="AP300" s="2" t="str">
        <f t="shared" si="93"/>
        <v>03E8</v>
      </c>
    </row>
    <row r="301" spans="1:42" x14ac:dyDescent="0.2">
      <c r="A301">
        <v>284</v>
      </c>
      <c r="B301">
        <v>28.3</v>
      </c>
      <c r="C301" s="6">
        <v>0</v>
      </c>
      <c r="D301" s="6">
        <v>0</v>
      </c>
      <c r="E301" s="6">
        <v>0</v>
      </c>
      <c r="F301" s="7">
        <v>0</v>
      </c>
      <c r="G301" s="9">
        <v>100</v>
      </c>
      <c r="H301" s="10">
        <f t="shared" si="87"/>
        <v>0</v>
      </c>
      <c r="I301" s="12">
        <f t="shared" si="78"/>
        <v>639.30209199318563</v>
      </c>
      <c r="J301" s="11">
        <f t="shared" si="79"/>
        <v>21.729553476362859</v>
      </c>
      <c r="K301" s="6">
        <v>0</v>
      </c>
      <c r="L301" s="6">
        <v>0</v>
      </c>
      <c r="M301" s="6">
        <v>0</v>
      </c>
      <c r="N301" s="7">
        <v>0</v>
      </c>
      <c r="O301" s="9">
        <v>100</v>
      </c>
      <c r="P301" s="10">
        <f t="shared" si="88"/>
        <v>0</v>
      </c>
      <c r="Q301" s="12">
        <f t="shared" si="80"/>
        <v>639.30209199318563</v>
      </c>
      <c r="R301" s="11">
        <f t="shared" si="81"/>
        <v>21.729553476362859</v>
      </c>
      <c r="S301" s="6">
        <v>0</v>
      </c>
      <c r="T301" s="6">
        <v>0</v>
      </c>
      <c r="U301" s="6">
        <v>0</v>
      </c>
      <c r="V301" s="7">
        <v>0</v>
      </c>
      <c r="W301" s="9">
        <v>100</v>
      </c>
      <c r="X301" s="10">
        <f t="shared" si="89"/>
        <v>0</v>
      </c>
      <c r="Y301" s="12">
        <f t="shared" si="82"/>
        <v>639.30209199318563</v>
      </c>
      <c r="Z301" s="11">
        <f t="shared" si="83"/>
        <v>21.729553476362859</v>
      </c>
      <c r="AA301" s="6">
        <v>0</v>
      </c>
      <c r="AB301" s="6">
        <v>1</v>
      </c>
      <c r="AC301" s="6">
        <v>1</v>
      </c>
      <c r="AD301" s="7">
        <v>1</v>
      </c>
      <c r="AE301" s="9">
        <v>0</v>
      </c>
      <c r="AF301" s="10">
        <f t="shared" si="90"/>
        <v>14</v>
      </c>
      <c r="AG301" s="12">
        <f t="shared" si="84"/>
        <v>65</v>
      </c>
      <c r="AH301" s="11">
        <f t="shared" si="85"/>
        <v>4.904296875</v>
      </c>
      <c r="AJ301" s="6">
        <f t="shared" si="91"/>
        <v>1000</v>
      </c>
      <c r="AK301" s="4">
        <v>284</v>
      </c>
      <c r="AM301" s="2" t="str">
        <f t="shared" si="86"/>
        <v>0</v>
      </c>
      <c r="AN301" s="2" t="str">
        <f t="shared" si="92"/>
        <v>3E8</v>
      </c>
      <c r="AO301" s="2"/>
      <c r="AP301" s="2" t="str">
        <f t="shared" si="93"/>
        <v>03E8</v>
      </c>
    </row>
    <row r="302" spans="1:42" x14ac:dyDescent="0.2">
      <c r="A302">
        <v>285</v>
      </c>
      <c r="B302">
        <v>28.4</v>
      </c>
      <c r="C302" s="6">
        <v>0</v>
      </c>
      <c r="D302" s="6">
        <v>0</v>
      </c>
      <c r="E302" s="6">
        <v>0</v>
      </c>
      <c r="F302" s="7">
        <v>0</v>
      </c>
      <c r="G302" s="9">
        <v>100</v>
      </c>
      <c r="H302" s="10">
        <f t="shared" si="87"/>
        <v>0</v>
      </c>
      <c r="I302" s="12">
        <f t="shared" si="78"/>
        <v>639.30209199318563</v>
      </c>
      <c r="J302" s="11">
        <f t="shared" si="79"/>
        <v>21.729553476362859</v>
      </c>
      <c r="K302" s="6">
        <v>0</v>
      </c>
      <c r="L302" s="6">
        <v>0</v>
      </c>
      <c r="M302" s="6">
        <v>0</v>
      </c>
      <c r="N302" s="7">
        <v>0</v>
      </c>
      <c r="O302" s="9">
        <v>100</v>
      </c>
      <c r="P302" s="10">
        <f t="shared" si="88"/>
        <v>0</v>
      </c>
      <c r="Q302" s="12">
        <f t="shared" si="80"/>
        <v>639.30209199318563</v>
      </c>
      <c r="R302" s="11">
        <f t="shared" si="81"/>
        <v>21.729553476362859</v>
      </c>
      <c r="S302" s="6">
        <v>0</v>
      </c>
      <c r="T302" s="6">
        <v>0</v>
      </c>
      <c r="U302" s="6">
        <v>0</v>
      </c>
      <c r="V302" s="7">
        <v>0</v>
      </c>
      <c r="W302" s="9">
        <v>100</v>
      </c>
      <c r="X302" s="10">
        <f t="shared" si="89"/>
        <v>0</v>
      </c>
      <c r="Y302" s="12">
        <f t="shared" si="82"/>
        <v>639.30209199318563</v>
      </c>
      <c r="Z302" s="11">
        <f t="shared" si="83"/>
        <v>21.729553476362859</v>
      </c>
      <c r="AA302" s="6">
        <v>0</v>
      </c>
      <c r="AB302" s="6">
        <v>1</v>
      </c>
      <c r="AC302" s="6">
        <v>1</v>
      </c>
      <c r="AD302" s="7">
        <v>1</v>
      </c>
      <c r="AE302" s="9">
        <v>0</v>
      </c>
      <c r="AF302" s="10">
        <f t="shared" si="90"/>
        <v>14</v>
      </c>
      <c r="AG302" s="12">
        <f t="shared" si="84"/>
        <v>65</v>
      </c>
      <c r="AH302" s="11">
        <f t="shared" si="85"/>
        <v>4.904296875</v>
      </c>
      <c r="AJ302" s="6">
        <f t="shared" si="91"/>
        <v>1000</v>
      </c>
      <c r="AK302" s="4">
        <v>285</v>
      </c>
      <c r="AM302" s="2" t="str">
        <f t="shared" si="86"/>
        <v>0</v>
      </c>
      <c r="AN302" s="2" t="str">
        <f t="shared" si="92"/>
        <v>3E8</v>
      </c>
      <c r="AO302" s="2"/>
      <c r="AP302" s="2" t="str">
        <f t="shared" si="93"/>
        <v>03E8</v>
      </c>
    </row>
    <row r="303" spans="1:42" x14ac:dyDescent="0.2">
      <c r="A303">
        <v>286</v>
      </c>
      <c r="B303">
        <v>28.5</v>
      </c>
      <c r="C303" s="6">
        <v>0</v>
      </c>
      <c r="D303" s="6">
        <v>0</v>
      </c>
      <c r="E303" s="6">
        <v>0</v>
      </c>
      <c r="F303" s="7">
        <v>0</v>
      </c>
      <c r="G303" s="9">
        <v>100</v>
      </c>
      <c r="H303" s="10">
        <f t="shared" si="87"/>
        <v>0</v>
      </c>
      <c r="I303" s="12">
        <f t="shared" si="78"/>
        <v>639.30209199318563</v>
      </c>
      <c r="J303" s="11">
        <f t="shared" si="79"/>
        <v>21.729553476362859</v>
      </c>
      <c r="K303" s="6">
        <v>0</v>
      </c>
      <c r="L303" s="6">
        <v>0</v>
      </c>
      <c r="M303" s="6">
        <v>0</v>
      </c>
      <c r="N303" s="7">
        <v>0</v>
      </c>
      <c r="O303" s="9">
        <v>100</v>
      </c>
      <c r="P303" s="10">
        <f t="shared" si="88"/>
        <v>0</v>
      </c>
      <c r="Q303" s="12">
        <f t="shared" si="80"/>
        <v>639.30209199318563</v>
      </c>
      <c r="R303" s="11">
        <f t="shared" si="81"/>
        <v>21.729553476362859</v>
      </c>
      <c r="S303" s="6">
        <v>0</v>
      </c>
      <c r="T303" s="6">
        <v>0</v>
      </c>
      <c r="U303" s="6">
        <v>0</v>
      </c>
      <c r="V303" s="7">
        <v>0</v>
      </c>
      <c r="W303" s="9">
        <v>100</v>
      </c>
      <c r="X303" s="10">
        <f t="shared" si="89"/>
        <v>0</v>
      </c>
      <c r="Y303" s="12">
        <f t="shared" si="82"/>
        <v>639.30209199318563</v>
      </c>
      <c r="Z303" s="11">
        <f t="shared" si="83"/>
        <v>21.729553476362859</v>
      </c>
      <c r="AA303" s="6">
        <v>0</v>
      </c>
      <c r="AB303" s="6">
        <v>1</v>
      </c>
      <c r="AC303" s="6">
        <v>1</v>
      </c>
      <c r="AD303" s="7">
        <v>1</v>
      </c>
      <c r="AE303" s="9">
        <v>0</v>
      </c>
      <c r="AF303" s="10">
        <f t="shared" si="90"/>
        <v>14</v>
      </c>
      <c r="AG303" s="12">
        <f t="shared" si="84"/>
        <v>65</v>
      </c>
      <c r="AH303" s="11">
        <f t="shared" si="85"/>
        <v>4.904296875</v>
      </c>
      <c r="AJ303" s="6">
        <f t="shared" si="91"/>
        <v>1000</v>
      </c>
      <c r="AK303" s="4">
        <v>286</v>
      </c>
      <c r="AM303" s="2" t="str">
        <f t="shared" si="86"/>
        <v>0</v>
      </c>
      <c r="AN303" s="2" t="str">
        <f t="shared" si="92"/>
        <v>3E8</v>
      </c>
      <c r="AO303" s="2"/>
      <c r="AP303" s="2" t="str">
        <f t="shared" si="93"/>
        <v>03E8</v>
      </c>
    </row>
    <row r="304" spans="1:42" x14ac:dyDescent="0.2">
      <c r="A304">
        <v>287</v>
      </c>
      <c r="B304">
        <v>28.6</v>
      </c>
      <c r="C304" s="6">
        <v>0</v>
      </c>
      <c r="D304" s="6">
        <v>0</v>
      </c>
      <c r="E304" s="6">
        <v>0</v>
      </c>
      <c r="F304" s="7">
        <v>0</v>
      </c>
      <c r="G304" s="9">
        <v>100</v>
      </c>
      <c r="H304" s="10">
        <f t="shared" si="87"/>
        <v>0</v>
      </c>
      <c r="I304" s="12">
        <f t="shared" si="78"/>
        <v>639.30209199318563</v>
      </c>
      <c r="J304" s="11">
        <f t="shared" si="79"/>
        <v>21.729553476362859</v>
      </c>
      <c r="K304" s="6">
        <v>0</v>
      </c>
      <c r="L304" s="6">
        <v>0</v>
      </c>
      <c r="M304" s="6">
        <v>0</v>
      </c>
      <c r="N304" s="7">
        <v>0</v>
      </c>
      <c r="O304" s="9">
        <v>100</v>
      </c>
      <c r="P304" s="10">
        <f t="shared" si="88"/>
        <v>0</v>
      </c>
      <c r="Q304" s="12">
        <f t="shared" si="80"/>
        <v>639.30209199318563</v>
      </c>
      <c r="R304" s="11">
        <f t="shared" si="81"/>
        <v>21.729553476362859</v>
      </c>
      <c r="S304" s="6">
        <v>0</v>
      </c>
      <c r="T304" s="6">
        <v>0</v>
      </c>
      <c r="U304" s="6">
        <v>0</v>
      </c>
      <c r="V304" s="7">
        <v>0</v>
      </c>
      <c r="W304" s="9">
        <v>100</v>
      </c>
      <c r="X304" s="10">
        <f t="shared" si="89"/>
        <v>0</v>
      </c>
      <c r="Y304" s="12">
        <f t="shared" si="82"/>
        <v>639.30209199318563</v>
      </c>
      <c r="Z304" s="11">
        <f t="shared" si="83"/>
        <v>21.729553476362859</v>
      </c>
      <c r="AA304" s="6">
        <v>0</v>
      </c>
      <c r="AB304" s="6">
        <v>1</v>
      </c>
      <c r="AC304" s="6">
        <v>1</v>
      </c>
      <c r="AD304" s="7">
        <v>1</v>
      </c>
      <c r="AE304" s="9">
        <v>0</v>
      </c>
      <c r="AF304" s="10">
        <f t="shared" si="90"/>
        <v>14</v>
      </c>
      <c r="AG304" s="12">
        <f t="shared" si="84"/>
        <v>65</v>
      </c>
      <c r="AH304" s="11">
        <f t="shared" si="85"/>
        <v>4.904296875</v>
      </c>
      <c r="AJ304" s="6">
        <f t="shared" si="91"/>
        <v>1000</v>
      </c>
      <c r="AK304" s="4">
        <v>287</v>
      </c>
      <c r="AM304" s="2" t="str">
        <f t="shared" si="86"/>
        <v>0</v>
      </c>
      <c r="AN304" s="2" t="str">
        <f t="shared" si="92"/>
        <v>3E8</v>
      </c>
      <c r="AO304" s="2"/>
      <c r="AP304" s="2" t="str">
        <f t="shared" si="93"/>
        <v>03E8</v>
      </c>
    </row>
    <row r="305" spans="1:42" x14ac:dyDescent="0.2">
      <c r="A305">
        <v>288</v>
      </c>
      <c r="B305">
        <v>28.7</v>
      </c>
      <c r="C305" s="6">
        <v>0</v>
      </c>
      <c r="D305" s="6">
        <v>0</v>
      </c>
      <c r="E305" s="6">
        <v>0</v>
      </c>
      <c r="F305" s="7">
        <v>0</v>
      </c>
      <c r="G305" s="9">
        <v>100</v>
      </c>
      <c r="H305" s="10">
        <f t="shared" si="87"/>
        <v>0</v>
      </c>
      <c r="I305" s="12">
        <f t="shared" si="78"/>
        <v>639.30209199318563</v>
      </c>
      <c r="J305" s="11">
        <f t="shared" si="79"/>
        <v>21.729553476362859</v>
      </c>
      <c r="K305" s="6">
        <v>0</v>
      </c>
      <c r="L305" s="6">
        <v>0</v>
      </c>
      <c r="M305" s="6">
        <v>0</v>
      </c>
      <c r="N305" s="7">
        <v>0</v>
      </c>
      <c r="O305" s="9">
        <v>100</v>
      </c>
      <c r="P305" s="10">
        <f t="shared" si="88"/>
        <v>0</v>
      </c>
      <c r="Q305" s="12">
        <f t="shared" si="80"/>
        <v>639.30209199318563</v>
      </c>
      <c r="R305" s="11">
        <f t="shared" si="81"/>
        <v>21.729553476362859</v>
      </c>
      <c r="S305" s="6">
        <v>0</v>
      </c>
      <c r="T305" s="6">
        <v>0</v>
      </c>
      <c r="U305" s="6">
        <v>0</v>
      </c>
      <c r="V305" s="7">
        <v>0</v>
      </c>
      <c r="W305" s="9">
        <v>100</v>
      </c>
      <c r="X305" s="10">
        <f t="shared" si="89"/>
        <v>0</v>
      </c>
      <c r="Y305" s="12">
        <f t="shared" si="82"/>
        <v>639.30209199318563</v>
      </c>
      <c r="Z305" s="11">
        <f t="shared" si="83"/>
        <v>21.729553476362859</v>
      </c>
      <c r="AA305" s="6">
        <v>0</v>
      </c>
      <c r="AB305" s="6">
        <v>1</v>
      </c>
      <c r="AC305" s="6">
        <v>1</v>
      </c>
      <c r="AD305" s="7">
        <v>1</v>
      </c>
      <c r="AE305" s="9">
        <v>0</v>
      </c>
      <c r="AF305" s="10">
        <f t="shared" si="90"/>
        <v>14</v>
      </c>
      <c r="AG305" s="12">
        <f t="shared" si="84"/>
        <v>65</v>
      </c>
      <c r="AH305" s="11">
        <f t="shared" si="85"/>
        <v>4.904296875</v>
      </c>
      <c r="AJ305" s="6">
        <f t="shared" si="91"/>
        <v>1000</v>
      </c>
      <c r="AK305" s="4">
        <v>288</v>
      </c>
      <c r="AM305" s="2" t="str">
        <f t="shared" si="86"/>
        <v>0</v>
      </c>
      <c r="AN305" s="2" t="str">
        <f t="shared" si="92"/>
        <v>3E8</v>
      </c>
      <c r="AO305" s="2"/>
      <c r="AP305" s="2" t="str">
        <f t="shared" si="93"/>
        <v>03E8</v>
      </c>
    </row>
    <row r="306" spans="1:42" x14ac:dyDescent="0.2">
      <c r="A306">
        <v>289</v>
      </c>
      <c r="B306">
        <v>28.8</v>
      </c>
      <c r="C306" s="6">
        <v>0</v>
      </c>
      <c r="D306" s="6">
        <v>0</v>
      </c>
      <c r="E306" s="6">
        <v>0</v>
      </c>
      <c r="F306" s="7">
        <v>0</v>
      </c>
      <c r="G306" s="9">
        <v>100</v>
      </c>
      <c r="H306" s="10">
        <f t="shared" si="87"/>
        <v>0</v>
      </c>
      <c r="I306" s="12">
        <f t="shared" si="78"/>
        <v>639.30209199318563</v>
      </c>
      <c r="J306" s="11">
        <f t="shared" si="79"/>
        <v>21.729553476362859</v>
      </c>
      <c r="K306" s="6">
        <v>0</v>
      </c>
      <c r="L306" s="6">
        <v>0</v>
      </c>
      <c r="M306" s="6">
        <v>0</v>
      </c>
      <c r="N306" s="7">
        <v>0</v>
      </c>
      <c r="O306" s="9">
        <v>100</v>
      </c>
      <c r="P306" s="10">
        <f t="shared" si="88"/>
        <v>0</v>
      </c>
      <c r="Q306" s="12">
        <f t="shared" si="80"/>
        <v>639.30209199318563</v>
      </c>
      <c r="R306" s="11">
        <f t="shared" si="81"/>
        <v>21.729553476362859</v>
      </c>
      <c r="S306" s="6">
        <v>0</v>
      </c>
      <c r="T306" s="6">
        <v>0</v>
      </c>
      <c r="U306" s="6">
        <v>0</v>
      </c>
      <c r="V306" s="7">
        <v>0</v>
      </c>
      <c r="W306" s="9">
        <v>100</v>
      </c>
      <c r="X306" s="10">
        <f t="shared" si="89"/>
        <v>0</v>
      </c>
      <c r="Y306" s="12">
        <f t="shared" si="82"/>
        <v>639.30209199318563</v>
      </c>
      <c r="Z306" s="11">
        <f t="shared" si="83"/>
        <v>21.729553476362859</v>
      </c>
      <c r="AA306" s="6">
        <v>0</v>
      </c>
      <c r="AB306" s="6">
        <v>1</v>
      </c>
      <c r="AC306" s="6">
        <v>1</v>
      </c>
      <c r="AD306" s="7">
        <v>1</v>
      </c>
      <c r="AE306" s="9">
        <v>0</v>
      </c>
      <c r="AF306" s="10">
        <f t="shared" si="90"/>
        <v>14</v>
      </c>
      <c r="AG306" s="12">
        <f t="shared" si="84"/>
        <v>65</v>
      </c>
      <c r="AH306" s="11">
        <f t="shared" si="85"/>
        <v>4.904296875</v>
      </c>
      <c r="AJ306" s="6">
        <f t="shared" si="91"/>
        <v>1000</v>
      </c>
      <c r="AK306" s="4">
        <v>289</v>
      </c>
      <c r="AM306" s="2" t="str">
        <f t="shared" si="86"/>
        <v>0</v>
      </c>
      <c r="AN306" s="2" t="str">
        <f t="shared" si="92"/>
        <v>3E8</v>
      </c>
      <c r="AO306" s="2"/>
      <c r="AP306" s="2" t="str">
        <f t="shared" si="93"/>
        <v>03E8</v>
      </c>
    </row>
    <row r="307" spans="1:42" x14ac:dyDescent="0.2">
      <c r="A307">
        <v>290</v>
      </c>
      <c r="B307">
        <v>28.9</v>
      </c>
      <c r="C307" s="6">
        <v>0</v>
      </c>
      <c r="D307" s="6">
        <v>0</v>
      </c>
      <c r="E307" s="6">
        <v>0</v>
      </c>
      <c r="F307" s="7">
        <v>0</v>
      </c>
      <c r="G307" s="9">
        <v>100</v>
      </c>
      <c r="H307" s="10">
        <f t="shared" si="87"/>
        <v>0</v>
      </c>
      <c r="I307" s="12">
        <f t="shared" si="78"/>
        <v>639.30209199318563</v>
      </c>
      <c r="J307" s="11">
        <f t="shared" si="79"/>
        <v>21.729553476362859</v>
      </c>
      <c r="K307" s="6">
        <v>0</v>
      </c>
      <c r="L307" s="6">
        <v>0</v>
      </c>
      <c r="M307" s="6">
        <v>0</v>
      </c>
      <c r="N307" s="7">
        <v>0</v>
      </c>
      <c r="O307" s="9">
        <v>100</v>
      </c>
      <c r="P307" s="10">
        <f t="shared" si="88"/>
        <v>0</v>
      </c>
      <c r="Q307" s="12">
        <f t="shared" si="80"/>
        <v>639.30209199318563</v>
      </c>
      <c r="R307" s="11">
        <f t="shared" si="81"/>
        <v>21.729553476362859</v>
      </c>
      <c r="S307" s="6">
        <v>0</v>
      </c>
      <c r="T307" s="6">
        <v>0</v>
      </c>
      <c r="U307" s="6">
        <v>0</v>
      </c>
      <c r="V307" s="7">
        <v>0</v>
      </c>
      <c r="W307" s="9">
        <v>100</v>
      </c>
      <c r="X307" s="10">
        <f t="shared" si="89"/>
        <v>0</v>
      </c>
      <c r="Y307" s="12">
        <f t="shared" si="82"/>
        <v>639.30209199318563</v>
      </c>
      <c r="Z307" s="11">
        <f t="shared" si="83"/>
        <v>21.729553476362859</v>
      </c>
      <c r="AA307" s="6">
        <v>0</v>
      </c>
      <c r="AB307" s="6">
        <v>1</v>
      </c>
      <c r="AC307" s="6">
        <v>1</v>
      </c>
      <c r="AD307" s="7">
        <v>1</v>
      </c>
      <c r="AE307" s="9">
        <v>0</v>
      </c>
      <c r="AF307" s="10">
        <f t="shared" si="90"/>
        <v>14</v>
      </c>
      <c r="AG307" s="12">
        <f t="shared" si="84"/>
        <v>65</v>
      </c>
      <c r="AH307" s="11">
        <f t="shared" si="85"/>
        <v>4.904296875</v>
      </c>
      <c r="AJ307" s="6">
        <f t="shared" si="91"/>
        <v>1000</v>
      </c>
      <c r="AK307" s="4">
        <v>290</v>
      </c>
      <c r="AM307" s="2" t="str">
        <f t="shared" si="86"/>
        <v>0</v>
      </c>
      <c r="AN307" s="2" t="str">
        <f t="shared" si="92"/>
        <v>3E8</v>
      </c>
      <c r="AO307" s="2"/>
      <c r="AP307" s="2" t="str">
        <f t="shared" si="93"/>
        <v>03E8</v>
      </c>
    </row>
    <row r="308" spans="1:42" x14ac:dyDescent="0.2">
      <c r="A308">
        <v>291</v>
      </c>
      <c r="B308">
        <v>29</v>
      </c>
      <c r="C308" s="6">
        <v>0</v>
      </c>
      <c r="D308" s="6">
        <v>0</v>
      </c>
      <c r="E308" s="6">
        <v>0</v>
      </c>
      <c r="F308" s="7">
        <v>0</v>
      </c>
      <c r="G308" s="9">
        <v>100</v>
      </c>
      <c r="H308" s="10">
        <f t="shared" si="87"/>
        <v>0</v>
      </c>
      <c r="I308" s="12">
        <f t="shared" si="78"/>
        <v>639.30209199318563</v>
      </c>
      <c r="J308" s="11">
        <f t="shared" si="79"/>
        <v>21.729553476362859</v>
      </c>
      <c r="K308" s="6">
        <v>0</v>
      </c>
      <c r="L308" s="6">
        <v>0</v>
      </c>
      <c r="M308" s="6">
        <v>0</v>
      </c>
      <c r="N308" s="7">
        <v>0</v>
      </c>
      <c r="O308" s="9">
        <v>100</v>
      </c>
      <c r="P308" s="10">
        <f t="shared" si="88"/>
        <v>0</v>
      </c>
      <c r="Q308" s="12">
        <f t="shared" si="80"/>
        <v>639.30209199318563</v>
      </c>
      <c r="R308" s="11">
        <f t="shared" si="81"/>
        <v>21.729553476362859</v>
      </c>
      <c r="S308" s="6">
        <v>0</v>
      </c>
      <c r="T308" s="6">
        <v>0</v>
      </c>
      <c r="U308" s="6">
        <v>0</v>
      </c>
      <c r="V308" s="7">
        <v>0</v>
      </c>
      <c r="W308" s="9">
        <v>100</v>
      </c>
      <c r="X308" s="10">
        <f t="shared" si="89"/>
        <v>0</v>
      </c>
      <c r="Y308" s="12">
        <f t="shared" si="82"/>
        <v>639.30209199318563</v>
      </c>
      <c r="Z308" s="11">
        <f t="shared" si="83"/>
        <v>21.729553476362859</v>
      </c>
      <c r="AA308" s="6">
        <v>0</v>
      </c>
      <c r="AB308" s="6">
        <v>1</v>
      </c>
      <c r="AC308" s="6">
        <v>1</v>
      </c>
      <c r="AD308" s="7">
        <v>1</v>
      </c>
      <c r="AE308" s="9">
        <v>0</v>
      </c>
      <c r="AF308" s="10">
        <f t="shared" si="90"/>
        <v>14</v>
      </c>
      <c r="AG308" s="12">
        <f t="shared" si="84"/>
        <v>65</v>
      </c>
      <c r="AH308" s="11">
        <f t="shared" si="85"/>
        <v>4.904296875</v>
      </c>
      <c r="AJ308" s="6">
        <f t="shared" si="91"/>
        <v>1000</v>
      </c>
      <c r="AK308" s="4">
        <v>291</v>
      </c>
      <c r="AM308" s="2" t="str">
        <f t="shared" si="86"/>
        <v>0</v>
      </c>
      <c r="AN308" s="2" t="str">
        <f t="shared" si="92"/>
        <v>3E8</v>
      </c>
      <c r="AO308" s="2"/>
      <c r="AP308" s="2" t="str">
        <f t="shared" si="93"/>
        <v>03E8</v>
      </c>
    </row>
    <row r="309" spans="1:42" x14ac:dyDescent="0.2">
      <c r="A309">
        <v>292</v>
      </c>
      <c r="B309">
        <v>29.1</v>
      </c>
      <c r="C309" s="6">
        <v>0</v>
      </c>
      <c r="D309" s="6">
        <v>0</v>
      </c>
      <c r="E309" s="6">
        <v>0</v>
      </c>
      <c r="F309" s="7">
        <v>0</v>
      </c>
      <c r="G309" s="9">
        <v>100</v>
      </c>
      <c r="H309" s="10">
        <f t="shared" si="87"/>
        <v>0</v>
      </c>
      <c r="I309" s="12">
        <f t="shared" si="78"/>
        <v>639.30209199318563</v>
      </c>
      <c r="J309" s="11">
        <f t="shared" si="79"/>
        <v>21.729553476362859</v>
      </c>
      <c r="K309" s="6">
        <v>0</v>
      </c>
      <c r="L309" s="6">
        <v>0</v>
      </c>
      <c r="M309" s="6">
        <v>0</v>
      </c>
      <c r="N309" s="7">
        <v>0</v>
      </c>
      <c r="O309" s="9">
        <v>100</v>
      </c>
      <c r="P309" s="10">
        <f t="shared" si="88"/>
        <v>0</v>
      </c>
      <c r="Q309" s="12">
        <f t="shared" si="80"/>
        <v>639.30209199318563</v>
      </c>
      <c r="R309" s="11">
        <f t="shared" si="81"/>
        <v>21.729553476362859</v>
      </c>
      <c r="S309" s="6">
        <v>0</v>
      </c>
      <c r="T309" s="6">
        <v>0</v>
      </c>
      <c r="U309" s="6">
        <v>0</v>
      </c>
      <c r="V309" s="7">
        <v>0</v>
      </c>
      <c r="W309" s="9">
        <v>100</v>
      </c>
      <c r="X309" s="10">
        <f t="shared" si="89"/>
        <v>0</v>
      </c>
      <c r="Y309" s="12">
        <f t="shared" si="82"/>
        <v>639.30209199318563</v>
      </c>
      <c r="Z309" s="11">
        <f t="shared" si="83"/>
        <v>21.729553476362859</v>
      </c>
      <c r="AA309" s="6">
        <v>0</v>
      </c>
      <c r="AB309" s="6">
        <v>1</v>
      </c>
      <c r="AC309" s="6">
        <v>1</v>
      </c>
      <c r="AD309" s="7">
        <v>1</v>
      </c>
      <c r="AE309" s="9">
        <f>AE308+5</f>
        <v>5</v>
      </c>
      <c r="AF309" s="10">
        <f t="shared" si="90"/>
        <v>14</v>
      </c>
      <c r="AG309" s="12">
        <f t="shared" si="84"/>
        <v>93.715104599659284</v>
      </c>
      <c r="AH309" s="11">
        <f t="shared" si="85"/>
        <v>5.7455597050681426</v>
      </c>
      <c r="AJ309" s="6">
        <f t="shared" si="91"/>
        <v>1000</v>
      </c>
      <c r="AK309" s="4">
        <v>292</v>
      </c>
      <c r="AM309" s="2" t="str">
        <f t="shared" si="86"/>
        <v>0</v>
      </c>
      <c r="AN309" s="2" t="str">
        <f t="shared" si="92"/>
        <v>3E8</v>
      </c>
      <c r="AO309" s="2"/>
      <c r="AP309" s="2" t="str">
        <f t="shared" si="93"/>
        <v>03E8</v>
      </c>
    </row>
    <row r="310" spans="1:42" x14ac:dyDescent="0.2">
      <c r="A310">
        <v>293</v>
      </c>
      <c r="B310">
        <v>29.2</v>
      </c>
      <c r="C310" s="6">
        <v>0</v>
      </c>
      <c r="D310" s="6">
        <v>0</v>
      </c>
      <c r="E310" s="6">
        <v>0</v>
      </c>
      <c r="F310" s="7">
        <v>0</v>
      </c>
      <c r="G310" s="9">
        <v>100</v>
      </c>
      <c r="H310" s="10">
        <f t="shared" si="87"/>
        <v>0</v>
      </c>
      <c r="I310" s="12">
        <f t="shared" si="78"/>
        <v>639.30209199318563</v>
      </c>
      <c r="J310" s="11">
        <f t="shared" si="79"/>
        <v>21.729553476362859</v>
      </c>
      <c r="K310" s="6">
        <v>0</v>
      </c>
      <c r="L310" s="6">
        <v>0</v>
      </c>
      <c r="M310" s="6">
        <v>0</v>
      </c>
      <c r="N310" s="7">
        <v>0</v>
      </c>
      <c r="O310" s="9">
        <v>100</v>
      </c>
      <c r="P310" s="10">
        <f t="shared" si="88"/>
        <v>0</v>
      </c>
      <c r="Q310" s="12">
        <f t="shared" si="80"/>
        <v>639.30209199318563</v>
      </c>
      <c r="R310" s="11">
        <f t="shared" si="81"/>
        <v>21.729553476362859</v>
      </c>
      <c r="S310" s="6">
        <v>0</v>
      </c>
      <c r="T310" s="6">
        <v>0</v>
      </c>
      <c r="U310" s="6">
        <v>0</v>
      </c>
      <c r="V310" s="7">
        <v>0</v>
      </c>
      <c r="W310" s="9">
        <v>100</v>
      </c>
      <c r="X310" s="10">
        <f t="shared" si="89"/>
        <v>0</v>
      </c>
      <c r="Y310" s="12">
        <f t="shared" si="82"/>
        <v>639.30209199318563</v>
      </c>
      <c r="Z310" s="11">
        <f t="shared" si="83"/>
        <v>21.729553476362859</v>
      </c>
      <c r="AA310" s="6">
        <v>0</v>
      </c>
      <c r="AB310" s="6">
        <v>1</v>
      </c>
      <c r="AC310" s="6">
        <v>1</v>
      </c>
      <c r="AD310" s="7">
        <v>1</v>
      </c>
      <c r="AE310" s="9">
        <f t="shared" ref="AE310:AE328" si="94">AE309+5</f>
        <v>10</v>
      </c>
      <c r="AF310" s="10">
        <f t="shared" si="90"/>
        <v>14</v>
      </c>
      <c r="AG310" s="12">
        <f t="shared" si="84"/>
        <v>122.43020919931857</v>
      </c>
      <c r="AH310" s="11">
        <f t="shared" si="85"/>
        <v>6.5868225351362861</v>
      </c>
      <c r="AJ310" s="6">
        <f t="shared" si="91"/>
        <v>1000</v>
      </c>
      <c r="AK310" s="4">
        <v>293</v>
      </c>
      <c r="AM310" s="2" t="str">
        <f t="shared" si="86"/>
        <v>0</v>
      </c>
      <c r="AN310" s="2" t="str">
        <f t="shared" si="92"/>
        <v>3E8</v>
      </c>
      <c r="AO310" s="2"/>
      <c r="AP310" s="2" t="str">
        <f t="shared" si="93"/>
        <v>03E8</v>
      </c>
    </row>
    <row r="311" spans="1:42" x14ac:dyDescent="0.2">
      <c r="A311">
        <v>294</v>
      </c>
      <c r="B311">
        <v>29.3</v>
      </c>
      <c r="C311" s="6">
        <v>0</v>
      </c>
      <c r="D311" s="6">
        <v>0</v>
      </c>
      <c r="E311" s="6">
        <v>0</v>
      </c>
      <c r="F311" s="7">
        <v>0</v>
      </c>
      <c r="G311" s="9">
        <v>100</v>
      </c>
      <c r="H311" s="10">
        <f t="shared" si="87"/>
        <v>0</v>
      </c>
      <c r="I311" s="12">
        <f t="shared" si="78"/>
        <v>639.30209199318563</v>
      </c>
      <c r="J311" s="11">
        <f t="shared" si="79"/>
        <v>21.729553476362859</v>
      </c>
      <c r="K311" s="6">
        <v>0</v>
      </c>
      <c r="L311" s="6">
        <v>0</v>
      </c>
      <c r="M311" s="6">
        <v>0</v>
      </c>
      <c r="N311" s="7">
        <v>0</v>
      </c>
      <c r="O311" s="9">
        <v>100</v>
      </c>
      <c r="P311" s="10">
        <f t="shared" si="88"/>
        <v>0</v>
      </c>
      <c r="Q311" s="12">
        <f t="shared" si="80"/>
        <v>639.30209199318563</v>
      </c>
      <c r="R311" s="11">
        <f t="shared" si="81"/>
        <v>21.729553476362859</v>
      </c>
      <c r="S311" s="6">
        <v>0</v>
      </c>
      <c r="T311" s="6">
        <v>0</v>
      </c>
      <c r="U311" s="6">
        <v>0</v>
      </c>
      <c r="V311" s="7">
        <v>0</v>
      </c>
      <c r="W311" s="9">
        <v>100</v>
      </c>
      <c r="X311" s="10">
        <f t="shared" si="89"/>
        <v>0</v>
      </c>
      <c r="Y311" s="12">
        <f t="shared" si="82"/>
        <v>639.30209199318563</v>
      </c>
      <c r="Z311" s="11">
        <f t="shared" si="83"/>
        <v>21.729553476362859</v>
      </c>
      <c r="AA311" s="6">
        <v>0</v>
      </c>
      <c r="AB311" s="6">
        <v>1</v>
      </c>
      <c r="AC311" s="6">
        <v>1</v>
      </c>
      <c r="AD311" s="7">
        <v>1</v>
      </c>
      <c r="AE311" s="9">
        <f t="shared" si="94"/>
        <v>15</v>
      </c>
      <c r="AF311" s="10">
        <f t="shared" si="90"/>
        <v>14</v>
      </c>
      <c r="AG311" s="12">
        <f t="shared" si="84"/>
        <v>151.14531379897784</v>
      </c>
      <c r="AH311" s="11">
        <f t="shared" si="85"/>
        <v>7.4280853652044296</v>
      </c>
      <c r="AJ311" s="6">
        <f t="shared" si="91"/>
        <v>1000</v>
      </c>
      <c r="AK311" s="4">
        <v>294</v>
      </c>
      <c r="AM311" s="2" t="str">
        <f t="shared" si="86"/>
        <v>0</v>
      </c>
      <c r="AN311" s="2" t="str">
        <f t="shared" si="92"/>
        <v>3E8</v>
      </c>
      <c r="AO311" s="2"/>
      <c r="AP311" s="2" t="str">
        <f t="shared" si="93"/>
        <v>03E8</v>
      </c>
    </row>
    <row r="312" spans="1:42" x14ac:dyDescent="0.2">
      <c r="A312">
        <v>295</v>
      </c>
      <c r="B312">
        <v>29.4</v>
      </c>
      <c r="C312" s="6">
        <v>0</v>
      </c>
      <c r="D312" s="6">
        <v>0</v>
      </c>
      <c r="E312" s="6">
        <v>0</v>
      </c>
      <c r="F312" s="7">
        <v>0</v>
      </c>
      <c r="G312" s="9">
        <v>100</v>
      </c>
      <c r="H312" s="10">
        <f t="shared" si="87"/>
        <v>0</v>
      </c>
      <c r="I312" s="12">
        <f t="shared" si="78"/>
        <v>639.30209199318563</v>
      </c>
      <c r="J312" s="11">
        <f t="shared" si="79"/>
        <v>21.729553476362859</v>
      </c>
      <c r="K312" s="6">
        <v>0</v>
      </c>
      <c r="L312" s="6">
        <v>0</v>
      </c>
      <c r="M312" s="6">
        <v>0</v>
      </c>
      <c r="N312" s="7">
        <v>0</v>
      </c>
      <c r="O312" s="9">
        <v>100</v>
      </c>
      <c r="P312" s="10">
        <f t="shared" si="88"/>
        <v>0</v>
      </c>
      <c r="Q312" s="12">
        <f t="shared" si="80"/>
        <v>639.30209199318563</v>
      </c>
      <c r="R312" s="11">
        <f t="shared" si="81"/>
        <v>21.729553476362859</v>
      </c>
      <c r="S312" s="6">
        <v>0</v>
      </c>
      <c r="T312" s="6">
        <v>0</v>
      </c>
      <c r="U312" s="6">
        <v>0</v>
      </c>
      <c r="V312" s="7">
        <v>0</v>
      </c>
      <c r="W312" s="9">
        <v>100</v>
      </c>
      <c r="X312" s="10">
        <f t="shared" si="89"/>
        <v>0</v>
      </c>
      <c r="Y312" s="12">
        <f t="shared" si="82"/>
        <v>639.30209199318563</v>
      </c>
      <c r="Z312" s="11">
        <f t="shared" si="83"/>
        <v>21.729553476362859</v>
      </c>
      <c r="AA312" s="6">
        <v>0</v>
      </c>
      <c r="AB312" s="6">
        <v>1</v>
      </c>
      <c r="AC312" s="6">
        <v>1</v>
      </c>
      <c r="AD312" s="7">
        <v>1</v>
      </c>
      <c r="AE312" s="9">
        <f t="shared" si="94"/>
        <v>20</v>
      </c>
      <c r="AF312" s="10">
        <f t="shared" si="90"/>
        <v>14</v>
      </c>
      <c r="AG312" s="12">
        <f t="shared" si="84"/>
        <v>179.86041839863714</v>
      </c>
      <c r="AH312" s="11">
        <f t="shared" si="85"/>
        <v>8.2693481952725723</v>
      </c>
      <c r="AJ312" s="6">
        <f t="shared" si="91"/>
        <v>1000</v>
      </c>
      <c r="AK312" s="4">
        <v>295</v>
      </c>
      <c r="AM312" s="2" t="str">
        <f t="shared" si="86"/>
        <v>0</v>
      </c>
      <c r="AN312" s="2" t="str">
        <f t="shared" si="92"/>
        <v>3E8</v>
      </c>
      <c r="AO312" s="2"/>
      <c r="AP312" s="2" t="str">
        <f t="shared" si="93"/>
        <v>03E8</v>
      </c>
    </row>
    <row r="313" spans="1:42" x14ac:dyDescent="0.2">
      <c r="A313">
        <v>296</v>
      </c>
      <c r="B313">
        <v>29.5</v>
      </c>
      <c r="C313" s="6">
        <v>0</v>
      </c>
      <c r="D313" s="6">
        <v>0</v>
      </c>
      <c r="E313" s="6">
        <v>0</v>
      </c>
      <c r="F313" s="7">
        <v>0</v>
      </c>
      <c r="G313" s="9">
        <v>100</v>
      </c>
      <c r="H313" s="10">
        <f t="shared" si="87"/>
        <v>0</v>
      </c>
      <c r="I313" s="12">
        <f t="shared" si="78"/>
        <v>639.30209199318563</v>
      </c>
      <c r="J313" s="11">
        <f t="shared" si="79"/>
        <v>21.729553476362859</v>
      </c>
      <c r="K313" s="6">
        <v>0</v>
      </c>
      <c r="L313" s="6">
        <v>0</v>
      </c>
      <c r="M313" s="6">
        <v>0</v>
      </c>
      <c r="N313" s="7">
        <v>0</v>
      </c>
      <c r="O313" s="9">
        <v>100</v>
      </c>
      <c r="P313" s="10">
        <f t="shared" si="88"/>
        <v>0</v>
      </c>
      <c r="Q313" s="12">
        <f t="shared" si="80"/>
        <v>639.30209199318563</v>
      </c>
      <c r="R313" s="11">
        <f t="shared" si="81"/>
        <v>21.729553476362859</v>
      </c>
      <c r="S313" s="6">
        <v>0</v>
      </c>
      <c r="T313" s="6">
        <v>0</v>
      </c>
      <c r="U313" s="6">
        <v>0</v>
      </c>
      <c r="V313" s="7">
        <v>0</v>
      </c>
      <c r="W313" s="9">
        <v>100</v>
      </c>
      <c r="X313" s="10">
        <f t="shared" si="89"/>
        <v>0</v>
      </c>
      <c r="Y313" s="12">
        <f t="shared" si="82"/>
        <v>639.30209199318563</v>
      </c>
      <c r="Z313" s="11">
        <f t="shared" si="83"/>
        <v>21.729553476362859</v>
      </c>
      <c r="AA313" s="6">
        <v>0</v>
      </c>
      <c r="AB313" s="6">
        <v>1</v>
      </c>
      <c r="AC313" s="6">
        <v>1</v>
      </c>
      <c r="AD313" s="7">
        <v>1</v>
      </c>
      <c r="AE313" s="9">
        <f t="shared" si="94"/>
        <v>25</v>
      </c>
      <c r="AF313" s="10">
        <f t="shared" si="90"/>
        <v>14</v>
      </c>
      <c r="AG313" s="12">
        <f t="shared" si="84"/>
        <v>208.57552299829641</v>
      </c>
      <c r="AH313" s="11">
        <f t="shared" si="85"/>
        <v>9.1106110253407149</v>
      </c>
      <c r="AJ313" s="6">
        <f t="shared" si="91"/>
        <v>1000</v>
      </c>
      <c r="AK313" s="4">
        <v>296</v>
      </c>
      <c r="AM313" s="2" t="str">
        <f t="shared" si="86"/>
        <v>0</v>
      </c>
      <c r="AN313" s="2" t="str">
        <f t="shared" si="92"/>
        <v>3E8</v>
      </c>
      <c r="AO313" s="2"/>
      <c r="AP313" s="2" t="str">
        <f t="shared" si="93"/>
        <v>03E8</v>
      </c>
    </row>
    <row r="314" spans="1:42" x14ac:dyDescent="0.2">
      <c r="A314">
        <v>297</v>
      </c>
      <c r="B314">
        <v>29.6</v>
      </c>
      <c r="C314" s="6">
        <v>0</v>
      </c>
      <c r="D314" s="6">
        <v>0</v>
      </c>
      <c r="E314" s="6">
        <v>0</v>
      </c>
      <c r="F314" s="7">
        <v>0</v>
      </c>
      <c r="G314" s="9">
        <v>100</v>
      </c>
      <c r="H314" s="10">
        <f t="shared" si="87"/>
        <v>0</v>
      </c>
      <c r="I314" s="12">
        <f t="shared" si="78"/>
        <v>639.30209199318563</v>
      </c>
      <c r="J314" s="11">
        <f t="shared" si="79"/>
        <v>21.729553476362859</v>
      </c>
      <c r="K314" s="6">
        <v>0</v>
      </c>
      <c r="L314" s="6">
        <v>0</v>
      </c>
      <c r="M314" s="6">
        <v>0</v>
      </c>
      <c r="N314" s="7">
        <v>0</v>
      </c>
      <c r="O314" s="9">
        <v>100</v>
      </c>
      <c r="P314" s="10">
        <f t="shared" si="88"/>
        <v>0</v>
      </c>
      <c r="Q314" s="12">
        <f t="shared" si="80"/>
        <v>639.30209199318563</v>
      </c>
      <c r="R314" s="11">
        <f t="shared" si="81"/>
        <v>21.729553476362859</v>
      </c>
      <c r="S314" s="6">
        <v>0</v>
      </c>
      <c r="T314" s="6">
        <v>0</v>
      </c>
      <c r="U314" s="6">
        <v>0</v>
      </c>
      <c r="V314" s="7">
        <v>0</v>
      </c>
      <c r="W314" s="9">
        <v>100</v>
      </c>
      <c r="X314" s="10">
        <f t="shared" si="89"/>
        <v>0</v>
      </c>
      <c r="Y314" s="12">
        <f t="shared" si="82"/>
        <v>639.30209199318563</v>
      </c>
      <c r="Z314" s="11">
        <f t="shared" si="83"/>
        <v>21.729553476362859</v>
      </c>
      <c r="AA314" s="6">
        <v>0</v>
      </c>
      <c r="AB314" s="6">
        <v>1</v>
      </c>
      <c r="AC314" s="6">
        <v>1</v>
      </c>
      <c r="AD314" s="7">
        <v>1</v>
      </c>
      <c r="AE314" s="9">
        <f t="shared" si="94"/>
        <v>30</v>
      </c>
      <c r="AF314" s="10">
        <f t="shared" si="90"/>
        <v>14</v>
      </c>
      <c r="AG314" s="12">
        <f t="shared" si="84"/>
        <v>237.29062759795568</v>
      </c>
      <c r="AH314" s="11">
        <f t="shared" si="85"/>
        <v>9.9518738554088593</v>
      </c>
      <c r="AJ314" s="6">
        <f t="shared" si="91"/>
        <v>1000</v>
      </c>
      <c r="AK314" s="4">
        <v>297</v>
      </c>
      <c r="AM314" s="2" t="str">
        <f t="shared" si="86"/>
        <v>0</v>
      </c>
      <c r="AN314" s="2" t="str">
        <f t="shared" si="92"/>
        <v>3E8</v>
      </c>
      <c r="AO314" s="2"/>
      <c r="AP314" s="2" t="str">
        <f t="shared" si="93"/>
        <v>03E8</v>
      </c>
    </row>
    <row r="315" spans="1:42" x14ac:dyDescent="0.2">
      <c r="A315">
        <v>298</v>
      </c>
      <c r="B315">
        <v>29.7</v>
      </c>
      <c r="C315" s="6">
        <v>0</v>
      </c>
      <c r="D315" s="6">
        <v>0</v>
      </c>
      <c r="E315" s="6">
        <v>0</v>
      </c>
      <c r="F315" s="7">
        <v>0</v>
      </c>
      <c r="G315" s="9">
        <v>100</v>
      </c>
      <c r="H315" s="10">
        <f t="shared" si="87"/>
        <v>0</v>
      </c>
      <c r="I315" s="12">
        <f t="shared" si="78"/>
        <v>639.30209199318563</v>
      </c>
      <c r="J315" s="11">
        <f t="shared" si="79"/>
        <v>21.729553476362859</v>
      </c>
      <c r="K315" s="6">
        <v>0</v>
      </c>
      <c r="L315" s="6">
        <v>0</v>
      </c>
      <c r="M315" s="6">
        <v>0</v>
      </c>
      <c r="N315" s="7">
        <v>0</v>
      </c>
      <c r="O315" s="9">
        <v>100</v>
      </c>
      <c r="P315" s="10">
        <f t="shared" si="88"/>
        <v>0</v>
      </c>
      <c r="Q315" s="12">
        <f t="shared" si="80"/>
        <v>639.30209199318563</v>
      </c>
      <c r="R315" s="11">
        <f t="shared" si="81"/>
        <v>21.729553476362859</v>
      </c>
      <c r="S315" s="6">
        <v>0</v>
      </c>
      <c r="T315" s="6">
        <v>0</v>
      </c>
      <c r="U315" s="6">
        <v>0</v>
      </c>
      <c r="V315" s="7">
        <v>0</v>
      </c>
      <c r="W315" s="9">
        <v>100</v>
      </c>
      <c r="X315" s="10">
        <f t="shared" si="89"/>
        <v>0</v>
      </c>
      <c r="Y315" s="12">
        <f t="shared" si="82"/>
        <v>639.30209199318563</v>
      </c>
      <c r="Z315" s="11">
        <f t="shared" si="83"/>
        <v>21.729553476362859</v>
      </c>
      <c r="AA315" s="6">
        <v>0</v>
      </c>
      <c r="AB315" s="6">
        <v>1</v>
      </c>
      <c r="AC315" s="6">
        <v>1</v>
      </c>
      <c r="AD315" s="7">
        <v>1</v>
      </c>
      <c r="AE315" s="9">
        <f t="shared" si="94"/>
        <v>35</v>
      </c>
      <c r="AF315" s="10">
        <f t="shared" si="90"/>
        <v>14</v>
      </c>
      <c r="AG315" s="12">
        <f t="shared" si="84"/>
        <v>266.00573219761498</v>
      </c>
      <c r="AH315" s="11">
        <f t="shared" si="85"/>
        <v>10.793136685477002</v>
      </c>
      <c r="AJ315" s="6">
        <f t="shared" si="91"/>
        <v>1000</v>
      </c>
      <c r="AK315" s="4">
        <v>298</v>
      </c>
      <c r="AM315" s="2" t="str">
        <f t="shared" si="86"/>
        <v>0</v>
      </c>
      <c r="AN315" s="2" t="str">
        <f t="shared" si="92"/>
        <v>3E8</v>
      </c>
      <c r="AO315" s="2"/>
      <c r="AP315" s="2" t="str">
        <f t="shared" si="93"/>
        <v>03E8</v>
      </c>
    </row>
    <row r="316" spans="1:42" x14ac:dyDescent="0.2">
      <c r="A316">
        <v>299</v>
      </c>
      <c r="B316">
        <v>29.8</v>
      </c>
      <c r="C316" s="6">
        <v>0</v>
      </c>
      <c r="D316" s="6">
        <v>0</v>
      </c>
      <c r="E316" s="6">
        <v>0</v>
      </c>
      <c r="F316" s="7">
        <v>0</v>
      </c>
      <c r="G316" s="9">
        <v>100</v>
      </c>
      <c r="H316" s="10">
        <f t="shared" si="87"/>
        <v>0</v>
      </c>
      <c r="I316" s="12">
        <f t="shared" si="78"/>
        <v>639.30209199318563</v>
      </c>
      <c r="J316" s="11">
        <f t="shared" si="79"/>
        <v>21.729553476362859</v>
      </c>
      <c r="K316" s="6">
        <v>0</v>
      </c>
      <c r="L316" s="6">
        <v>0</v>
      </c>
      <c r="M316" s="6">
        <v>0</v>
      </c>
      <c r="N316" s="7">
        <v>0</v>
      </c>
      <c r="O316" s="9">
        <v>100</v>
      </c>
      <c r="P316" s="10">
        <f t="shared" si="88"/>
        <v>0</v>
      </c>
      <c r="Q316" s="12">
        <f t="shared" si="80"/>
        <v>639.30209199318563</v>
      </c>
      <c r="R316" s="11">
        <f t="shared" si="81"/>
        <v>21.729553476362859</v>
      </c>
      <c r="S316" s="6">
        <v>0</v>
      </c>
      <c r="T316" s="6">
        <v>0</v>
      </c>
      <c r="U316" s="6">
        <v>0</v>
      </c>
      <c r="V316" s="7">
        <v>0</v>
      </c>
      <c r="W316" s="9">
        <v>100</v>
      </c>
      <c r="X316" s="10">
        <f t="shared" si="89"/>
        <v>0</v>
      </c>
      <c r="Y316" s="12">
        <f t="shared" si="82"/>
        <v>639.30209199318563</v>
      </c>
      <c r="Z316" s="11">
        <f t="shared" si="83"/>
        <v>21.729553476362859</v>
      </c>
      <c r="AA316" s="6">
        <v>0</v>
      </c>
      <c r="AB316" s="6">
        <v>1</v>
      </c>
      <c r="AC316" s="6">
        <v>1</v>
      </c>
      <c r="AD316" s="7">
        <v>1</v>
      </c>
      <c r="AE316" s="9">
        <f t="shared" si="94"/>
        <v>40</v>
      </c>
      <c r="AF316" s="10">
        <f t="shared" si="90"/>
        <v>14</v>
      </c>
      <c r="AG316" s="12">
        <f t="shared" si="84"/>
        <v>294.72083679727427</v>
      </c>
      <c r="AH316" s="11">
        <f t="shared" si="85"/>
        <v>11.634399515545145</v>
      </c>
      <c r="AJ316" s="6">
        <f t="shared" si="91"/>
        <v>1000</v>
      </c>
      <c r="AK316" s="4">
        <v>299</v>
      </c>
      <c r="AM316" s="2" t="str">
        <f t="shared" si="86"/>
        <v>0</v>
      </c>
      <c r="AN316" s="2" t="str">
        <f t="shared" si="92"/>
        <v>3E8</v>
      </c>
      <c r="AO316" s="2"/>
      <c r="AP316" s="2" t="str">
        <f t="shared" si="93"/>
        <v>03E8</v>
      </c>
    </row>
    <row r="317" spans="1:42" x14ac:dyDescent="0.2">
      <c r="A317">
        <v>300</v>
      </c>
      <c r="B317">
        <v>29.9</v>
      </c>
      <c r="C317" s="6">
        <v>0</v>
      </c>
      <c r="D317" s="6">
        <v>0</v>
      </c>
      <c r="E317" s="6">
        <v>0</v>
      </c>
      <c r="F317" s="7">
        <v>0</v>
      </c>
      <c r="G317" s="9">
        <v>100</v>
      </c>
      <c r="H317" s="10">
        <f t="shared" si="87"/>
        <v>0</v>
      </c>
      <c r="I317" s="12">
        <f t="shared" si="78"/>
        <v>639.30209199318563</v>
      </c>
      <c r="J317" s="11">
        <f t="shared" si="79"/>
        <v>21.729553476362859</v>
      </c>
      <c r="K317" s="6">
        <v>0</v>
      </c>
      <c r="L317" s="6">
        <v>0</v>
      </c>
      <c r="M317" s="6">
        <v>0</v>
      </c>
      <c r="N317" s="7">
        <v>0</v>
      </c>
      <c r="O317" s="9">
        <v>100</v>
      </c>
      <c r="P317" s="10">
        <f t="shared" si="88"/>
        <v>0</v>
      </c>
      <c r="Q317" s="12">
        <f t="shared" si="80"/>
        <v>639.30209199318563</v>
      </c>
      <c r="R317" s="11">
        <f t="shared" si="81"/>
        <v>21.729553476362859</v>
      </c>
      <c r="S317" s="6">
        <v>0</v>
      </c>
      <c r="T317" s="6">
        <v>0</v>
      </c>
      <c r="U317" s="6">
        <v>0</v>
      </c>
      <c r="V317" s="7">
        <v>0</v>
      </c>
      <c r="W317" s="9">
        <v>100</v>
      </c>
      <c r="X317" s="10">
        <f t="shared" si="89"/>
        <v>0</v>
      </c>
      <c r="Y317" s="12">
        <f t="shared" si="82"/>
        <v>639.30209199318563</v>
      </c>
      <c r="Z317" s="11">
        <f t="shared" si="83"/>
        <v>21.729553476362859</v>
      </c>
      <c r="AA317" s="6">
        <v>0</v>
      </c>
      <c r="AB317" s="6">
        <v>1</v>
      </c>
      <c r="AC317" s="6">
        <v>1</v>
      </c>
      <c r="AD317" s="7">
        <v>1</v>
      </c>
      <c r="AE317" s="9">
        <f t="shared" si="94"/>
        <v>45</v>
      </c>
      <c r="AF317" s="10">
        <f t="shared" si="90"/>
        <v>14</v>
      </c>
      <c r="AG317" s="12">
        <f t="shared" si="84"/>
        <v>323.43594139693357</v>
      </c>
      <c r="AH317" s="11">
        <f t="shared" si="85"/>
        <v>12.475662345613289</v>
      </c>
      <c r="AJ317" s="6">
        <f t="shared" si="91"/>
        <v>1000</v>
      </c>
      <c r="AK317" s="4">
        <v>300</v>
      </c>
      <c r="AM317" s="2" t="str">
        <f t="shared" si="86"/>
        <v>0</v>
      </c>
      <c r="AN317" s="2" t="str">
        <f t="shared" si="92"/>
        <v>3E8</v>
      </c>
      <c r="AO317" s="2"/>
      <c r="AP317" s="2" t="str">
        <f t="shared" si="93"/>
        <v>03E8</v>
      </c>
    </row>
    <row r="318" spans="1:42" x14ac:dyDescent="0.2">
      <c r="A318">
        <v>301</v>
      </c>
      <c r="B318">
        <v>30</v>
      </c>
      <c r="C318" s="6">
        <v>0</v>
      </c>
      <c r="D318" s="6">
        <v>0</v>
      </c>
      <c r="E318" s="6">
        <v>0</v>
      </c>
      <c r="F318" s="7">
        <v>0</v>
      </c>
      <c r="G318" s="9">
        <v>100</v>
      </c>
      <c r="H318" s="10">
        <f t="shared" si="87"/>
        <v>0</v>
      </c>
      <c r="I318" s="12">
        <f t="shared" si="78"/>
        <v>639.30209199318563</v>
      </c>
      <c r="J318" s="11">
        <f t="shared" si="79"/>
        <v>21.729553476362859</v>
      </c>
      <c r="K318" s="6">
        <v>0</v>
      </c>
      <c r="L318" s="6">
        <v>0</v>
      </c>
      <c r="M318" s="6">
        <v>0</v>
      </c>
      <c r="N318" s="7">
        <v>0</v>
      </c>
      <c r="O318" s="9">
        <v>100</v>
      </c>
      <c r="P318" s="10">
        <f t="shared" si="88"/>
        <v>0</v>
      </c>
      <c r="Q318" s="12">
        <f t="shared" si="80"/>
        <v>639.30209199318563</v>
      </c>
      <c r="R318" s="11">
        <f t="shared" si="81"/>
        <v>21.729553476362859</v>
      </c>
      <c r="S318" s="6">
        <v>0</v>
      </c>
      <c r="T318" s="6">
        <v>0</v>
      </c>
      <c r="U318" s="6">
        <v>0</v>
      </c>
      <c r="V318" s="7">
        <v>0</v>
      </c>
      <c r="W318" s="9">
        <v>100</v>
      </c>
      <c r="X318" s="10">
        <f t="shared" si="89"/>
        <v>0</v>
      </c>
      <c r="Y318" s="12">
        <f t="shared" si="82"/>
        <v>639.30209199318563</v>
      </c>
      <c r="Z318" s="11">
        <f t="shared" si="83"/>
        <v>21.729553476362859</v>
      </c>
      <c r="AA318" s="6">
        <v>0</v>
      </c>
      <c r="AB318" s="6">
        <v>1</v>
      </c>
      <c r="AC318" s="6">
        <v>1</v>
      </c>
      <c r="AD318" s="7">
        <v>1</v>
      </c>
      <c r="AE318" s="9">
        <f t="shared" si="94"/>
        <v>50</v>
      </c>
      <c r="AF318" s="10">
        <f t="shared" si="90"/>
        <v>14</v>
      </c>
      <c r="AG318" s="12">
        <f t="shared" si="84"/>
        <v>352.15104599659281</v>
      </c>
      <c r="AH318" s="11">
        <f t="shared" si="85"/>
        <v>13.31692517568143</v>
      </c>
      <c r="AJ318" s="6">
        <f t="shared" si="91"/>
        <v>1000</v>
      </c>
      <c r="AK318" s="4">
        <v>301</v>
      </c>
      <c r="AM318" s="2" t="str">
        <f t="shared" si="86"/>
        <v>0</v>
      </c>
      <c r="AN318" s="2" t="str">
        <f t="shared" si="92"/>
        <v>3E8</v>
      </c>
      <c r="AO318" s="2"/>
      <c r="AP318" s="2" t="str">
        <f t="shared" si="93"/>
        <v>03E8</v>
      </c>
    </row>
    <row r="319" spans="1:42" x14ac:dyDescent="0.2">
      <c r="A319">
        <v>302</v>
      </c>
      <c r="B319">
        <v>30.1</v>
      </c>
      <c r="C319" s="6">
        <v>0</v>
      </c>
      <c r="D319" s="6">
        <v>0</v>
      </c>
      <c r="E319" s="6">
        <v>0</v>
      </c>
      <c r="F319" s="7">
        <v>0</v>
      </c>
      <c r="G319" s="9">
        <v>100</v>
      </c>
      <c r="H319" s="10">
        <f t="shared" si="87"/>
        <v>0</v>
      </c>
      <c r="I319" s="12">
        <f t="shared" si="78"/>
        <v>639.30209199318563</v>
      </c>
      <c r="J319" s="11">
        <f t="shared" si="79"/>
        <v>21.729553476362859</v>
      </c>
      <c r="K319" s="6">
        <v>0</v>
      </c>
      <c r="L319" s="6">
        <v>0</v>
      </c>
      <c r="M319" s="6">
        <v>0</v>
      </c>
      <c r="N319" s="7">
        <v>0</v>
      </c>
      <c r="O319" s="9">
        <v>100</v>
      </c>
      <c r="P319" s="10">
        <f t="shared" si="88"/>
        <v>0</v>
      </c>
      <c r="Q319" s="12">
        <f t="shared" si="80"/>
        <v>639.30209199318563</v>
      </c>
      <c r="R319" s="11">
        <f t="shared" si="81"/>
        <v>21.729553476362859</v>
      </c>
      <c r="S319" s="6">
        <v>0</v>
      </c>
      <c r="T319" s="6">
        <v>0</v>
      </c>
      <c r="U319" s="6">
        <v>0</v>
      </c>
      <c r="V319" s="7">
        <v>0</v>
      </c>
      <c r="W319" s="9">
        <v>100</v>
      </c>
      <c r="X319" s="10">
        <f t="shared" si="89"/>
        <v>0</v>
      </c>
      <c r="Y319" s="12">
        <f t="shared" si="82"/>
        <v>639.30209199318563</v>
      </c>
      <c r="Z319" s="11">
        <f t="shared" si="83"/>
        <v>21.729553476362859</v>
      </c>
      <c r="AA319" s="6">
        <v>0</v>
      </c>
      <c r="AB319" s="6">
        <v>1</v>
      </c>
      <c r="AC319" s="6">
        <v>1</v>
      </c>
      <c r="AD319" s="7">
        <v>1</v>
      </c>
      <c r="AE319" s="9">
        <f t="shared" si="94"/>
        <v>55</v>
      </c>
      <c r="AF319" s="10">
        <f t="shared" si="90"/>
        <v>14</v>
      </c>
      <c r="AG319" s="12">
        <f t="shared" si="84"/>
        <v>380.86615059625217</v>
      </c>
      <c r="AH319" s="11">
        <f t="shared" si="85"/>
        <v>14.158188005749576</v>
      </c>
      <c r="AJ319" s="6">
        <f t="shared" si="91"/>
        <v>1000</v>
      </c>
      <c r="AK319" s="4">
        <v>302</v>
      </c>
      <c r="AM319" s="2" t="str">
        <f t="shared" si="86"/>
        <v>0</v>
      </c>
      <c r="AN319" s="2" t="str">
        <f t="shared" si="92"/>
        <v>3E8</v>
      </c>
      <c r="AO319" s="2"/>
      <c r="AP319" s="2" t="str">
        <f t="shared" si="93"/>
        <v>03E8</v>
      </c>
    </row>
    <row r="320" spans="1:42" x14ac:dyDescent="0.2">
      <c r="A320">
        <v>303</v>
      </c>
      <c r="B320">
        <v>30.2</v>
      </c>
      <c r="C320" s="6">
        <v>0</v>
      </c>
      <c r="D320" s="6">
        <v>0</v>
      </c>
      <c r="E320" s="6">
        <v>0</v>
      </c>
      <c r="F320" s="7">
        <v>0</v>
      </c>
      <c r="G320" s="9">
        <v>100</v>
      </c>
      <c r="H320" s="10">
        <f t="shared" si="87"/>
        <v>0</v>
      </c>
      <c r="I320" s="12">
        <f t="shared" si="78"/>
        <v>639.30209199318563</v>
      </c>
      <c r="J320" s="11">
        <f t="shared" si="79"/>
        <v>21.729553476362859</v>
      </c>
      <c r="K320" s="6">
        <v>0</v>
      </c>
      <c r="L320" s="6">
        <v>0</v>
      </c>
      <c r="M320" s="6">
        <v>0</v>
      </c>
      <c r="N320" s="7">
        <v>0</v>
      </c>
      <c r="O320" s="9">
        <v>100</v>
      </c>
      <c r="P320" s="10">
        <f t="shared" si="88"/>
        <v>0</v>
      </c>
      <c r="Q320" s="12">
        <f t="shared" si="80"/>
        <v>639.30209199318563</v>
      </c>
      <c r="R320" s="11">
        <f t="shared" si="81"/>
        <v>21.729553476362859</v>
      </c>
      <c r="S320" s="6">
        <v>0</v>
      </c>
      <c r="T320" s="6">
        <v>0</v>
      </c>
      <c r="U320" s="6">
        <v>0</v>
      </c>
      <c r="V320" s="7">
        <v>0</v>
      </c>
      <c r="W320" s="9">
        <v>100</v>
      </c>
      <c r="X320" s="10">
        <f t="shared" si="89"/>
        <v>0</v>
      </c>
      <c r="Y320" s="12">
        <f t="shared" si="82"/>
        <v>639.30209199318563</v>
      </c>
      <c r="Z320" s="11">
        <f t="shared" si="83"/>
        <v>21.729553476362859</v>
      </c>
      <c r="AA320" s="6">
        <v>0</v>
      </c>
      <c r="AB320" s="6">
        <v>1</v>
      </c>
      <c r="AC320" s="6">
        <v>1</v>
      </c>
      <c r="AD320" s="7">
        <v>1</v>
      </c>
      <c r="AE320" s="9">
        <f t="shared" si="94"/>
        <v>60</v>
      </c>
      <c r="AF320" s="10">
        <f t="shared" si="90"/>
        <v>14</v>
      </c>
      <c r="AG320" s="12">
        <f t="shared" si="84"/>
        <v>409.58125519591135</v>
      </c>
      <c r="AH320" s="11">
        <f t="shared" si="85"/>
        <v>14.999450835817715</v>
      </c>
      <c r="AJ320" s="6">
        <f t="shared" si="91"/>
        <v>1000</v>
      </c>
      <c r="AK320" s="4">
        <v>303</v>
      </c>
      <c r="AM320" s="2" t="str">
        <f t="shared" si="86"/>
        <v>0</v>
      </c>
      <c r="AN320" s="2" t="str">
        <f t="shared" si="92"/>
        <v>3E8</v>
      </c>
      <c r="AO320" s="2"/>
      <c r="AP320" s="2" t="str">
        <f t="shared" si="93"/>
        <v>03E8</v>
      </c>
    </row>
    <row r="321" spans="1:42" x14ac:dyDescent="0.2">
      <c r="A321">
        <v>304</v>
      </c>
      <c r="B321">
        <v>30.3</v>
      </c>
      <c r="C321" s="6">
        <v>0</v>
      </c>
      <c r="D321" s="6">
        <v>0</v>
      </c>
      <c r="E321" s="6">
        <v>0</v>
      </c>
      <c r="F321" s="7">
        <v>0</v>
      </c>
      <c r="G321" s="9">
        <v>100</v>
      </c>
      <c r="H321" s="10">
        <f t="shared" si="87"/>
        <v>0</v>
      </c>
      <c r="I321" s="12">
        <f t="shared" si="78"/>
        <v>639.30209199318563</v>
      </c>
      <c r="J321" s="11">
        <f t="shared" si="79"/>
        <v>21.729553476362859</v>
      </c>
      <c r="K321" s="6">
        <v>0</v>
      </c>
      <c r="L321" s="6">
        <v>0</v>
      </c>
      <c r="M321" s="6">
        <v>0</v>
      </c>
      <c r="N321" s="7">
        <v>0</v>
      </c>
      <c r="O321" s="9">
        <v>100</v>
      </c>
      <c r="P321" s="10">
        <f t="shared" si="88"/>
        <v>0</v>
      </c>
      <c r="Q321" s="12">
        <f t="shared" si="80"/>
        <v>639.30209199318563</v>
      </c>
      <c r="R321" s="11">
        <f t="shared" si="81"/>
        <v>21.729553476362859</v>
      </c>
      <c r="S321" s="6">
        <v>0</v>
      </c>
      <c r="T321" s="6">
        <v>0</v>
      </c>
      <c r="U321" s="6">
        <v>0</v>
      </c>
      <c r="V321" s="7">
        <v>0</v>
      </c>
      <c r="W321" s="9">
        <v>100</v>
      </c>
      <c r="X321" s="10">
        <f t="shared" si="89"/>
        <v>0</v>
      </c>
      <c r="Y321" s="12">
        <f t="shared" si="82"/>
        <v>639.30209199318563</v>
      </c>
      <c r="Z321" s="11">
        <f t="shared" si="83"/>
        <v>21.729553476362859</v>
      </c>
      <c r="AA321" s="6">
        <v>0</v>
      </c>
      <c r="AB321" s="6">
        <v>1</v>
      </c>
      <c r="AC321" s="6">
        <v>1</v>
      </c>
      <c r="AD321" s="7">
        <v>1</v>
      </c>
      <c r="AE321" s="9">
        <f t="shared" si="94"/>
        <v>65</v>
      </c>
      <c r="AF321" s="10">
        <f t="shared" si="90"/>
        <v>14</v>
      </c>
      <c r="AG321" s="12">
        <f t="shared" si="84"/>
        <v>438.29635979557071</v>
      </c>
      <c r="AH321" s="11">
        <f t="shared" si="85"/>
        <v>15.840713665885861</v>
      </c>
      <c r="AJ321" s="6">
        <f t="shared" si="91"/>
        <v>1000</v>
      </c>
      <c r="AK321" s="4">
        <v>304</v>
      </c>
      <c r="AM321" s="2" t="str">
        <f t="shared" si="86"/>
        <v>0</v>
      </c>
      <c r="AN321" s="2" t="str">
        <f t="shared" si="92"/>
        <v>3E8</v>
      </c>
      <c r="AO321" s="2"/>
      <c r="AP321" s="2" t="str">
        <f t="shared" si="93"/>
        <v>03E8</v>
      </c>
    </row>
    <row r="322" spans="1:42" x14ac:dyDescent="0.2">
      <c r="A322">
        <v>305</v>
      </c>
      <c r="B322">
        <v>30.4</v>
      </c>
      <c r="C322" s="6">
        <v>0</v>
      </c>
      <c r="D322" s="6">
        <v>0</v>
      </c>
      <c r="E322" s="6">
        <v>0</v>
      </c>
      <c r="F322" s="7">
        <v>0</v>
      </c>
      <c r="G322" s="9">
        <v>100</v>
      </c>
      <c r="H322" s="10">
        <f t="shared" si="87"/>
        <v>0</v>
      </c>
      <c r="I322" s="12">
        <f t="shared" si="78"/>
        <v>639.30209199318563</v>
      </c>
      <c r="J322" s="11">
        <f t="shared" si="79"/>
        <v>21.729553476362859</v>
      </c>
      <c r="K322" s="6">
        <v>0</v>
      </c>
      <c r="L322" s="6">
        <v>0</v>
      </c>
      <c r="M322" s="6">
        <v>0</v>
      </c>
      <c r="N322" s="7">
        <v>0</v>
      </c>
      <c r="O322" s="9">
        <v>100</v>
      </c>
      <c r="P322" s="10">
        <f t="shared" si="88"/>
        <v>0</v>
      </c>
      <c r="Q322" s="12">
        <f t="shared" si="80"/>
        <v>639.30209199318563</v>
      </c>
      <c r="R322" s="11">
        <f t="shared" si="81"/>
        <v>21.729553476362859</v>
      </c>
      <c r="S322" s="6">
        <v>0</v>
      </c>
      <c r="T322" s="6">
        <v>0</v>
      </c>
      <c r="U322" s="6">
        <v>0</v>
      </c>
      <c r="V322" s="7">
        <v>0</v>
      </c>
      <c r="W322" s="9">
        <v>100</v>
      </c>
      <c r="X322" s="10">
        <f t="shared" si="89"/>
        <v>0</v>
      </c>
      <c r="Y322" s="12">
        <f t="shared" si="82"/>
        <v>639.30209199318563</v>
      </c>
      <c r="Z322" s="11">
        <f t="shared" si="83"/>
        <v>21.729553476362859</v>
      </c>
      <c r="AA322" s="6">
        <v>0</v>
      </c>
      <c r="AB322" s="6">
        <v>1</v>
      </c>
      <c r="AC322" s="6">
        <v>1</v>
      </c>
      <c r="AD322" s="7">
        <v>1</v>
      </c>
      <c r="AE322" s="9">
        <f t="shared" si="94"/>
        <v>70</v>
      </c>
      <c r="AF322" s="10">
        <f t="shared" si="90"/>
        <v>14</v>
      </c>
      <c r="AG322" s="12">
        <f t="shared" si="84"/>
        <v>467.01146439522995</v>
      </c>
      <c r="AH322" s="11">
        <f t="shared" si="85"/>
        <v>16.681976495954004</v>
      </c>
      <c r="AJ322" s="6">
        <f t="shared" si="91"/>
        <v>1000</v>
      </c>
      <c r="AK322" s="4">
        <v>305</v>
      </c>
      <c r="AM322" s="2" t="str">
        <f t="shared" si="86"/>
        <v>0</v>
      </c>
      <c r="AN322" s="2" t="str">
        <f t="shared" si="92"/>
        <v>3E8</v>
      </c>
      <c r="AO322" s="2"/>
      <c r="AP322" s="2" t="str">
        <f t="shared" si="93"/>
        <v>03E8</v>
      </c>
    </row>
    <row r="323" spans="1:42" x14ac:dyDescent="0.2">
      <c r="A323">
        <v>306</v>
      </c>
      <c r="B323">
        <v>30.5</v>
      </c>
      <c r="C323" s="6">
        <v>0</v>
      </c>
      <c r="D323" s="6">
        <v>0</v>
      </c>
      <c r="E323" s="6">
        <v>0</v>
      </c>
      <c r="F323" s="7">
        <v>0</v>
      </c>
      <c r="G323" s="9">
        <v>100</v>
      </c>
      <c r="H323" s="10">
        <f t="shared" si="87"/>
        <v>0</v>
      </c>
      <c r="I323" s="12">
        <f t="shared" si="78"/>
        <v>639.30209199318563</v>
      </c>
      <c r="J323" s="11">
        <f t="shared" si="79"/>
        <v>21.729553476362859</v>
      </c>
      <c r="K323" s="6">
        <v>0</v>
      </c>
      <c r="L323" s="6">
        <v>0</v>
      </c>
      <c r="M323" s="6">
        <v>0</v>
      </c>
      <c r="N323" s="7">
        <v>0</v>
      </c>
      <c r="O323" s="9">
        <v>100</v>
      </c>
      <c r="P323" s="10">
        <f t="shared" si="88"/>
        <v>0</v>
      </c>
      <c r="Q323" s="12">
        <f t="shared" si="80"/>
        <v>639.30209199318563</v>
      </c>
      <c r="R323" s="11">
        <f t="shared" si="81"/>
        <v>21.729553476362859</v>
      </c>
      <c r="S323" s="6">
        <v>0</v>
      </c>
      <c r="T323" s="6">
        <v>0</v>
      </c>
      <c r="U323" s="6">
        <v>0</v>
      </c>
      <c r="V323" s="7">
        <v>0</v>
      </c>
      <c r="W323" s="9">
        <v>100</v>
      </c>
      <c r="X323" s="10">
        <f t="shared" si="89"/>
        <v>0</v>
      </c>
      <c r="Y323" s="12">
        <f t="shared" si="82"/>
        <v>639.30209199318563</v>
      </c>
      <c r="Z323" s="11">
        <f t="shared" si="83"/>
        <v>21.729553476362859</v>
      </c>
      <c r="AA323" s="6">
        <v>0</v>
      </c>
      <c r="AB323" s="6">
        <v>1</v>
      </c>
      <c r="AC323" s="6">
        <v>1</v>
      </c>
      <c r="AD323" s="7">
        <v>1</v>
      </c>
      <c r="AE323" s="9">
        <f t="shared" si="94"/>
        <v>75</v>
      </c>
      <c r="AF323" s="10">
        <f t="shared" si="90"/>
        <v>14</v>
      </c>
      <c r="AG323" s="12">
        <f t="shared" si="84"/>
        <v>495.72656899488925</v>
      </c>
      <c r="AH323" s="11">
        <f t="shared" si="85"/>
        <v>17.523239326022143</v>
      </c>
      <c r="AJ323" s="6">
        <f t="shared" si="91"/>
        <v>1000</v>
      </c>
      <c r="AK323" s="4">
        <v>306</v>
      </c>
      <c r="AM323" s="2" t="str">
        <f t="shared" si="86"/>
        <v>0</v>
      </c>
      <c r="AN323" s="2" t="str">
        <f t="shared" si="92"/>
        <v>3E8</v>
      </c>
      <c r="AO323" s="2"/>
      <c r="AP323" s="2" t="str">
        <f t="shared" si="93"/>
        <v>03E8</v>
      </c>
    </row>
    <row r="324" spans="1:42" x14ac:dyDescent="0.2">
      <c r="A324">
        <v>307</v>
      </c>
      <c r="B324">
        <v>30.6</v>
      </c>
      <c r="C324" s="6">
        <v>0</v>
      </c>
      <c r="D324" s="6">
        <v>0</v>
      </c>
      <c r="E324" s="6">
        <v>0</v>
      </c>
      <c r="F324" s="7">
        <v>0</v>
      </c>
      <c r="G324" s="9">
        <v>100</v>
      </c>
      <c r="H324" s="10">
        <f t="shared" si="87"/>
        <v>0</v>
      </c>
      <c r="I324" s="12">
        <f t="shared" si="78"/>
        <v>639.30209199318563</v>
      </c>
      <c r="J324" s="11">
        <f t="shared" si="79"/>
        <v>21.729553476362859</v>
      </c>
      <c r="K324" s="6">
        <v>0</v>
      </c>
      <c r="L324" s="6">
        <v>0</v>
      </c>
      <c r="M324" s="6">
        <v>0</v>
      </c>
      <c r="N324" s="7">
        <v>0</v>
      </c>
      <c r="O324" s="9">
        <v>100</v>
      </c>
      <c r="P324" s="10">
        <f t="shared" si="88"/>
        <v>0</v>
      </c>
      <c r="Q324" s="12">
        <f t="shared" si="80"/>
        <v>639.30209199318563</v>
      </c>
      <c r="R324" s="11">
        <f t="shared" si="81"/>
        <v>21.729553476362859</v>
      </c>
      <c r="S324" s="6">
        <v>0</v>
      </c>
      <c r="T324" s="6">
        <v>0</v>
      </c>
      <c r="U324" s="6">
        <v>0</v>
      </c>
      <c r="V324" s="7">
        <v>0</v>
      </c>
      <c r="W324" s="9">
        <v>100</v>
      </c>
      <c r="X324" s="10">
        <f t="shared" si="89"/>
        <v>0</v>
      </c>
      <c r="Y324" s="12">
        <f t="shared" si="82"/>
        <v>639.30209199318563</v>
      </c>
      <c r="Z324" s="11">
        <f t="shared" si="83"/>
        <v>21.729553476362859</v>
      </c>
      <c r="AA324" s="6">
        <v>0</v>
      </c>
      <c r="AB324" s="6">
        <v>1</v>
      </c>
      <c r="AC324" s="6">
        <v>1</v>
      </c>
      <c r="AD324" s="7">
        <v>1</v>
      </c>
      <c r="AE324" s="9">
        <f t="shared" si="94"/>
        <v>80</v>
      </c>
      <c r="AF324" s="10">
        <f t="shared" si="90"/>
        <v>14</v>
      </c>
      <c r="AG324" s="12">
        <f t="shared" si="84"/>
        <v>524.44167359454855</v>
      </c>
      <c r="AH324" s="11">
        <f t="shared" si="85"/>
        <v>18.364502156090289</v>
      </c>
      <c r="AJ324" s="6">
        <f t="shared" si="91"/>
        <v>1000</v>
      </c>
      <c r="AK324" s="4">
        <v>307</v>
      </c>
      <c r="AM324" s="2" t="str">
        <f t="shared" si="86"/>
        <v>0</v>
      </c>
      <c r="AN324" s="2" t="str">
        <f t="shared" si="92"/>
        <v>3E8</v>
      </c>
      <c r="AO324" s="2"/>
      <c r="AP324" s="2" t="str">
        <f t="shared" si="93"/>
        <v>03E8</v>
      </c>
    </row>
    <row r="325" spans="1:42" x14ac:dyDescent="0.2">
      <c r="A325">
        <v>308</v>
      </c>
      <c r="B325">
        <v>30.7</v>
      </c>
      <c r="C325" s="6">
        <v>0</v>
      </c>
      <c r="D325" s="6">
        <v>0</v>
      </c>
      <c r="E325" s="6">
        <v>0</v>
      </c>
      <c r="F325" s="7">
        <v>0</v>
      </c>
      <c r="G325" s="9">
        <v>100</v>
      </c>
      <c r="H325" s="10">
        <f t="shared" si="87"/>
        <v>0</v>
      </c>
      <c r="I325" s="12">
        <f t="shared" si="78"/>
        <v>639.30209199318563</v>
      </c>
      <c r="J325" s="11">
        <f t="shared" si="79"/>
        <v>21.729553476362859</v>
      </c>
      <c r="K325" s="6">
        <v>0</v>
      </c>
      <c r="L325" s="6">
        <v>0</v>
      </c>
      <c r="M325" s="6">
        <v>0</v>
      </c>
      <c r="N325" s="7">
        <v>0</v>
      </c>
      <c r="O325" s="9">
        <v>100</v>
      </c>
      <c r="P325" s="10">
        <f t="shared" si="88"/>
        <v>0</v>
      </c>
      <c r="Q325" s="12">
        <f t="shared" si="80"/>
        <v>639.30209199318563</v>
      </c>
      <c r="R325" s="11">
        <f t="shared" si="81"/>
        <v>21.729553476362859</v>
      </c>
      <c r="S325" s="6">
        <v>0</v>
      </c>
      <c r="T325" s="6">
        <v>0</v>
      </c>
      <c r="U325" s="6">
        <v>0</v>
      </c>
      <c r="V325" s="7">
        <v>0</v>
      </c>
      <c r="W325" s="9">
        <v>100</v>
      </c>
      <c r="X325" s="10">
        <f t="shared" si="89"/>
        <v>0</v>
      </c>
      <c r="Y325" s="12">
        <f t="shared" si="82"/>
        <v>639.30209199318563</v>
      </c>
      <c r="Z325" s="11">
        <f t="shared" si="83"/>
        <v>21.729553476362859</v>
      </c>
      <c r="AA325" s="6">
        <v>0</v>
      </c>
      <c r="AB325" s="6">
        <v>1</v>
      </c>
      <c r="AC325" s="6">
        <v>1</v>
      </c>
      <c r="AD325" s="7">
        <v>1</v>
      </c>
      <c r="AE325" s="9">
        <f t="shared" si="94"/>
        <v>85</v>
      </c>
      <c r="AF325" s="10">
        <f t="shared" si="90"/>
        <v>14</v>
      </c>
      <c r="AG325" s="12">
        <f t="shared" si="84"/>
        <v>553.15677819420785</v>
      </c>
      <c r="AH325" s="11">
        <f t="shared" si="85"/>
        <v>19.205764986158432</v>
      </c>
      <c r="AJ325" s="6">
        <f t="shared" si="91"/>
        <v>1000</v>
      </c>
      <c r="AK325" s="4">
        <v>308</v>
      </c>
      <c r="AM325" s="2" t="str">
        <f t="shared" si="86"/>
        <v>0</v>
      </c>
      <c r="AN325" s="2" t="str">
        <f t="shared" si="92"/>
        <v>3E8</v>
      </c>
      <c r="AO325" s="2"/>
      <c r="AP325" s="2" t="str">
        <f t="shared" si="93"/>
        <v>03E8</v>
      </c>
    </row>
    <row r="326" spans="1:42" x14ac:dyDescent="0.2">
      <c r="A326">
        <v>309</v>
      </c>
      <c r="B326">
        <v>30.8</v>
      </c>
      <c r="C326" s="6">
        <v>0</v>
      </c>
      <c r="D326" s="6">
        <v>0</v>
      </c>
      <c r="E326" s="6">
        <v>0</v>
      </c>
      <c r="F326" s="7">
        <v>0</v>
      </c>
      <c r="G326" s="9">
        <v>100</v>
      </c>
      <c r="H326" s="10">
        <f t="shared" si="87"/>
        <v>0</v>
      </c>
      <c r="I326" s="12">
        <f t="shared" si="78"/>
        <v>639.30209199318563</v>
      </c>
      <c r="J326" s="11">
        <f t="shared" si="79"/>
        <v>21.729553476362859</v>
      </c>
      <c r="K326" s="6">
        <v>0</v>
      </c>
      <c r="L326" s="6">
        <v>0</v>
      </c>
      <c r="M326" s="6">
        <v>0</v>
      </c>
      <c r="N326" s="7">
        <v>0</v>
      </c>
      <c r="O326" s="9">
        <v>100</v>
      </c>
      <c r="P326" s="10">
        <f t="shared" si="88"/>
        <v>0</v>
      </c>
      <c r="Q326" s="12">
        <f t="shared" si="80"/>
        <v>639.30209199318563</v>
      </c>
      <c r="R326" s="11">
        <f t="shared" si="81"/>
        <v>21.729553476362859</v>
      </c>
      <c r="S326" s="6">
        <v>0</v>
      </c>
      <c r="T326" s="6">
        <v>0</v>
      </c>
      <c r="U326" s="6">
        <v>0</v>
      </c>
      <c r="V326" s="7">
        <v>0</v>
      </c>
      <c r="W326" s="9">
        <v>100</v>
      </c>
      <c r="X326" s="10">
        <f t="shared" si="89"/>
        <v>0</v>
      </c>
      <c r="Y326" s="12">
        <f t="shared" si="82"/>
        <v>639.30209199318563</v>
      </c>
      <c r="Z326" s="11">
        <f t="shared" si="83"/>
        <v>21.729553476362859</v>
      </c>
      <c r="AA326" s="6">
        <v>0</v>
      </c>
      <c r="AB326" s="6">
        <v>1</v>
      </c>
      <c r="AC326" s="6">
        <v>1</v>
      </c>
      <c r="AD326" s="7">
        <v>1</v>
      </c>
      <c r="AE326" s="9">
        <f t="shared" si="94"/>
        <v>90</v>
      </c>
      <c r="AF326" s="10">
        <f t="shared" si="90"/>
        <v>14</v>
      </c>
      <c r="AG326" s="12">
        <f t="shared" si="84"/>
        <v>581.87188279386714</v>
      </c>
      <c r="AH326" s="11">
        <f t="shared" si="85"/>
        <v>20.047027816226578</v>
      </c>
      <c r="AJ326" s="6">
        <f t="shared" si="91"/>
        <v>1000</v>
      </c>
      <c r="AK326" s="4">
        <v>309</v>
      </c>
      <c r="AM326" s="2" t="str">
        <f t="shared" si="86"/>
        <v>0</v>
      </c>
      <c r="AN326" s="2" t="str">
        <f t="shared" si="92"/>
        <v>3E8</v>
      </c>
      <c r="AO326" s="2"/>
      <c r="AP326" s="2" t="str">
        <f t="shared" si="93"/>
        <v>03E8</v>
      </c>
    </row>
    <row r="327" spans="1:42" x14ac:dyDescent="0.2">
      <c r="A327">
        <v>310</v>
      </c>
      <c r="B327">
        <v>30.9</v>
      </c>
      <c r="C327" s="6">
        <v>0</v>
      </c>
      <c r="D327" s="6">
        <v>0</v>
      </c>
      <c r="E327" s="6">
        <v>0</v>
      </c>
      <c r="F327" s="7">
        <v>0</v>
      </c>
      <c r="G327" s="9">
        <v>100</v>
      </c>
      <c r="H327" s="10">
        <f t="shared" si="87"/>
        <v>0</v>
      </c>
      <c r="I327" s="12">
        <f t="shared" si="78"/>
        <v>639.30209199318563</v>
      </c>
      <c r="J327" s="11">
        <f t="shared" si="79"/>
        <v>21.729553476362859</v>
      </c>
      <c r="K327" s="6">
        <v>0</v>
      </c>
      <c r="L327" s="6">
        <v>0</v>
      </c>
      <c r="M327" s="6">
        <v>0</v>
      </c>
      <c r="N327" s="7">
        <v>0</v>
      </c>
      <c r="O327" s="9">
        <v>100</v>
      </c>
      <c r="P327" s="10">
        <f t="shared" si="88"/>
        <v>0</v>
      </c>
      <c r="Q327" s="12">
        <f t="shared" si="80"/>
        <v>639.30209199318563</v>
      </c>
      <c r="R327" s="11">
        <f t="shared" si="81"/>
        <v>21.729553476362859</v>
      </c>
      <c r="S327" s="6">
        <v>0</v>
      </c>
      <c r="T327" s="6">
        <v>0</v>
      </c>
      <c r="U327" s="6">
        <v>0</v>
      </c>
      <c r="V327" s="7">
        <v>0</v>
      </c>
      <c r="W327" s="9">
        <v>100</v>
      </c>
      <c r="X327" s="10">
        <f t="shared" si="89"/>
        <v>0</v>
      </c>
      <c r="Y327" s="12">
        <f t="shared" si="82"/>
        <v>639.30209199318563</v>
      </c>
      <c r="Z327" s="11">
        <f t="shared" si="83"/>
        <v>21.729553476362859</v>
      </c>
      <c r="AA327" s="6">
        <v>0</v>
      </c>
      <c r="AB327" s="6">
        <v>1</v>
      </c>
      <c r="AC327" s="6">
        <v>1</v>
      </c>
      <c r="AD327" s="7">
        <v>1</v>
      </c>
      <c r="AE327" s="9">
        <f t="shared" si="94"/>
        <v>95</v>
      </c>
      <c r="AF327" s="10">
        <f t="shared" si="90"/>
        <v>14</v>
      </c>
      <c r="AG327" s="12">
        <f t="shared" si="84"/>
        <v>610.58698739352633</v>
      </c>
      <c r="AH327" s="11">
        <f t="shared" si="85"/>
        <v>20.888290646294717</v>
      </c>
      <c r="AJ327" s="6">
        <f t="shared" si="91"/>
        <v>1000</v>
      </c>
      <c r="AK327" s="4">
        <v>310</v>
      </c>
      <c r="AM327" s="2" t="str">
        <f t="shared" si="86"/>
        <v>0</v>
      </c>
      <c r="AN327" s="2" t="str">
        <f t="shared" si="92"/>
        <v>3E8</v>
      </c>
      <c r="AO327" s="2"/>
      <c r="AP327" s="2" t="str">
        <f t="shared" si="93"/>
        <v>03E8</v>
      </c>
    </row>
    <row r="328" spans="1:42" x14ac:dyDescent="0.2">
      <c r="A328">
        <v>311</v>
      </c>
      <c r="B328">
        <v>31</v>
      </c>
      <c r="C328" s="6">
        <v>0</v>
      </c>
      <c r="D328" s="6">
        <v>0</v>
      </c>
      <c r="E328" s="6">
        <v>0</v>
      </c>
      <c r="F328" s="7">
        <v>0</v>
      </c>
      <c r="G328" s="9">
        <v>100</v>
      </c>
      <c r="H328" s="10">
        <f t="shared" si="87"/>
        <v>0</v>
      </c>
      <c r="I328" s="12">
        <f t="shared" si="78"/>
        <v>639.30209199318563</v>
      </c>
      <c r="J328" s="11">
        <f t="shared" si="79"/>
        <v>21.729553476362859</v>
      </c>
      <c r="K328" s="6">
        <v>0</v>
      </c>
      <c r="L328" s="6">
        <v>0</v>
      </c>
      <c r="M328" s="6">
        <v>0</v>
      </c>
      <c r="N328" s="7">
        <v>0</v>
      </c>
      <c r="O328" s="9">
        <v>100</v>
      </c>
      <c r="P328" s="10">
        <f t="shared" si="88"/>
        <v>0</v>
      </c>
      <c r="Q328" s="12">
        <f t="shared" si="80"/>
        <v>639.30209199318563</v>
      </c>
      <c r="R328" s="11">
        <f t="shared" si="81"/>
        <v>21.729553476362859</v>
      </c>
      <c r="S328" s="6">
        <v>0</v>
      </c>
      <c r="T328" s="6">
        <v>0</v>
      </c>
      <c r="U328" s="6">
        <v>0</v>
      </c>
      <c r="V328" s="7">
        <v>0</v>
      </c>
      <c r="W328" s="9">
        <v>100</v>
      </c>
      <c r="X328" s="10">
        <f t="shared" si="89"/>
        <v>0</v>
      </c>
      <c r="Y328" s="12">
        <f t="shared" si="82"/>
        <v>639.30209199318563</v>
      </c>
      <c r="Z328" s="11">
        <f t="shared" si="83"/>
        <v>21.729553476362859</v>
      </c>
      <c r="AA328" s="6">
        <v>0</v>
      </c>
      <c r="AB328" s="6">
        <v>1</v>
      </c>
      <c r="AC328" s="6">
        <v>1</v>
      </c>
      <c r="AD328" s="7">
        <v>1</v>
      </c>
      <c r="AE328" s="9">
        <f t="shared" si="94"/>
        <v>100</v>
      </c>
      <c r="AF328" s="10">
        <f t="shared" si="90"/>
        <v>14</v>
      </c>
      <c r="AG328" s="12">
        <f t="shared" si="84"/>
        <v>639.30209199318563</v>
      </c>
      <c r="AH328" s="11">
        <f t="shared" si="85"/>
        <v>21.729553476362859</v>
      </c>
      <c r="AJ328" s="6">
        <f t="shared" si="91"/>
        <v>1000</v>
      </c>
      <c r="AK328" s="4">
        <v>311</v>
      </c>
      <c r="AM328" s="2" t="str">
        <f t="shared" si="86"/>
        <v>0</v>
      </c>
      <c r="AN328" s="2" t="str">
        <f t="shared" si="92"/>
        <v>3E8</v>
      </c>
      <c r="AO328" s="2"/>
      <c r="AP328" s="2" t="str">
        <f t="shared" si="93"/>
        <v>03E8</v>
      </c>
    </row>
    <row r="329" spans="1:42" x14ac:dyDescent="0.2">
      <c r="A329">
        <v>312</v>
      </c>
      <c r="B329">
        <v>31.1</v>
      </c>
      <c r="C329" s="6">
        <v>0</v>
      </c>
      <c r="D329" s="6">
        <v>0</v>
      </c>
      <c r="E329" s="6">
        <v>0</v>
      </c>
      <c r="F329" s="7">
        <v>0</v>
      </c>
      <c r="G329" s="9">
        <v>100</v>
      </c>
      <c r="H329" s="10">
        <f t="shared" si="87"/>
        <v>0</v>
      </c>
      <c r="I329" s="12">
        <f t="shared" si="78"/>
        <v>639.30209199318563</v>
      </c>
      <c r="J329" s="11">
        <f t="shared" si="79"/>
        <v>21.729553476362859</v>
      </c>
      <c r="K329" s="6">
        <v>0</v>
      </c>
      <c r="L329" s="6">
        <v>0</v>
      </c>
      <c r="M329" s="6">
        <v>0</v>
      </c>
      <c r="N329" s="7">
        <v>0</v>
      </c>
      <c r="O329" s="9">
        <v>100</v>
      </c>
      <c r="P329" s="10">
        <f t="shared" si="88"/>
        <v>0</v>
      </c>
      <c r="Q329" s="12">
        <f t="shared" si="80"/>
        <v>639.30209199318563</v>
      </c>
      <c r="R329" s="11">
        <f t="shared" si="81"/>
        <v>21.729553476362859</v>
      </c>
      <c r="S329" s="6">
        <v>0</v>
      </c>
      <c r="T329" s="6">
        <v>0</v>
      </c>
      <c r="U329" s="6">
        <v>0</v>
      </c>
      <c r="V329" s="7">
        <v>0</v>
      </c>
      <c r="W329" s="9">
        <v>100</v>
      </c>
      <c r="X329" s="10">
        <f t="shared" si="89"/>
        <v>0</v>
      </c>
      <c r="Y329" s="12">
        <f t="shared" si="82"/>
        <v>639.30209199318563</v>
      </c>
      <c r="Z329" s="11">
        <f t="shared" si="83"/>
        <v>21.729553476362859</v>
      </c>
      <c r="AA329" s="6">
        <v>0</v>
      </c>
      <c r="AB329" s="6">
        <v>1</v>
      </c>
      <c r="AC329" s="6">
        <v>1</v>
      </c>
      <c r="AD329" s="7">
        <v>1</v>
      </c>
      <c r="AE329" s="9">
        <v>100</v>
      </c>
      <c r="AF329" s="10">
        <f t="shared" si="90"/>
        <v>14</v>
      </c>
      <c r="AG329" s="12">
        <f t="shared" si="84"/>
        <v>639.30209199318563</v>
      </c>
      <c r="AH329" s="11">
        <f t="shared" si="85"/>
        <v>21.729553476362859</v>
      </c>
      <c r="AJ329" s="6">
        <f t="shared" si="91"/>
        <v>1000</v>
      </c>
      <c r="AK329" s="4">
        <v>312</v>
      </c>
      <c r="AM329" s="2" t="str">
        <f t="shared" si="86"/>
        <v>0</v>
      </c>
      <c r="AN329" s="2" t="str">
        <f t="shared" si="92"/>
        <v>3E8</v>
      </c>
      <c r="AO329" s="2"/>
      <c r="AP329" s="2" t="str">
        <f t="shared" si="93"/>
        <v>03E8</v>
      </c>
    </row>
    <row r="330" spans="1:42" x14ac:dyDescent="0.2">
      <c r="A330">
        <v>313</v>
      </c>
      <c r="B330">
        <v>31.2</v>
      </c>
      <c r="C330" s="6">
        <v>0</v>
      </c>
      <c r="D330" s="6">
        <v>0</v>
      </c>
      <c r="E330" s="6">
        <v>0</v>
      </c>
      <c r="F330" s="7">
        <v>0</v>
      </c>
      <c r="G330" s="9">
        <v>100</v>
      </c>
      <c r="H330" s="10">
        <f t="shared" si="87"/>
        <v>0</v>
      </c>
      <c r="I330" s="12">
        <f t="shared" si="78"/>
        <v>639.30209199318563</v>
      </c>
      <c r="J330" s="11">
        <f t="shared" si="79"/>
        <v>21.729553476362859</v>
      </c>
      <c r="K330" s="6">
        <v>0</v>
      </c>
      <c r="L330" s="6">
        <v>0</v>
      </c>
      <c r="M330" s="6">
        <v>0</v>
      </c>
      <c r="N330" s="7">
        <v>0</v>
      </c>
      <c r="O330" s="9">
        <v>100</v>
      </c>
      <c r="P330" s="10">
        <f t="shared" si="88"/>
        <v>0</v>
      </c>
      <c r="Q330" s="12">
        <f t="shared" si="80"/>
        <v>639.30209199318563</v>
      </c>
      <c r="R330" s="11">
        <f t="shared" si="81"/>
        <v>21.729553476362859</v>
      </c>
      <c r="S330" s="6">
        <v>0</v>
      </c>
      <c r="T330" s="6">
        <v>0</v>
      </c>
      <c r="U330" s="6">
        <v>0</v>
      </c>
      <c r="V330" s="7">
        <v>0</v>
      </c>
      <c r="W330" s="9">
        <v>100</v>
      </c>
      <c r="X330" s="10">
        <f t="shared" si="89"/>
        <v>0</v>
      </c>
      <c r="Y330" s="12">
        <f t="shared" si="82"/>
        <v>639.30209199318563</v>
      </c>
      <c r="Z330" s="11">
        <f t="shared" si="83"/>
        <v>21.729553476362859</v>
      </c>
      <c r="AA330" s="6">
        <v>0</v>
      </c>
      <c r="AB330" s="6">
        <v>1</v>
      </c>
      <c r="AC330" s="6">
        <v>1</v>
      </c>
      <c r="AD330" s="7">
        <v>1</v>
      </c>
      <c r="AE330" s="9">
        <v>100</v>
      </c>
      <c r="AF330" s="10">
        <f t="shared" si="90"/>
        <v>14</v>
      </c>
      <c r="AG330" s="12">
        <f t="shared" si="84"/>
        <v>639.30209199318563</v>
      </c>
      <c r="AH330" s="11">
        <f t="shared" si="85"/>
        <v>21.729553476362859</v>
      </c>
      <c r="AJ330" s="6">
        <f t="shared" si="91"/>
        <v>1000</v>
      </c>
      <c r="AK330" s="4">
        <v>313</v>
      </c>
      <c r="AM330" s="2" t="str">
        <f t="shared" si="86"/>
        <v>0</v>
      </c>
      <c r="AN330" s="2" t="str">
        <f t="shared" si="92"/>
        <v>3E8</v>
      </c>
      <c r="AO330" s="2"/>
      <c r="AP330" s="2" t="str">
        <f t="shared" si="93"/>
        <v>03E8</v>
      </c>
    </row>
    <row r="331" spans="1:42" x14ac:dyDescent="0.2">
      <c r="A331">
        <v>314</v>
      </c>
      <c r="B331">
        <v>31.3</v>
      </c>
      <c r="C331" s="6">
        <v>0</v>
      </c>
      <c r="D331" s="6">
        <v>0</v>
      </c>
      <c r="E331" s="6">
        <v>0</v>
      </c>
      <c r="F331" s="7">
        <v>0</v>
      </c>
      <c r="G331" s="9">
        <v>100</v>
      </c>
      <c r="H331" s="10">
        <f t="shared" si="87"/>
        <v>0</v>
      </c>
      <c r="I331" s="12">
        <f t="shared" si="78"/>
        <v>639.30209199318563</v>
      </c>
      <c r="J331" s="11">
        <f t="shared" si="79"/>
        <v>21.729553476362859</v>
      </c>
      <c r="K331" s="6">
        <v>0</v>
      </c>
      <c r="L331" s="6">
        <v>0</v>
      </c>
      <c r="M331" s="6">
        <v>0</v>
      </c>
      <c r="N331" s="7">
        <v>0</v>
      </c>
      <c r="O331" s="9">
        <v>100</v>
      </c>
      <c r="P331" s="10">
        <f t="shared" si="88"/>
        <v>0</v>
      </c>
      <c r="Q331" s="12">
        <f t="shared" si="80"/>
        <v>639.30209199318563</v>
      </c>
      <c r="R331" s="11">
        <f t="shared" si="81"/>
        <v>21.729553476362859</v>
      </c>
      <c r="S331" s="6">
        <v>0</v>
      </c>
      <c r="T331" s="6">
        <v>0</v>
      </c>
      <c r="U331" s="6">
        <v>0</v>
      </c>
      <c r="V331" s="7">
        <v>0</v>
      </c>
      <c r="W331" s="9">
        <v>100</v>
      </c>
      <c r="X331" s="10">
        <f t="shared" si="89"/>
        <v>0</v>
      </c>
      <c r="Y331" s="12">
        <f t="shared" si="82"/>
        <v>639.30209199318563</v>
      </c>
      <c r="Z331" s="11">
        <f t="shared" si="83"/>
        <v>21.729553476362859</v>
      </c>
      <c r="AA331" s="6">
        <v>0</v>
      </c>
      <c r="AB331" s="6">
        <v>1</v>
      </c>
      <c r="AC331" s="6">
        <v>1</v>
      </c>
      <c r="AD331" s="7">
        <v>1</v>
      </c>
      <c r="AE331" s="9">
        <v>100</v>
      </c>
      <c r="AF331" s="10">
        <f t="shared" si="90"/>
        <v>14</v>
      </c>
      <c r="AG331" s="12">
        <f t="shared" si="84"/>
        <v>639.30209199318563</v>
      </c>
      <c r="AH331" s="11">
        <f t="shared" si="85"/>
        <v>21.729553476362859</v>
      </c>
      <c r="AJ331" s="6">
        <f t="shared" si="91"/>
        <v>1000</v>
      </c>
      <c r="AK331" s="4">
        <v>314</v>
      </c>
      <c r="AM331" s="2" t="str">
        <f t="shared" si="86"/>
        <v>0</v>
      </c>
      <c r="AN331" s="2" t="str">
        <f t="shared" si="92"/>
        <v>3E8</v>
      </c>
      <c r="AO331" s="2"/>
      <c r="AP331" s="2" t="str">
        <f t="shared" si="93"/>
        <v>03E8</v>
      </c>
    </row>
    <row r="332" spans="1:42" x14ac:dyDescent="0.2">
      <c r="A332">
        <v>315</v>
      </c>
      <c r="B332">
        <v>31.4</v>
      </c>
      <c r="C332" s="6">
        <v>0</v>
      </c>
      <c r="D332" s="6">
        <v>0</v>
      </c>
      <c r="E332" s="6">
        <v>0</v>
      </c>
      <c r="F332" s="7">
        <v>0</v>
      </c>
      <c r="G332" s="9">
        <v>100</v>
      </c>
      <c r="H332" s="10">
        <f t="shared" si="87"/>
        <v>0</v>
      </c>
      <c r="I332" s="12">
        <f t="shared" si="78"/>
        <v>639.30209199318563</v>
      </c>
      <c r="J332" s="11">
        <f t="shared" si="79"/>
        <v>21.729553476362859</v>
      </c>
      <c r="K332" s="6">
        <v>0</v>
      </c>
      <c r="L332" s="6">
        <v>0</v>
      </c>
      <c r="M332" s="6">
        <v>0</v>
      </c>
      <c r="N332" s="7">
        <v>0</v>
      </c>
      <c r="O332" s="9">
        <v>100</v>
      </c>
      <c r="P332" s="10">
        <f t="shared" si="88"/>
        <v>0</v>
      </c>
      <c r="Q332" s="12">
        <f t="shared" si="80"/>
        <v>639.30209199318563</v>
      </c>
      <c r="R332" s="11">
        <f t="shared" si="81"/>
        <v>21.729553476362859</v>
      </c>
      <c r="S332" s="6">
        <v>0</v>
      </c>
      <c r="T332" s="6">
        <v>0</v>
      </c>
      <c r="U332" s="6">
        <v>0</v>
      </c>
      <c r="V332" s="7">
        <v>0</v>
      </c>
      <c r="W332" s="9">
        <v>100</v>
      </c>
      <c r="X332" s="10">
        <f t="shared" si="89"/>
        <v>0</v>
      </c>
      <c r="Y332" s="12">
        <f t="shared" si="82"/>
        <v>639.30209199318563</v>
      </c>
      <c r="Z332" s="11">
        <f t="shared" si="83"/>
        <v>21.729553476362859</v>
      </c>
      <c r="AA332" s="6">
        <v>0</v>
      </c>
      <c r="AB332" s="6">
        <v>1</v>
      </c>
      <c r="AC332" s="6">
        <v>1</v>
      </c>
      <c r="AD332" s="7">
        <v>1</v>
      </c>
      <c r="AE332" s="9">
        <v>100</v>
      </c>
      <c r="AF332" s="10">
        <f t="shared" si="90"/>
        <v>14</v>
      </c>
      <c r="AG332" s="12">
        <f t="shared" si="84"/>
        <v>639.30209199318563</v>
      </c>
      <c r="AH332" s="11">
        <f t="shared" si="85"/>
        <v>21.729553476362859</v>
      </c>
      <c r="AJ332" s="6">
        <f t="shared" si="91"/>
        <v>1000</v>
      </c>
      <c r="AK332" s="4">
        <v>315</v>
      </c>
      <c r="AM332" s="2" t="str">
        <f t="shared" si="86"/>
        <v>0</v>
      </c>
      <c r="AN332" s="2" t="str">
        <f t="shared" si="92"/>
        <v>3E8</v>
      </c>
      <c r="AO332" s="2"/>
      <c r="AP332" s="2" t="str">
        <f t="shared" si="93"/>
        <v>03E8</v>
      </c>
    </row>
    <row r="333" spans="1:42" x14ac:dyDescent="0.2">
      <c r="A333">
        <v>316</v>
      </c>
      <c r="B333">
        <v>31.5</v>
      </c>
      <c r="C333" s="6">
        <v>0</v>
      </c>
      <c r="D333" s="6">
        <v>0</v>
      </c>
      <c r="E333" s="6">
        <v>0</v>
      </c>
      <c r="F333" s="7">
        <v>0</v>
      </c>
      <c r="G333" s="9">
        <v>100</v>
      </c>
      <c r="H333" s="10">
        <f t="shared" si="87"/>
        <v>0</v>
      </c>
      <c r="I333" s="12">
        <f t="shared" si="78"/>
        <v>639.30209199318563</v>
      </c>
      <c r="J333" s="11">
        <f t="shared" si="79"/>
        <v>21.729553476362859</v>
      </c>
      <c r="K333" s="6">
        <v>0</v>
      </c>
      <c r="L333" s="6">
        <v>0</v>
      </c>
      <c r="M333" s="6">
        <v>0</v>
      </c>
      <c r="N333" s="7">
        <v>0</v>
      </c>
      <c r="O333" s="9">
        <v>100</v>
      </c>
      <c r="P333" s="10">
        <f t="shared" si="88"/>
        <v>0</v>
      </c>
      <c r="Q333" s="12">
        <f t="shared" si="80"/>
        <v>639.30209199318563</v>
      </c>
      <c r="R333" s="11">
        <f t="shared" si="81"/>
        <v>21.729553476362859</v>
      </c>
      <c r="S333" s="6">
        <v>0</v>
      </c>
      <c r="T333" s="6">
        <v>0</v>
      </c>
      <c r="U333" s="6">
        <v>0</v>
      </c>
      <c r="V333" s="7">
        <v>0</v>
      </c>
      <c r="W333" s="9">
        <v>100</v>
      </c>
      <c r="X333" s="10">
        <f t="shared" si="89"/>
        <v>0</v>
      </c>
      <c r="Y333" s="12">
        <f t="shared" si="82"/>
        <v>639.30209199318563</v>
      </c>
      <c r="Z333" s="11">
        <f t="shared" si="83"/>
        <v>21.729553476362859</v>
      </c>
      <c r="AA333" s="6">
        <v>0</v>
      </c>
      <c r="AB333" s="6">
        <v>1</v>
      </c>
      <c r="AC333" s="6">
        <v>1</v>
      </c>
      <c r="AD333" s="7">
        <v>1</v>
      </c>
      <c r="AE333" s="9">
        <v>100</v>
      </c>
      <c r="AF333" s="10">
        <f t="shared" si="90"/>
        <v>14</v>
      </c>
      <c r="AG333" s="12">
        <f t="shared" si="84"/>
        <v>639.30209199318563</v>
      </c>
      <c r="AH333" s="11">
        <f t="shared" si="85"/>
        <v>21.729553476362859</v>
      </c>
      <c r="AJ333" s="6">
        <f t="shared" si="91"/>
        <v>1000</v>
      </c>
      <c r="AK333" s="4">
        <v>316</v>
      </c>
      <c r="AM333" s="2" t="str">
        <f t="shared" si="86"/>
        <v>0</v>
      </c>
      <c r="AN333" s="2" t="str">
        <f t="shared" si="92"/>
        <v>3E8</v>
      </c>
      <c r="AO333" s="2"/>
      <c r="AP333" s="2" t="str">
        <f t="shared" si="93"/>
        <v>03E8</v>
      </c>
    </row>
    <row r="334" spans="1:42" x14ac:dyDescent="0.2">
      <c r="A334">
        <v>317</v>
      </c>
      <c r="B334">
        <v>31.6</v>
      </c>
      <c r="C334" s="6">
        <v>0</v>
      </c>
      <c r="D334" s="6">
        <v>0</v>
      </c>
      <c r="E334" s="6">
        <v>0</v>
      </c>
      <c r="F334" s="7">
        <v>0</v>
      </c>
      <c r="G334" s="9">
        <v>100</v>
      </c>
      <c r="H334" s="10">
        <f t="shared" si="87"/>
        <v>0</v>
      </c>
      <c r="I334" s="12">
        <f t="shared" si="78"/>
        <v>639.30209199318563</v>
      </c>
      <c r="J334" s="11">
        <f t="shared" si="79"/>
        <v>21.729553476362859</v>
      </c>
      <c r="K334" s="6">
        <v>0</v>
      </c>
      <c r="L334" s="6">
        <v>0</v>
      </c>
      <c r="M334" s="6">
        <v>0</v>
      </c>
      <c r="N334" s="7">
        <v>0</v>
      </c>
      <c r="O334" s="9">
        <v>100</v>
      </c>
      <c r="P334" s="10">
        <f t="shared" si="88"/>
        <v>0</v>
      </c>
      <c r="Q334" s="12">
        <f t="shared" si="80"/>
        <v>639.30209199318563</v>
      </c>
      <c r="R334" s="11">
        <f t="shared" si="81"/>
        <v>21.729553476362859</v>
      </c>
      <c r="S334" s="6">
        <v>0</v>
      </c>
      <c r="T334" s="6">
        <v>0</v>
      </c>
      <c r="U334" s="6">
        <v>0</v>
      </c>
      <c r="V334" s="7">
        <v>0</v>
      </c>
      <c r="W334" s="9">
        <v>100</v>
      </c>
      <c r="X334" s="10">
        <f t="shared" si="89"/>
        <v>0</v>
      </c>
      <c r="Y334" s="12">
        <f t="shared" si="82"/>
        <v>639.30209199318563</v>
      </c>
      <c r="Z334" s="11">
        <f t="shared" si="83"/>
        <v>21.729553476362859</v>
      </c>
      <c r="AA334" s="6">
        <v>0</v>
      </c>
      <c r="AB334" s="6">
        <v>1</v>
      </c>
      <c r="AC334" s="6">
        <v>1</v>
      </c>
      <c r="AD334" s="7">
        <v>1</v>
      </c>
      <c r="AE334" s="9">
        <v>100</v>
      </c>
      <c r="AF334" s="10">
        <f t="shared" si="90"/>
        <v>14</v>
      </c>
      <c r="AG334" s="12">
        <f t="shared" si="84"/>
        <v>639.30209199318563</v>
      </c>
      <c r="AH334" s="11">
        <f t="shared" si="85"/>
        <v>21.729553476362859</v>
      </c>
      <c r="AJ334" s="6">
        <f t="shared" si="91"/>
        <v>1000</v>
      </c>
      <c r="AK334" s="4">
        <v>317</v>
      </c>
      <c r="AM334" s="2" t="str">
        <f t="shared" si="86"/>
        <v>0</v>
      </c>
      <c r="AN334" s="2" t="str">
        <f t="shared" si="92"/>
        <v>3E8</v>
      </c>
      <c r="AO334" s="2"/>
      <c r="AP334" s="2" t="str">
        <f t="shared" si="93"/>
        <v>03E8</v>
      </c>
    </row>
    <row r="335" spans="1:42" x14ac:dyDescent="0.2">
      <c r="A335">
        <v>318</v>
      </c>
      <c r="B335">
        <v>31.7</v>
      </c>
      <c r="C335" s="6">
        <v>0</v>
      </c>
      <c r="D335" s="6">
        <v>0</v>
      </c>
      <c r="E335" s="6">
        <v>0</v>
      </c>
      <c r="F335" s="7">
        <v>0</v>
      </c>
      <c r="G335" s="9">
        <v>100</v>
      </c>
      <c r="H335" s="10">
        <f t="shared" si="87"/>
        <v>0</v>
      </c>
      <c r="I335" s="12">
        <f t="shared" si="78"/>
        <v>639.30209199318563</v>
      </c>
      <c r="J335" s="11">
        <f t="shared" si="79"/>
        <v>21.729553476362859</v>
      </c>
      <c r="K335" s="6">
        <v>0</v>
      </c>
      <c r="L335" s="6">
        <v>0</v>
      </c>
      <c r="M335" s="6">
        <v>0</v>
      </c>
      <c r="N335" s="7">
        <v>0</v>
      </c>
      <c r="O335" s="9">
        <v>100</v>
      </c>
      <c r="P335" s="10">
        <f t="shared" si="88"/>
        <v>0</v>
      </c>
      <c r="Q335" s="12">
        <f t="shared" si="80"/>
        <v>639.30209199318563</v>
      </c>
      <c r="R335" s="11">
        <f t="shared" si="81"/>
        <v>21.729553476362859</v>
      </c>
      <c r="S335" s="6">
        <v>0</v>
      </c>
      <c r="T335" s="6">
        <v>0</v>
      </c>
      <c r="U335" s="6">
        <v>0</v>
      </c>
      <c r="V335" s="7">
        <v>0</v>
      </c>
      <c r="W335" s="9">
        <v>100</v>
      </c>
      <c r="X335" s="10">
        <f t="shared" si="89"/>
        <v>0</v>
      </c>
      <c r="Y335" s="12">
        <f t="shared" si="82"/>
        <v>639.30209199318563</v>
      </c>
      <c r="Z335" s="11">
        <f t="shared" si="83"/>
        <v>21.729553476362859</v>
      </c>
      <c r="AA335" s="6">
        <v>0</v>
      </c>
      <c r="AB335" s="6">
        <v>1</v>
      </c>
      <c r="AC335" s="6">
        <v>1</v>
      </c>
      <c r="AD335" s="7">
        <v>1</v>
      </c>
      <c r="AE335" s="9">
        <v>100</v>
      </c>
      <c r="AF335" s="10">
        <f t="shared" si="90"/>
        <v>14</v>
      </c>
      <c r="AG335" s="12">
        <f t="shared" si="84"/>
        <v>639.30209199318563</v>
      </c>
      <c r="AH335" s="11">
        <f t="shared" si="85"/>
        <v>21.729553476362859</v>
      </c>
      <c r="AJ335" s="6">
        <f t="shared" si="91"/>
        <v>1000</v>
      </c>
      <c r="AK335" s="4">
        <v>318</v>
      </c>
      <c r="AM335" s="2" t="str">
        <f t="shared" si="86"/>
        <v>0</v>
      </c>
      <c r="AN335" s="2" t="str">
        <f t="shared" si="92"/>
        <v>3E8</v>
      </c>
      <c r="AO335" s="2"/>
      <c r="AP335" s="2" t="str">
        <f t="shared" si="93"/>
        <v>03E8</v>
      </c>
    </row>
    <row r="336" spans="1:42" x14ac:dyDescent="0.2">
      <c r="A336">
        <v>319</v>
      </c>
      <c r="B336">
        <v>31.8</v>
      </c>
      <c r="C336" s="6">
        <v>0</v>
      </c>
      <c r="D336" s="6">
        <v>0</v>
      </c>
      <c r="E336" s="6">
        <v>0</v>
      </c>
      <c r="F336" s="7">
        <v>0</v>
      </c>
      <c r="G336" s="9">
        <v>100</v>
      </c>
      <c r="H336" s="10">
        <f t="shared" si="87"/>
        <v>0</v>
      </c>
      <c r="I336" s="12">
        <f t="shared" si="78"/>
        <v>639.30209199318563</v>
      </c>
      <c r="J336" s="11">
        <f t="shared" si="79"/>
        <v>21.729553476362859</v>
      </c>
      <c r="K336" s="6">
        <v>0</v>
      </c>
      <c r="L336" s="6">
        <v>0</v>
      </c>
      <c r="M336" s="6">
        <v>0</v>
      </c>
      <c r="N336" s="7">
        <v>0</v>
      </c>
      <c r="O336" s="9">
        <v>100</v>
      </c>
      <c r="P336" s="10">
        <f t="shared" si="88"/>
        <v>0</v>
      </c>
      <c r="Q336" s="12">
        <f t="shared" si="80"/>
        <v>639.30209199318563</v>
      </c>
      <c r="R336" s="11">
        <f t="shared" si="81"/>
        <v>21.729553476362859</v>
      </c>
      <c r="S336" s="6">
        <v>0</v>
      </c>
      <c r="T336" s="6">
        <v>0</v>
      </c>
      <c r="U336" s="6">
        <v>0</v>
      </c>
      <c r="V336" s="7">
        <v>0</v>
      </c>
      <c r="W336" s="9">
        <v>100</v>
      </c>
      <c r="X336" s="10">
        <f t="shared" si="89"/>
        <v>0</v>
      </c>
      <c r="Y336" s="12">
        <f t="shared" si="82"/>
        <v>639.30209199318563</v>
      </c>
      <c r="Z336" s="11">
        <f t="shared" si="83"/>
        <v>21.729553476362859</v>
      </c>
      <c r="AA336" s="6">
        <v>0</v>
      </c>
      <c r="AB336" s="6">
        <v>1</v>
      </c>
      <c r="AC336" s="6">
        <v>1</v>
      </c>
      <c r="AD336" s="7">
        <v>1</v>
      </c>
      <c r="AE336" s="9">
        <v>100</v>
      </c>
      <c r="AF336" s="10">
        <f t="shared" si="90"/>
        <v>14</v>
      </c>
      <c r="AG336" s="12">
        <f t="shared" si="84"/>
        <v>639.30209199318563</v>
      </c>
      <c r="AH336" s="11">
        <f t="shared" si="85"/>
        <v>21.729553476362859</v>
      </c>
      <c r="AJ336" s="6">
        <f t="shared" si="91"/>
        <v>1000</v>
      </c>
      <c r="AK336" s="4">
        <v>319</v>
      </c>
      <c r="AM336" s="2" t="str">
        <f t="shared" si="86"/>
        <v>0</v>
      </c>
      <c r="AN336" s="2" t="str">
        <f t="shared" si="92"/>
        <v>3E8</v>
      </c>
      <c r="AO336" s="2"/>
      <c r="AP336" s="2" t="str">
        <f t="shared" si="93"/>
        <v>03E8</v>
      </c>
    </row>
    <row r="337" spans="1:42" x14ac:dyDescent="0.2">
      <c r="A337">
        <v>320</v>
      </c>
      <c r="B337">
        <v>31.9</v>
      </c>
      <c r="C337" s="6">
        <v>0</v>
      </c>
      <c r="D337" s="6">
        <v>0</v>
      </c>
      <c r="E337" s="6">
        <v>0</v>
      </c>
      <c r="F337" s="7">
        <v>0</v>
      </c>
      <c r="G337" s="9">
        <v>100</v>
      </c>
      <c r="H337" s="10">
        <f t="shared" si="87"/>
        <v>0</v>
      </c>
      <c r="I337" s="12">
        <f t="shared" si="78"/>
        <v>639.30209199318563</v>
      </c>
      <c r="J337" s="11">
        <f t="shared" si="79"/>
        <v>21.729553476362859</v>
      </c>
      <c r="K337" s="6">
        <v>0</v>
      </c>
      <c r="L337" s="6">
        <v>0</v>
      </c>
      <c r="M337" s="6">
        <v>0</v>
      </c>
      <c r="N337" s="7">
        <v>0</v>
      </c>
      <c r="O337" s="9">
        <v>100</v>
      </c>
      <c r="P337" s="10">
        <f t="shared" si="88"/>
        <v>0</v>
      </c>
      <c r="Q337" s="12">
        <f t="shared" si="80"/>
        <v>639.30209199318563</v>
      </c>
      <c r="R337" s="11">
        <f t="shared" si="81"/>
        <v>21.729553476362859</v>
      </c>
      <c r="S337" s="6">
        <v>0</v>
      </c>
      <c r="T337" s="6">
        <v>0</v>
      </c>
      <c r="U337" s="6">
        <v>0</v>
      </c>
      <c r="V337" s="7">
        <v>0</v>
      </c>
      <c r="W337" s="9">
        <v>100</v>
      </c>
      <c r="X337" s="10">
        <f t="shared" si="89"/>
        <v>0</v>
      </c>
      <c r="Y337" s="12">
        <f t="shared" si="82"/>
        <v>639.30209199318563</v>
      </c>
      <c r="Z337" s="11">
        <f t="shared" si="83"/>
        <v>21.729553476362859</v>
      </c>
      <c r="AA337" s="6">
        <v>0</v>
      </c>
      <c r="AB337" s="6">
        <v>1</v>
      </c>
      <c r="AC337" s="6">
        <v>1</v>
      </c>
      <c r="AD337" s="7">
        <v>1</v>
      </c>
      <c r="AE337" s="9">
        <v>100</v>
      </c>
      <c r="AF337" s="10">
        <f t="shared" si="90"/>
        <v>14</v>
      </c>
      <c r="AG337" s="12">
        <f t="shared" si="84"/>
        <v>639.30209199318563</v>
      </c>
      <c r="AH337" s="11">
        <f t="shared" si="85"/>
        <v>21.729553476362859</v>
      </c>
      <c r="AJ337" s="6">
        <f t="shared" si="91"/>
        <v>1000</v>
      </c>
      <c r="AK337" s="4">
        <v>320</v>
      </c>
      <c r="AM337" s="2" t="str">
        <f t="shared" si="86"/>
        <v>0</v>
      </c>
      <c r="AN337" s="2" t="str">
        <f t="shared" si="92"/>
        <v>3E8</v>
      </c>
      <c r="AO337" s="2"/>
      <c r="AP337" s="2" t="str">
        <f t="shared" si="93"/>
        <v>03E8</v>
      </c>
    </row>
    <row r="338" spans="1:42" x14ac:dyDescent="0.2">
      <c r="A338">
        <v>321</v>
      </c>
      <c r="B338">
        <v>32</v>
      </c>
      <c r="C338" s="6">
        <v>0</v>
      </c>
      <c r="D338" s="6">
        <v>0</v>
      </c>
      <c r="E338" s="6">
        <v>0</v>
      </c>
      <c r="F338" s="7">
        <v>0</v>
      </c>
      <c r="G338" s="9">
        <v>100</v>
      </c>
      <c r="H338" s="10">
        <f t="shared" si="87"/>
        <v>0</v>
      </c>
      <c r="I338" s="12">
        <f t="shared" ref="I338:I401" si="95">PH_FIRE_VOLTAGE_OFFSET + 1023*(G338/100*G$16*$I$7+$I$6)*$S$10/(PH_FIRE_VOLTAGE_AMPLITUDE*0.01)</f>
        <v>639.30209199318563</v>
      </c>
      <c r="J338" s="11">
        <f t="shared" ref="J338:J401" si="96">I338/(DAC_LIMIT_MAX-DAC_LIMIT_MIN+1)*GAIN_PREAMP*GAIN_POWERAMP+OFFSET_AMP</f>
        <v>21.729553476362859</v>
      </c>
      <c r="K338" s="6">
        <v>0</v>
      </c>
      <c r="L338" s="6">
        <v>0</v>
      </c>
      <c r="M338" s="6">
        <v>0</v>
      </c>
      <c r="N338" s="7">
        <v>0</v>
      </c>
      <c r="O338" s="9">
        <v>100</v>
      </c>
      <c r="P338" s="10">
        <f t="shared" si="88"/>
        <v>0</v>
      </c>
      <c r="Q338" s="12">
        <f t="shared" ref="Q338:Q401" si="97">PH_FIRE_VOLTAGE_OFFSET + 1023*(O338/100*O$16*$I$7+$I$6)*$S$10/(PH_FIRE_VOLTAGE_AMPLITUDE*0.01)</f>
        <v>639.30209199318563</v>
      </c>
      <c r="R338" s="11">
        <f t="shared" ref="R338:R401" si="98">Q338/(DAC_LIMIT_MAX-DAC_LIMIT_MIN+1)*GAIN_PREAMP*GAIN_POWERAMP+OFFSET_AMP</f>
        <v>21.729553476362859</v>
      </c>
      <c r="S338" s="6">
        <v>0</v>
      </c>
      <c r="T338" s="6">
        <v>0</v>
      </c>
      <c r="U338" s="6">
        <v>0</v>
      </c>
      <c r="V338" s="7">
        <v>0</v>
      </c>
      <c r="W338" s="9">
        <v>100</v>
      </c>
      <c r="X338" s="10">
        <f t="shared" si="89"/>
        <v>0</v>
      </c>
      <c r="Y338" s="12">
        <f t="shared" ref="Y338:Y401" si="99">PH_FIRE_VOLTAGE_OFFSET + 1023*(W338/100*W$16*$I$7+$I$6)*$S$10/(PH_FIRE_VOLTAGE_AMPLITUDE*0.01)</f>
        <v>639.30209199318563</v>
      </c>
      <c r="Z338" s="11">
        <f t="shared" ref="Z338:Z401" si="100">Y338/(DAC_LIMIT_MAX-DAC_LIMIT_MIN+1)*GAIN_PREAMP*GAIN_POWERAMP+OFFSET_AMP</f>
        <v>21.729553476362859</v>
      </c>
      <c r="AA338" s="6">
        <v>0</v>
      </c>
      <c r="AB338" s="6">
        <v>1</v>
      </c>
      <c r="AC338" s="6">
        <v>1</v>
      </c>
      <c r="AD338" s="7">
        <v>1</v>
      </c>
      <c r="AE338" s="9">
        <v>100</v>
      </c>
      <c r="AF338" s="10">
        <f t="shared" si="90"/>
        <v>14</v>
      </c>
      <c r="AG338" s="12">
        <f t="shared" ref="AG338:AG401" si="101">PH_FIRE_VOLTAGE_OFFSET + 1023*(AE338/100*AE$16*$I$7+$I$6)*$S$10/(PH_FIRE_VOLTAGE_AMPLITUDE*0.01)</f>
        <v>639.30209199318563</v>
      </c>
      <c r="AH338" s="11">
        <f t="shared" ref="AH338:AH401" si="102">AG338/(DAC_LIMIT_MAX-DAC_LIMIT_MIN+1)*GAIN_PREAMP*GAIN_POWERAMP+OFFSET_AMP</f>
        <v>21.729553476362859</v>
      </c>
      <c r="AJ338" s="6">
        <f t="shared" si="91"/>
        <v>1000</v>
      </c>
      <c r="AK338" s="4">
        <v>321</v>
      </c>
      <c r="AM338" s="2" t="str">
        <f t="shared" ref="AM338:AM401" si="103">BIN2HEX(C338+10*D338+100*E338+1000*F338,1)</f>
        <v>0</v>
      </c>
      <c r="AN338" s="2" t="str">
        <f t="shared" si="92"/>
        <v>3E8</v>
      </c>
      <c r="AO338" s="2"/>
      <c r="AP338" s="2" t="str">
        <f t="shared" si="93"/>
        <v>03E8</v>
      </c>
    </row>
    <row r="339" spans="1:42" x14ac:dyDescent="0.2">
      <c r="A339">
        <v>322</v>
      </c>
      <c r="B339">
        <v>32.1</v>
      </c>
      <c r="C339" s="6">
        <v>0</v>
      </c>
      <c r="D339" s="6">
        <v>0</v>
      </c>
      <c r="E339" s="6">
        <v>0</v>
      </c>
      <c r="F339" s="7">
        <v>0</v>
      </c>
      <c r="G339" s="9">
        <v>100</v>
      </c>
      <c r="H339" s="10">
        <f t="shared" ref="H339:H402" si="104">BIN2DEC(C339+10*D339+100*E339+1000*F339)</f>
        <v>0</v>
      </c>
      <c r="I339" s="12">
        <f t="shared" si="95"/>
        <v>639.30209199318563</v>
      </c>
      <c r="J339" s="11">
        <f t="shared" si="96"/>
        <v>21.729553476362859</v>
      </c>
      <c r="K339" s="6">
        <v>0</v>
      </c>
      <c r="L339" s="6">
        <v>0</v>
      </c>
      <c r="M339" s="6">
        <v>0</v>
      </c>
      <c r="N339" s="7">
        <v>0</v>
      </c>
      <c r="O339" s="9">
        <v>100</v>
      </c>
      <c r="P339" s="10">
        <f t="shared" ref="P339:P402" si="105">BIN2DEC(K339+10*L339+100*M339+1000*N339)</f>
        <v>0</v>
      </c>
      <c r="Q339" s="12">
        <f t="shared" si="97"/>
        <v>639.30209199318563</v>
      </c>
      <c r="R339" s="11">
        <f t="shared" si="98"/>
        <v>21.729553476362859</v>
      </c>
      <c r="S339" s="6">
        <v>0</v>
      </c>
      <c r="T339" s="6">
        <v>0</v>
      </c>
      <c r="U339" s="6">
        <v>0</v>
      </c>
      <c r="V339" s="7">
        <v>0</v>
      </c>
      <c r="W339" s="9">
        <v>100</v>
      </c>
      <c r="X339" s="10">
        <f t="shared" ref="X339:X402" si="106">BIN2DEC(S339+10*T339+100*U339+1000*V339)</f>
        <v>0</v>
      </c>
      <c r="Y339" s="12">
        <f t="shared" si="99"/>
        <v>639.30209199318563</v>
      </c>
      <c r="Z339" s="11">
        <f t="shared" si="100"/>
        <v>21.729553476362859</v>
      </c>
      <c r="AA339" s="6">
        <v>0</v>
      </c>
      <c r="AB339" s="6">
        <v>1</v>
      </c>
      <c r="AC339" s="6">
        <v>1</v>
      </c>
      <c r="AD339" s="7">
        <v>1</v>
      </c>
      <c r="AE339" s="9">
        <v>100</v>
      </c>
      <c r="AF339" s="10">
        <f t="shared" ref="AF339:AF402" si="107">BIN2DEC(AA339+10*AB339+100*AC339+1000*AD339)</f>
        <v>14</v>
      </c>
      <c r="AG339" s="12">
        <f t="shared" si="101"/>
        <v>639.30209199318563</v>
      </c>
      <c r="AH339" s="11">
        <f t="shared" si="102"/>
        <v>21.729553476362859</v>
      </c>
      <c r="AJ339" s="6">
        <f t="shared" ref="AJ339:AJ402" si="108">ROUNDDOWN(($G339*$G$16+$I$6*100)*10,0)</f>
        <v>1000</v>
      </c>
      <c r="AK339" s="4">
        <v>322</v>
      </c>
      <c r="AM339" s="2" t="str">
        <f t="shared" si="103"/>
        <v>0</v>
      </c>
      <c r="AN339" s="2" t="str">
        <f t="shared" ref="AN339:AN402" si="109">DEC2HEX(AJ339,3)</f>
        <v>3E8</v>
      </c>
      <c r="AO339" s="2"/>
      <c r="AP339" s="2" t="str">
        <f t="shared" ref="AP339:AP402" si="110">CONCATENATE(AM339,AN339)</f>
        <v>03E8</v>
      </c>
    </row>
    <row r="340" spans="1:42" x14ac:dyDescent="0.2">
      <c r="A340">
        <v>323</v>
      </c>
      <c r="B340">
        <v>32.200000000000003</v>
      </c>
      <c r="C340" s="6">
        <v>0</v>
      </c>
      <c r="D340" s="6">
        <v>0</v>
      </c>
      <c r="E340" s="6">
        <v>0</v>
      </c>
      <c r="F340" s="7">
        <v>0</v>
      </c>
      <c r="G340" s="9">
        <v>100</v>
      </c>
      <c r="H340" s="10">
        <f t="shared" si="104"/>
        <v>0</v>
      </c>
      <c r="I340" s="12">
        <f t="shared" si="95"/>
        <v>639.30209199318563</v>
      </c>
      <c r="J340" s="11">
        <f t="shared" si="96"/>
        <v>21.729553476362859</v>
      </c>
      <c r="K340" s="6">
        <v>0</v>
      </c>
      <c r="L340" s="6">
        <v>0</v>
      </c>
      <c r="M340" s="6">
        <v>0</v>
      </c>
      <c r="N340" s="7">
        <v>0</v>
      </c>
      <c r="O340" s="9">
        <v>100</v>
      </c>
      <c r="P340" s="10">
        <f t="shared" si="105"/>
        <v>0</v>
      </c>
      <c r="Q340" s="12">
        <f t="shared" si="97"/>
        <v>639.30209199318563</v>
      </c>
      <c r="R340" s="11">
        <f t="shared" si="98"/>
        <v>21.729553476362859</v>
      </c>
      <c r="S340" s="6">
        <v>0</v>
      </c>
      <c r="T340" s="6">
        <v>0</v>
      </c>
      <c r="U340" s="6">
        <v>0</v>
      </c>
      <c r="V340" s="7">
        <v>0</v>
      </c>
      <c r="W340" s="9">
        <v>100</v>
      </c>
      <c r="X340" s="10">
        <f t="shared" si="106"/>
        <v>0</v>
      </c>
      <c r="Y340" s="12">
        <f t="shared" si="99"/>
        <v>639.30209199318563</v>
      </c>
      <c r="Z340" s="11">
        <f t="shared" si="100"/>
        <v>21.729553476362859</v>
      </c>
      <c r="AA340" s="6">
        <v>0</v>
      </c>
      <c r="AB340" s="6">
        <v>1</v>
      </c>
      <c r="AC340" s="6">
        <v>1</v>
      </c>
      <c r="AD340" s="7">
        <v>1</v>
      </c>
      <c r="AE340" s="9">
        <v>100</v>
      </c>
      <c r="AF340" s="10">
        <f t="shared" si="107"/>
        <v>14</v>
      </c>
      <c r="AG340" s="12">
        <f t="shared" si="101"/>
        <v>639.30209199318563</v>
      </c>
      <c r="AH340" s="11">
        <f t="shared" si="102"/>
        <v>21.729553476362859</v>
      </c>
      <c r="AJ340" s="6">
        <f t="shared" si="108"/>
        <v>1000</v>
      </c>
      <c r="AK340" s="4">
        <v>323</v>
      </c>
      <c r="AM340" s="2" t="str">
        <f t="shared" si="103"/>
        <v>0</v>
      </c>
      <c r="AN340" s="2" t="str">
        <f t="shared" si="109"/>
        <v>3E8</v>
      </c>
      <c r="AO340" s="2"/>
      <c r="AP340" s="2" t="str">
        <f t="shared" si="110"/>
        <v>03E8</v>
      </c>
    </row>
    <row r="341" spans="1:42" x14ac:dyDescent="0.2">
      <c r="A341">
        <v>324</v>
      </c>
      <c r="B341">
        <v>32.299999999999997</v>
      </c>
      <c r="C341" s="6">
        <v>0</v>
      </c>
      <c r="D341" s="6">
        <v>0</v>
      </c>
      <c r="E341" s="6">
        <v>0</v>
      </c>
      <c r="F341" s="7">
        <v>0</v>
      </c>
      <c r="G341" s="9">
        <v>100</v>
      </c>
      <c r="H341" s="10">
        <f t="shared" si="104"/>
        <v>0</v>
      </c>
      <c r="I341" s="12">
        <f t="shared" si="95"/>
        <v>639.30209199318563</v>
      </c>
      <c r="J341" s="11">
        <f t="shared" si="96"/>
        <v>21.729553476362859</v>
      </c>
      <c r="K341" s="6">
        <v>0</v>
      </c>
      <c r="L341" s="6">
        <v>0</v>
      </c>
      <c r="M341" s="6">
        <v>0</v>
      </c>
      <c r="N341" s="7">
        <v>0</v>
      </c>
      <c r="O341" s="9">
        <v>100</v>
      </c>
      <c r="P341" s="10">
        <f t="shared" si="105"/>
        <v>0</v>
      </c>
      <c r="Q341" s="12">
        <f t="shared" si="97"/>
        <v>639.30209199318563</v>
      </c>
      <c r="R341" s="11">
        <f t="shared" si="98"/>
        <v>21.729553476362859</v>
      </c>
      <c r="S341" s="6">
        <v>0</v>
      </c>
      <c r="T341" s="6">
        <v>0</v>
      </c>
      <c r="U341" s="6">
        <v>0</v>
      </c>
      <c r="V341" s="7">
        <v>0</v>
      </c>
      <c r="W341" s="9">
        <v>100</v>
      </c>
      <c r="X341" s="10">
        <f t="shared" si="106"/>
        <v>0</v>
      </c>
      <c r="Y341" s="12">
        <f t="shared" si="99"/>
        <v>639.30209199318563</v>
      </c>
      <c r="Z341" s="11">
        <f t="shared" si="100"/>
        <v>21.729553476362859</v>
      </c>
      <c r="AA341" s="6">
        <v>0</v>
      </c>
      <c r="AB341" s="6">
        <v>1</v>
      </c>
      <c r="AC341" s="6">
        <v>1</v>
      </c>
      <c r="AD341" s="7">
        <v>1</v>
      </c>
      <c r="AE341" s="9">
        <v>100</v>
      </c>
      <c r="AF341" s="10">
        <f t="shared" si="107"/>
        <v>14</v>
      </c>
      <c r="AG341" s="12">
        <f t="shared" si="101"/>
        <v>639.30209199318563</v>
      </c>
      <c r="AH341" s="11">
        <f t="shared" si="102"/>
        <v>21.729553476362859</v>
      </c>
      <c r="AJ341" s="6">
        <f t="shared" si="108"/>
        <v>1000</v>
      </c>
      <c r="AK341" s="4">
        <v>324</v>
      </c>
      <c r="AM341" s="2" t="str">
        <f t="shared" si="103"/>
        <v>0</v>
      </c>
      <c r="AN341" s="2" t="str">
        <f t="shared" si="109"/>
        <v>3E8</v>
      </c>
      <c r="AO341" s="2"/>
      <c r="AP341" s="2" t="str">
        <f t="shared" si="110"/>
        <v>03E8</v>
      </c>
    </row>
    <row r="342" spans="1:42" x14ac:dyDescent="0.2">
      <c r="A342">
        <v>325</v>
      </c>
      <c r="B342">
        <v>32.4</v>
      </c>
      <c r="C342" s="6">
        <v>0</v>
      </c>
      <c r="D342" s="6">
        <v>0</v>
      </c>
      <c r="E342" s="6">
        <v>0</v>
      </c>
      <c r="F342" s="7">
        <v>0</v>
      </c>
      <c r="G342" s="9">
        <v>100</v>
      </c>
      <c r="H342" s="10">
        <f t="shared" si="104"/>
        <v>0</v>
      </c>
      <c r="I342" s="12">
        <f t="shared" si="95"/>
        <v>639.30209199318563</v>
      </c>
      <c r="J342" s="11">
        <f t="shared" si="96"/>
        <v>21.729553476362859</v>
      </c>
      <c r="K342" s="6">
        <v>0</v>
      </c>
      <c r="L342" s="6">
        <v>0</v>
      </c>
      <c r="M342" s="6">
        <v>0</v>
      </c>
      <c r="N342" s="7">
        <v>0</v>
      </c>
      <c r="O342" s="9">
        <v>100</v>
      </c>
      <c r="P342" s="10">
        <f t="shared" si="105"/>
        <v>0</v>
      </c>
      <c r="Q342" s="12">
        <f t="shared" si="97"/>
        <v>639.30209199318563</v>
      </c>
      <c r="R342" s="11">
        <f t="shared" si="98"/>
        <v>21.729553476362859</v>
      </c>
      <c r="S342" s="6">
        <v>0</v>
      </c>
      <c r="T342" s="6">
        <v>0</v>
      </c>
      <c r="U342" s="6">
        <v>0</v>
      </c>
      <c r="V342" s="7">
        <v>0</v>
      </c>
      <c r="W342" s="9">
        <v>100</v>
      </c>
      <c r="X342" s="10">
        <f t="shared" si="106"/>
        <v>0</v>
      </c>
      <c r="Y342" s="12">
        <f t="shared" si="99"/>
        <v>639.30209199318563</v>
      </c>
      <c r="Z342" s="11">
        <f t="shared" si="100"/>
        <v>21.729553476362859</v>
      </c>
      <c r="AA342" s="6">
        <v>0</v>
      </c>
      <c r="AB342" s="6">
        <v>1</v>
      </c>
      <c r="AC342" s="6">
        <v>1</v>
      </c>
      <c r="AD342" s="7">
        <v>1</v>
      </c>
      <c r="AE342" s="9">
        <v>100</v>
      </c>
      <c r="AF342" s="10">
        <f t="shared" si="107"/>
        <v>14</v>
      </c>
      <c r="AG342" s="12">
        <f t="shared" si="101"/>
        <v>639.30209199318563</v>
      </c>
      <c r="AH342" s="11">
        <f t="shared" si="102"/>
        <v>21.729553476362859</v>
      </c>
      <c r="AJ342" s="6">
        <f t="shared" si="108"/>
        <v>1000</v>
      </c>
      <c r="AK342" s="4">
        <v>325</v>
      </c>
      <c r="AM342" s="2" t="str">
        <f t="shared" si="103"/>
        <v>0</v>
      </c>
      <c r="AN342" s="2" t="str">
        <f t="shared" si="109"/>
        <v>3E8</v>
      </c>
      <c r="AO342" s="2"/>
      <c r="AP342" s="2" t="str">
        <f t="shared" si="110"/>
        <v>03E8</v>
      </c>
    </row>
    <row r="343" spans="1:42" x14ac:dyDescent="0.2">
      <c r="A343">
        <v>326</v>
      </c>
      <c r="B343">
        <v>32.5</v>
      </c>
      <c r="C343" s="6">
        <v>0</v>
      </c>
      <c r="D343" s="6">
        <v>0</v>
      </c>
      <c r="E343" s="6">
        <v>0</v>
      </c>
      <c r="F343" s="7">
        <v>0</v>
      </c>
      <c r="G343" s="9">
        <v>100</v>
      </c>
      <c r="H343" s="10">
        <f t="shared" si="104"/>
        <v>0</v>
      </c>
      <c r="I343" s="12">
        <f t="shared" si="95"/>
        <v>639.30209199318563</v>
      </c>
      <c r="J343" s="11">
        <f t="shared" si="96"/>
        <v>21.729553476362859</v>
      </c>
      <c r="K343" s="6">
        <v>0</v>
      </c>
      <c r="L343" s="6">
        <v>0</v>
      </c>
      <c r="M343" s="6">
        <v>0</v>
      </c>
      <c r="N343" s="7">
        <v>0</v>
      </c>
      <c r="O343" s="9">
        <v>100</v>
      </c>
      <c r="P343" s="10">
        <f t="shared" si="105"/>
        <v>0</v>
      </c>
      <c r="Q343" s="12">
        <f t="shared" si="97"/>
        <v>639.30209199318563</v>
      </c>
      <c r="R343" s="11">
        <f t="shared" si="98"/>
        <v>21.729553476362859</v>
      </c>
      <c r="S343" s="6">
        <v>0</v>
      </c>
      <c r="T343" s="6">
        <v>0</v>
      </c>
      <c r="U343" s="6">
        <v>0</v>
      </c>
      <c r="V343" s="7">
        <v>0</v>
      </c>
      <c r="W343" s="9">
        <v>100</v>
      </c>
      <c r="X343" s="10">
        <f t="shared" si="106"/>
        <v>0</v>
      </c>
      <c r="Y343" s="12">
        <f t="shared" si="99"/>
        <v>639.30209199318563</v>
      </c>
      <c r="Z343" s="11">
        <f t="shared" si="100"/>
        <v>21.729553476362859</v>
      </c>
      <c r="AA343" s="6">
        <v>0</v>
      </c>
      <c r="AB343" s="6">
        <v>1</v>
      </c>
      <c r="AC343" s="6">
        <v>1</v>
      </c>
      <c r="AD343" s="7">
        <v>1</v>
      </c>
      <c r="AE343" s="9">
        <f>AE342-1.5</f>
        <v>98.5</v>
      </c>
      <c r="AF343" s="10">
        <f t="shared" si="107"/>
        <v>14</v>
      </c>
      <c r="AG343" s="12">
        <f t="shared" si="101"/>
        <v>630.68756061328793</v>
      </c>
      <c r="AH343" s="11">
        <f t="shared" si="102"/>
        <v>21.477174627342421</v>
      </c>
      <c r="AJ343" s="6">
        <f t="shared" si="108"/>
        <v>1000</v>
      </c>
      <c r="AK343" s="4">
        <v>326</v>
      </c>
      <c r="AM343" s="2" t="str">
        <f t="shared" si="103"/>
        <v>0</v>
      </c>
      <c r="AN343" s="2" t="str">
        <f t="shared" si="109"/>
        <v>3E8</v>
      </c>
      <c r="AO343" s="2"/>
      <c r="AP343" s="2" t="str">
        <f t="shared" si="110"/>
        <v>03E8</v>
      </c>
    </row>
    <row r="344" spans="1:42" x14ac:dyDescent="0.2">
      <c r="A344">
        <v>327</v>
      </c>
      <c r="B344">
        <v>32.6</v>
      </c>
      <c r="C344" s="6">
        <v>0</v>
      </c>
      <c r="D344" s="6">
        <v>0</v>
      </c>
      <c r="E344" s="6">
        <v>0</v>
      </c>
      <c r="F344" s="7">
        <v>0</v>
      </c>
      <c r="G344" s="9">
        <v>100</v>
      </c>
      <c r="H344" s="10">
        <f t="shared" si="104"/>
        <v>0</v>
      </c>
      <c r="I344" s="12">
        <f t="shared" si="95"/>
        <v>639.30209199318563</v>
      </c>
      <c r="J344" s="11">
        <f t="shared" si="96"/>
        <v>21.729553476362859</v>
      </c>
      <c r="K344" s="6">
        <v>0</v>
      </c>
      <c r="L344" s="6">
        <v>0</v>
      </c>
      <c r="M344" s="6">
        <v>0</v>
      </c>
      <c r="N344" s="7">
        <v>0</v>
      </c>
      <c r="O344" s="9">
        <v>100</v>
      </c>
      <c r="P344" s="10">
        <f t="shared" si="105"/>
        <v>0</v>
      </c>
      <c r="Q344" s="12">
        <f t="shared" si="97"/>
        <v>639.30209199318563</v>
      </c>
      <c r="R344" s="11">
        <f t="shared" si="98"/>
        <v>21.729553476362859</v>
      </c>
      <c r="S344" s="6">
        <v>0</v>
      </c>
      <c r="T344" s="6">
        <v>0</v>
      </c>
      <c r="U344" s="6">
        <v>0</v>
      </c>
      <c r="V344" s="7">
        <v>0</v>
      </c>
      <c r="W344" s="9">
        <v>100</v>
      </c>
      <c r="X344" s="10">
        <f t="shared" si="106"/>
        <v>0</v>
      </c>
      <c r="Y344" s="12">
        <f t="shared" si="99"/>
        <v>639.30209199318563</v>
      </c>
      <c r="Z344" s="11">
        <f t="shared" si="100"/>
        <v>21.729553476362859</v>
      </c>
      <c r="AA344" s="6">
        <v>0</v>
      </c>
      <c r="AB344" s="6">
        <v>1</v>
      </c>
      <c r="AC344" s="6">
        <v>1</v>
      </c>
      <c r="AD344" s="7">
        <v>1</v>
      </c>
      <c r="AE344" s="9">
        <f t="shared" ref="AE344:AE362" si="111">AE343-1.5</f>
        <v>97</v>
      </c>
      <c r="AF344" s="10">
        <f t="shared" si="107"/>
        <v>14</v>
      </c>
      <c r="AG344" s="12">
        <f t="shared" si="101"/>
        <v>622.07302923339012</v>
      </c>
      <c r="AH344" s="11">
        <f t="shared" si="102"/>
        <v>21.224795778321976</v>
      </c>
      <c r="AJ344" s="6">
        <f t="shared" si="108"/>
        <v>1000</v>
      </c>
      <c r="AK344" s="4">
        <v>327</v>
      </c>
      <c r="AM344" s="2" t="str">
        <f t="shared" si="103"/>
        <v>0</v>
      </c>
      <c r="AN344" s="2" t="str">
        <f t="shared" si="109"/>
        <v>3E8</v>
      </c>
      <c r="AO344" s="2"/>
      <c r="AP344" s="2" t="str">
        <f t="shared" si="110"/>
        <v>03E8</v>
      </c>
    </row>
    <row r="345" spans="1:42" x14ac:dyDescent="0.2">
      <c r="A345">
        <v>328</v>
      </c>
      <c r="B345">
        <v>32.700000000000003</v>
      </c>
      <c r="C345" s="6">
        <v>0</v>
      </c>
      <c r="D345" s="6">
        <v>0</v>
      </c>
      <c r="E345" s="6">
        <v>0</v>
      </c>
      <c r="F345" s="7">
        <v>0</v>
      </c>
      <c r="G345" s="9">
        <v>100</v>
      </c>
      <c r="H345" s="10">
        <f t="shared" si="104"/>
        <v>0</v>
      </c>
      <c r="I345" s="12">
        <f t="shared" si="95"/>
        <v>639.30209199318563</v>
      </c>
      <c r="J345" s="11">
        <f t="shared" si="96"/>
        <v>21.729553476362859</v>
      </c>
      <c r="K345" s="6">
        <v>0</v>
      </c>
      <c r="L345" s="6">
        <v>0</v>
      </c>
      <c r="M345" s="6">
        <v>0</v>
      </c>
      <c r="N345" s="7">
        <v>0</v>
      </c>
      <c r="O345" s="9">
        <v>100</v>
      </c>
      <c r="P345" s="10">
        <f t="shared" si="105"/>
        <v>0</v>
      </c>
      <c r="Q345" s="12">
        <f t="shared" si="97"/>
        <v>639.30209199318563</v>
      </c>
      <c r="R345" s="11">
        <f t="shared" si="98"/>
        <v>21.729553476362859</v>
      </c>
      <c r="S345" s="6">
        <v>0</v>
      </c>
      <c r="T345" s="6">
        <v>0</v>
      </c>
      <c r="U345" s="6">
        <v>0</v>
      </c>
      <c r="V345" s="7">
        <v>0</v>
      </c>
      <c r="W345" s="9">
        <v>100</v>
      </c>
      <c r="X345" s="10">
        <f t="shared" si="106"/>
        <v>0</v>
      </c>
      <c r="Y345" s="12">
        <f t="shared" si="99"/>
        <v>639.30209199318563</v>
      </c>
      <c r="Z345" s="11">
        <f t="shared" si="100"/>
        <v>21.729553476362859</v>
      </c>
      <c r="AA345" s="6">
        <v>0</v>
      </c>
      <c r="AB345" s="6">
        <v>1</v>
      </c>
      <c r="AC345" s="6">
        <v>1</v>
      </c>
      <c r="AD345" s="7">
        <v>1</v>
      </c>
      <c r="AE345" s="9">
        <f t="shared" si="111"/>
        <v>95.5</v>
      </c>
      <c r="AF345" s="10">
        <f t="shared" si="107"/>
        <v>14</v>
      </c>
      <c r="AG345" s="12">
        <f t="shared" si="101"/>
        <v>613.4584978534923</v>
      </c>
      <c r="AH345" s="11">
        <f t="shared" si="102"/>
        <v>20.972416929301531</v>
      </c>
      <c r="AJ345" s="6">
        <f t="shared" si="108"/>
        <v>1000</v>
      </c>
      <c r="AK345" s="4">
        <v>328</v>
      </c>
      <c r="AM345" s="2" t="str">
        <f t="shared" si="103"/>
        <v>0</v>
      </c>
      <c r="AN345" s="2" t="str">
        <f t="shared" si="109"/>
        <v>3E8</v>
      </c>
      <c r="AO345" s="2"/>
      <c r="AP345" s="2" t="str">
        <f t="shared" si="110"/>
        <v>03E8</v>
      </c>
    </row>
    <row r="346" spans="1:42" x14ac:dyDescent="0.2">
      <c r="A346">
        <v>329</v>
      </c>
      <c r="B346">
        <v>32.799999999999997</v>
      </c>
      <c r="C346" s="6">
        <v>0</v>
      </c>
      <c r="D346" s="6">
        <v>0</v>
      </c>
      <c r="E346" s="6">
        <v>0</v>
      </c>
      <c r="F346" s="7">
        <v>0</v>
      </c>
      <c r="G346" s="9">
        <v>100</v>
      </c>
      <c r="H346" s="10">
        <f t="shared" si="104"/>
        <v>0</v>
      </c>
      <c r="I346" s="12">
        <f t="shared" si="95"/>
        <v>639.30209199318563</v>
      </c>
      <c r="J346" s="11">
        <f t="shared" si="96"/>
        <v>21.729553476362859</v>
      </c>
      <c r="K346" s="6">
        <v>0</v>
      </c>
      <c r="L346" s="6">
        <v>0</v>
      </c>
      <c r="M346" s="6">
        <v>0</v>
      </c>
      <c r="N346" s="7">
        <v>0</v>
      </c>
      <c r="O346" s="9">
        <v>100</v>
      </c>
      <c r="P346" s="10">
        <f t="shared" si="105"/>
        <v>0</v>
      </c>
      <c r="Q346" s="12">
        <f t="shared" si="97"/>
        <v>639.30209199318563</v>
      </c>
      <c r="R346" s="11">
        <f t="shared" si="98"/>
        <v>21.729553476362859</v>
      </c>
      <c r="S346" s="6">
        <v>0</v>
      </c>
      <c r="T346" s="6">
        <v>0</v>
      </c>
      <c r="U346" s="6">
        <v>0</v>
      </c>
      <c r="V346" s="7">
        <v>0</v>
      </c>
      <c r="W346" s="9">
        <v>100</v>
      </c>
      <c r="X346" s="10">
        <f t="shared" si="106"/>
        <v>0</v>
      </c>
      <c r="Y346" s="12">
        <f t="shared" si="99"/>
        <v>639.30209199318563</v>
      </c>
      <c r="Z346" s="11">
        <f t="shared" si="100"/>
        <v>21.729553476362859</v>
      </c>
      <c r="AA346" s="6">
        <v>0</v>
      </c>
      <c r="AB346" s="6">
        <v>1</v>
      </c>
      <c r="AC346" s="6">
        <v>1</v>
      </c>
      <c r="AD346" s="7">
        <v>1</v>
      </c>
      <c r="AE346" s="9">
        <f t="shared" si="111"/>
        <v>94</v>
      </c>
      <c r="AF346" s="10">
        <f t="shared" si="107"/>
        <v>14</v>
      </c>
      <c r="AG346" s="12">
        <f t="shared" si="101"/>
        <v>604.84396647359449</v>
      </c>
      <c r="AH346" s="11">
        <f t="shared" si="102"/>
        <v>20.720038080281086</v>
      </c>
      <c r="AJ346" s="6">
        <f t="shared" si="108"/>
        <v>1000</v>
      </c>
      <c r="AK346" s="4">
        <v>329</v>
      </c>
      <c r="AM346" s="2" t="str">
        <f t="shared" si="103"/>
        <v>0</v>
      </c>
      <c r="AN346" s="2" t="str">
        <f t="shared" si="109"/>
        <v>3E8</v>
      </c>
      <c r="AO346" s="2"/>
      <c r="AP346" s="2" t="str">
        <f t="shared" si="110"/>
        <v>03E8</v>
      </c>
    </row>
    <row r="347" spans="1:42" x14ac:dyDescent="0.2">
      <c r="A347">
        <v>330</v>
      </c>
      <c r="B347">
        <v>32.9</v>
      </c>
      <c r="C347" s="6">
        <v>0</v>
      </c>
      <c r="D347" s="6">
        <v>0</v>
      </c>
      <c r="E347" s="6">
        <v>0</v>
      </c>
      <c r="F347" s="7">
        <v>0</v>
      </c>
      <c r="G347" s="9">
        <v>100</v>
      </c>
      <c r="H347" s="10">
        <f t="shared" si="104"/>
        <v>0</v>
      </c>
      <c r="I347" s="12">
        <f t="shared" si="95"/>
        <v>639.30209199318563</v>
      </c>
      <c r="J347" s="11">
        <f t="shared" si="96"/>
        <v>21.729553476362859</v>
      </c>
      <c r="K347" s="6">
        <v>0</v>
      </c>
      <c r="L347" s="6">
        <v>0</v>
      </c>
      <c r="M347" s="6">
        <v>0</v>
      </c>
      <c r="N347" s="7">
        <v>0</v>
      </c>
      <c r="O347" s="9">
        <v>100</v>
      </c>
      <c r="P347" s="10">
        <f t="shared" si="105"/>
        <v>0</v>
      </c>
      <c r="Q347" s="12">
        <f t="shared" si="97"/>
        <v>639.30209199318563</v>
      </c>
      <c r="R347" s="11">
        <f t="shared" si="98"/>
        <v>21.729553476362859</v>
      </c>
      <c r="S347" s="6">
        <v>0</v>
      </c>
      <c r="T347" s="6">
        <v>0</v>
      </c>
      <c r="U347" s="6">
        <v>0</v>
      </c>
      <c r="V347" s="7">
        <v>0</v>
      </c>
      <c r="W347" s="9">
        <v>100</v>
      </c>
      <c r="X347" s="10">
        <f t="shared" si="106"/>
        <v>0</v>
      </c>
      <c r="Y347" s="12">
        <f t="shared" si="99"/>
        <v>639.30209199318563</v>
      </c>
      <c r="Z347" s="11">
        <f t="shared" si="100"/>
        <v>21.729553476362859</v>
      </c>
      <c r="AA347" s="6">
        <v>0</v>
      </c>
      <c r="AB347" s="6">
        <v>1</v>
      </c>
      <c r="AC347" s="6">
        <v>1</v>
      </c>
      <c r="AD347" s="7">
        <v>1</v>
      </c>
      <c r="AE347" s="9">
        <f t="shared" si="111"/>
        <v>92.5</v>
      </c>
      <c r="AF347" s="10">
        <f t="shared" si="107"/>
        <v>14</v>
      </c>
      <c r="AG347" s="12">
        <f t="shared" si="101"/>
        <v>596.22943509369679</v>
      </c>
      <c r="AH347" s="11">
        <f t="shared" si="102"/>
        <v>20.467659231260647</v>
      </c>
      <c r="AJ347" s="6">
        <f t="shared" si="108"/>
        <v>1000</v>
      </c>
      <c r="AK347" s="4">
        <v>330</v>
      </c>
      <c r="AM347" s="2" t="str">
        <f t="shared" si="103"/>
        <v>0</v>
      </c>
      <c r="AN347" s="2" t="str">
        <f t="shared" si="109"/>
        <v>3E8</v>
      </c>
      <c r="AO347" s="2"/>
      <c r="AP347" s="2" t="str">
        <f t="shared" si="110"/>
        <v>03E8</v>
      </c>
    </row>
    <row r="348" spans="1:42" x14ac:dyDescent="0.2">
      <c r="A348">
        <v>331</v>
      </c>
      <c r="B348">
        <v>33</v>
      </c>
      <c r="C348" s="6">
        <v>0</v>
      </c>
      <c r="D348" s="6">
        <v>0</v>
      </c>
      <c r="E348" s="6">
        <v>0</v>
      </c>
      <c r="F348" s="7">
        <v>0</v>
      </c>
      <c r="G348" s="9">
        <v>100</v>
      </c>
      <c r="H348" s="10">
        <f t="shared" si="104"/>
        <v>0</v>
      </c>
      <c r="I348" s="12">
        <f t="shared" si="95"/>
        <v>639.30209199318563</v>
      </c>
      <c r="J348" s="11">
        <f t="shared" si="96"/>
        <v>21.729553476362859</v>
      </c>
      <c r="K348" s="6">
        <v>0</v>
      </c>
      <c r="L348" s="6">
        <v>0</v>
      </c>
      <c r="M348" s="6">
        <v>0</v>
      </c>
      <c r="N348" s="7">
        <v>0</v>
      </c>
      <c r="O348" s="9">
        <v>100</v>
      </c>
      <c r="P348" s="10">
        <f t="shared" si="105"/>
        <v>0</v>
      </c>
      <c r="Q348" s="12">
        <f t="shared" si="97"/>
        <v>639.30209199318563</v>
      </c>
      <c r="R348" s="11">
        <f t="shared" si="98"/>
        <v>21.729553476362859</v>
      </c>
      <c r="S348" s="6">
        <v>0</v>
      </c>
      <c r="T348" s="6">
        <v>0</v>
      </c>
      <c r="U348" s="6">
        <v>0</v>
      </c>
      <c r="V348" s="7">
        <v>0</v>
      </c>
      <c r="W348" s="9">
        <v>100</v>
      </c>
      <c r="X348" s="10">
        <f t="shared" si="106"/>
        <v>0</v>
      </c>
      <c r="Y348" s="12">
        <f t="shared" si="99"/>
        <v>639.30209199318563</v>
      </c>
      <c r="Z348" s="11">
        <f t="shared" si="100"/>
        <v>21.729553476362859</v>
      </c>
      <c r="AA348" s="6">
        <v>0</v>
      </c>
      <c r="AB348" s="6">
        <v>1</v>
      </c>
      <c r="AC348" s="6">
        <v>1</v>
      </c>
      <c r="AD348" s="7">
        <v>1</v>
      </c>
      <c r="AE348" s="9">
        <f t="shared" si="111"/>
        <v>91</v>
      </c>
      <c r="AF348" s="10">
        <f t="shared" si="107"/>
        <v>14</v>
      </c>
      <c r="AG348" s="12">
        <f t="shared" si="101"/>
        <v>587.61490371379898</v>
      </c>
      <c r="AH348" s="11">
        <f t="shared" si="102"/>
        <v>20.215280382240202</v>
      </c>
      <c r="AJ348" s="6">
        <f t="shared" si="108"/>
        <v>1000</v>
      </c>
      <c r="AK348" s="4">
        <v>331</v>
      </c>
      <c r="AM348" s="2" t="str">
        <f t="shared" si="103"/>
        <v>0</v>
      </c>
      <c r="AN348" s="2" t="str">
        <f t="shared" si="109"/>
        <v>3E8</v>
      </c>
      <c r="AO348" s="2"/>
      <c r="AP348" s="2" t="str">
        <f t="shared" si="110"/>
        <v>03E8</v>
      </c>
    </row>
    <row r="349" spans="1:42" x14ac:dyDescent="0.2">
      <c r="A349">
        <v>332</v>
      </c>
      <c r="B349">
        <v>33.1</v>
      </c>
      <c r="C349" s="6">
        <v>0</v>
      </c>
      <c r="D349" s="6">
        <v>0</v>
      </c>
      <c r="E349" s="6">
        <v>0</v>
      </c>
      <c r="F349" s="7">
        <v>0</v>
      </c>
      <c r="G349" s="9">
        <v>100</v>
      </c>
      <c r="H349" s="10">
        <f t="shared" si="104"/>
        <v>0</v>
      </c>
      <c r="I349" s="12">
        <f t="shared" si="95"/>
        <v>639.30209199318563</v>
      </c>
      <c r="J349" s="11">
        <f t="shared" si="96"/>
        <v>21.729553476362859</v>
      </c>
      <c r="K349" s="6">
        <v>0</v>
      </c>
      <c r="L349" s="6">
        <v>0</v>
      </c>
      <c r="M349" s="6">
        <v>0</v>
      </c>
      <c r="N349" s="7">
        <v>0</v>
      </c>
      <c r="O349" s="9">
        <v>100</v>
      </c>
      <c r="P349" s="10">
        <f t="shared" si="105"/>
        <v>0</v>
      </c>
      <c r="Q349" s="12">
        <f t="shared" si="97"/>
        <v>639.30209199318563</v>
      </c>
      <c r="R349" s="11">
        <f t="shared" si="98"/>
        <v>21.729553476362859</v>
      </c>
      <c r="S349" s="6">
        <v>0</v>
      </c>
      <c r="T349" s="6">
        <v>0</v>
      </c>
      <c r="U349" s="6">
        <v>0</v>
      </c>
      <c r="V349" s="7">
        <v>0</v>
      </c>
      <c r="W349" s="9">
        <v>100</v>
      </c>
      <c r="X349" s="10">
        <f t="shared" si="106"/>
        <v>0</v>
      </c>
      <c r="Y349" s="12">
        <f t="shared" si="99"/>
        <v>639.30209199318563</v>
      </c>
      <c r="Z349" s="11">
        <f t="shared" si="100"/>
        <v>21.729553476362859</v>
      </c>
      <c r="AA349" s="6">
        <v>0</v>
      </c>
      <c r="AB349" s="6">
        <v>1</v>
      </c>
      <c r="AC349" s="6">
        <v>1</v>
      </c>
      <c r="AD349" s="7">
        <v>1</v>
      </c>
      <c r="AE349" s="9">
        <f t="shared" si="111"/>
        <v>89.5</v>
      </c>
      <c r="AF349" s="10">
        <f t="shared" si="107"/>
        <v>14</v>
      </c>
      <c r="AG349" s="12">
        <f t="shared" si="101"/>
        <v>579.00037233390117</v>
      </c>
      <c r="AH349" s="11">
        <f t="shared" si="102"/>
        <v>19.962901533219764</v>
      </c>
      <c r="AJ349" s="6">
        <f t="shared" si="108"/>
        <v>1000</v>
      </c>
      <c r="AK349" s="4">
        <v>332</v>
      </c>
      <c r="AM349" s="2" t="str">
        <f t="shared" si="103"/>
        <v>0</v>
      </c>
      <c r="AN349" s="2" t="str">
        <f t="shared" si="109"/>
        <v>3E8</v>
      </c>
      <c r="AO349" s="2"/>
      <c r="AP349" s="2" t="str">
        <f t="shared" si="110"/>
        <v>03E8</v>
      </c>
    </row>
    <row r="350" spans="1:42" x14ac:dyDescent="0.2">
      <c r="A350">
        <v>333</v>
      </c>
      <c r="B350">
        <v>33.200000000000003</v>
      </c>
      <c r="C350" s="6">
        <v>0</v>
      </c>
      <c r="D350" s="6">
        <v>0</v>
      </c>
      <c r="E350" s="6">
        <v>0</v>
      </c>
      <c r="F350" s="7">
        <v>0</v>
      </c>
      <c r="G350" s="9">
        <v>100</v>
      </c>
      <c r="H350" s="10">
        <f t="shared" si="104"/>
        <v>0</v>
      </c>
      <c r="I350" s="12">
        <f t="shared" si="95"/>
        <v>639.30209199318563</v>
      </c>
      <c r="J350" s="11">
        <f t="shared" si="96"/>
        <v>21.729553476362859</v>
      </c>
      <c r="K350" s="6">
        <v>0</v>
      </c>
      <c r="L350" s="6">
        <v>0</v>
      </c>
      <c r="M350" s="6">
        <v>0</v>
      </c>
      <c r="N350" s="7">
        <v>0</v>
      </c>
      <c r="O350" s="9">
        <v>100</v>
      </c>
      <c r="P350" s="10">
        <f t="shared" si="105"/>
        <v>0</v>
      </c>
      <c r="Q350" s="12">
        <f t="shared" si="97"/>
        <v>639.30209199318563</v>
      </c>
      <c r="R350" s="11">
        <f t="shared" si="98"/>
        <v>21.729553476362859</v>
      </c>
      <c r="S350" s="6">
        <v>0</v>
      </c>
      <c r="T350" s="6">
        <v>0</v>
      </c>
      <c r="U350" s="6">
        <v>0</v>
      </c>
      <c r="V350" s="7">
        <v>0</v>
      </c>
      <c r="W350" s="9">
        <v>100</v>
      </c>
      <c r="X350" s="10">
        <f t="shared" si="106"/>
        <v>0</v>
      </c>
      <c r="Y350" s="12">
        <f t="shared" si="99"/>
        <v>639.30209199318563</v>
      </c>
      <c r="Z350" s="11">
        <f t="shared" si="100"/>
        <v>21.729553476362859</v>
      </c>
      <c r="AA350" s="6">
        <v>0</v>
      </c>
      <c r="AB350" s="6">
        <v>1</v>
      </c>
      <c r="AC350" s="6">
        <v>1</v>
      </c>
      <c r="AD350" s="7">
        <v>1</v>
      </c>
      <c r="AE350" s="9">
        <f t="shared" si="111"/>
        <v>88</v>
      </c>
      <c r="AF350" s="10">
        <f t="shared" si="107"/>
        <v>14</v>
      </c>
      <c r="AG350" s="12">
        <f t="shared" si="101"/>
        <v>570.38584095400347</v>
      </c>
      <c r="AH350" s="11">
        <f t="shared" si="102"/>
        <v>19.710522684199319</v>
      </c>
      <c r="AJ350" s="6">
        <f t="shared" si="108"/>
        <v>1000</v>
      </c>
      <c r="AK350" s="4">
        <v>333</v>
      </c>
      <c r="AM350" s="2" t="str">
        <f t="shared" si="103"/>
        <v>0</v>
      </c>
      <c r="AN350" s="2" t="str">
        <f t="shared" si="109"/>
        <v>3E8</v>
      </c>
      <c r="AO350" s="2"/>
      <c r="AP350" s="2" t="str">
        <f t="shared" si="110"/>
        <v>03E8</v>
      </c>
    </row>
    <row r="351" spans="1:42" x14ac:dyDescent="0.2">
      <c r="A351">
        <v>334</v>
      </c>
      <c r="B351">
        <v>33.299999999999997</v>
      </c>
      <c r="C351" s="6">
        <v>0</v>
      </c>
      <c r="D351" s="6">
        <v>0</v>
      </c>
      <c r="E351" s="6">
        <v>0</v>
      </c>
      <c r="F351" s="7">
        <v>0</v>
      </c>
      <c r="G351" s="9">
        <v>100</v>
      </c>
      <c r="H351" s="10">
        <f t="shared" si="104"/>
        <v>0</v>
      </c>
      <c r="I351" s="12">
        <f t="shared" si="95"/>
        <v>639.30209199318563</v>
      </c>
      <c r="J351" s="11">
        <f t="shared" si="96"/>
        <v>21.729553476362859</v>
      </c>
      <c r="K351" s="6">
        <v>0</v>
      </c>
      <c r="L351" s="6">
        <v>0</v>
      </c>
      <c r="M351" s="6">
        <v>0</v>
      </c>
      <c r="N351" s="7">
        <v>0</v>
      </c>
      <c r="O351" s="9">
        <v>100</v>
      </c>
      <c r="P351" s="10">
        <f t="shared" si="105"/>
        <v>0</v>
      </c>
      <c r="Q351" s="12">
        <f t="shared" si="97"/>
        <v>639.30209199318563</v>
      </c>
      <c r="R351" s="11">
        <f t="shared" si="98"/>
        <v>21.729553476362859</v>
      </c>
      <c r="S351" s="6">
        <v>0</v>
      </c>
      <c r="T351" s="6">
        <v>0</v>
      </c>
      <c r="U351" s="6">
        <v>0</v>
      </c>
      <c r="V351" s="7">
        <v>0</v>
      </c>
      <c r="W351" s="9">
        <v>100</v>
      </c>
      <c r="X351" s="10">
        <f t="shared" si="106"/>
        <v>0</v>
      </c>
      <c r="Y351" s="12">
        <f t="shared" si="99"/>
        <v>639.30209199318563</v>
      </c>
      <c r="Z351" s="11">
        <f t="shared" si="100"/>
        <v>21.729553476362859</v>
      </c>
      <c r="AA351" s="6">
        <v>0</v>
      </c>
      <c r="AB351" s="6">
        <v>1</v>
      </c>
      <c r="AC351" s="6">
        <v>1</v>
      </c>
      <c r="AD351" s="7">
        <v>1</v>
      </c>
      <c r="AE351" s="9">
        <f t="shared" si="111"/>
        <v>86.5</v>
      </c>
      <c r="AF351" s="10">
        <f t="shared" si="107"/>
        <v>14</v>
      </c>
      <c r="AG351" s="12">
        <f t="shared" si="101"/>
        <v>561.77130957410554</v>
      </c>
      <c r="AH351" s="11">
        <f t="shared" si="102"/>
        <v>19.458143835178873</v>
      </c>
      <c r="AJ351" s="6">
        <f t="shared" si="108"/>
        <v>1000</v>
      </c>
      <c r="AK351" s="4">
        <v>334</v>
      </c>
      <c r="AM351" s="2" t="str">
        <f t="shared" si="103"/>
        <v>0</v>
      </c>
      <c r="AN351" s="2" t="str">
        <f t="shared" si="109"/>
        <v>3E8</v>
      </c>
      <c r="AO351" s="2"/>
      <c r="AP351" s="2" t="str">
        <f t="shared" si="110"/>
        <v>03E8</v>
      </c>
    </row>
    <row r="352" spans="1:42" x14ac:dyDescent="0.2">
      <c r="A352">
        <v>335</v>
      </c>
      <c r="B352">
        <v>33.4</v>
      </c>
      <c r="C352" s="6">
        <v>0</v>
      </c>
      <c r="D352" s="6">
        <v>0</v>
      </c>
      <c r="E352" s="6">
        <v>0</v>
      </c>
      <c r="F352" s="7">
        <v>0</v>
      </c>
      <c r="G352" s="9">
        <v>100</v>
      </c>
      <c r="H352" s="10">
        <f t="shared" si="104"/>
        <v>0</v>
      </c>
      <c r="I352" s="12">
        <f t="shared" si="95"/>
        <v>639.30209199318563</v>
      </c>
      <c r="J352" s="11">
        <f t="shared" si="96"/>
        <v>21.729553476362859</v>
      </c>
      <c r="K352" s="6">
        <v>0</v>
      </c>
      <c r="L352" s="6">
        <v>0</v>
      </c>
      <c r="M352" s="6">
        <v>0</v>
      </c>
      <c r="N352" s="7">
        <v>0</v>
      </c>
      <c r="O352" s="9">
        <v>100</v>
      </c>
      <c r="P352" s="10">
        <f t="shared" si="105"/>
        <v>0</v>
      </c>
      <c r="Q352" s="12">
        <f t="shared" si="97"/>
        <v>639.30209199318563</v>
      </c>
      <c r="R352" s="11">
        <f t="shared" si="98"/>
        <v>21.729553476362859</v>
      </c>
      <c r="S352" s="6">
        <v>0</v>
      </c>
      <c r="T352" s="6">
        <v>0</v>
      </c>
      <c r="U352" s="6">
        <v>0</v>
      </c>
      <c r="V352" s="7">
        <v>0</v>
      </c>
      <c r="W352" s="9">
        <v>100</v>
      </c>
      <c r="X352" s="10">
        <f t="shared" si="106"/>
        <v>0</v>
      </c>
      <c r="Y352" s="12">
        <f t="shared" si="99"/>
        <v>639.30209199318563</v>
      </c>
      <c r="Z352" s="11">
        <f t="shared" si="100"/>
        <v>21.729553476362859</v>
      </c>
      <c r="AA352" s="6">
        <v>0</v>
      </c>
      <c r="AB352" s="6">
        <v>1</v>
      </c>
      <c r="AC352" s="6">
        <v>1</v>
      </c>
      <c r="AD352" s="7">
        <v>1</v>
      </c>
      <c r="AE352" s="9">
        <f t="shared" si="111"/>
        <v>85</v>
      </c>
      <c r="AF352" s="10">
        <f t="shared" si="107"/>
        <v>14</v>
      </c>
      <c r="AG352" s="12">
        <f t="shared" si="101"/>
        <v>553.15677819420785</v>
      </c>
      <c r="AH352" s="11">
        <f t="shared" si="102"/>
        <v>19.205764986158432</v>
      </c>
      <c r="AJ352" s="6">
        <f t="shared" si="108"/>
        <v>1000</v>
      </c>
      <c r="AK352" s="4">
        <v>335</v>
      </c>
      <c r="AM352" s="2" t="str">
        <f t="shared" si="103"/>
        <v>0</v>
      </c>
      <c r="AN352" s="2" t="str">
        <f t="shared" si="109"/>
        <v>3E8</v>
      </c>
      <c r="AO352" s="2"/>
      <c r="AP352" s="2" t="str">
        <f t="shared" si="110"/>
        <v>03E8</v>
      </c>
    </row>
    <row r="353" spans="1:42" x14ac:dyDescent="0.2">
      <c r="A353">
        <v>336</v>
      </c>
      <c r="B353">
        <v>33.5</v>
      </c>
      <c r="C353" s="6">
        <v>0</v>
      </c>
      <c r="D353" s="6">
        <v>0</v>
      </c>
      <c r="E353" s="6">
        <v>0</v>
      </c>
      <c r="F353" s="7">
        <v>0</v>
      </c>
      <c r="G353" s="9">
        <v>100</v>
      </c>
      <c r="H353" s="10">
        <f t="shared" si="104"/>
        <v>0</v>
      </c>
      <c r="I353" s="12">
        <f t="shared" si="95"/>
        <v>639.30209199318563</v>
      </c>
      <c r="J353" s="11">
        <f t="shared" si="96"/>
        <v>21.729553476362859</v>
      </c>
      <c r="K353" s="6">
        <v>0</v>
      </c>
      <c r="L353" s="6">
        <v>0</v>
      </c>
      <c r="M353" s="6">
        <v>0</v>
      </c>
      <c r="N353" s="7">
        <v>0</v>
      </c>
      <c r="O353" s="9">
        <v>100</v>
      </c>
      <c r="P353" s="10">
        <f t="shared" si="105"/>
        <v>0</v>
      </c>
      <c r="Q353" s="12">
        <f t="shared" si="97"/>
        <v>639.30209199318563</v>
      </c>
      <c r="R353" s="11">
        <f t="shared" si="98"/>
        <v>21.729553476362859</v>
      </c>
      <c r="S353" s="6">
        <v>0</v>
      </c>
      <c r="T353" s="6">
        <v>0</v>
      </c>
      <c r="U353" s="6">
        <v>0</v>
      </c>
      <c r="V353" s="7">
        <v>0</v>
      </c>
      <c r="W353" s="9">
        <v>100</v>
      </c>
      <c r="X353" s="10">
        <f t="shared" si="106"/>
        <v>0</v>
      </c>
      <c r="Y353" s="12">
        <f t="shared" si="99"/>
        <v>639.30209199318563</v>
      </c>
      <c r="Z353" s="11">
        <f t="shared" si="100"/>
        <v>21.729553476362859</v>
      </c>
      <c r="AA353" s="6">
        <v>0</v>
      </c>
      <c r="AB353" s="6">
        <v>1</v>
      </c>
      <c r="AC353" s="6">
        <v>1</v>
      </c>
      <c r="AD353" s="7">
        <v>1</v>
      </c>
      <c r="AE353" s="9">
        <f t="shared" si="111"/>
        <v>83.5</v>
      </c>
      <c r="AF353" s="10">
        <f t="shared" si="107"/>
        <v>14</v>
      </c>
      <c r="AG353" s="12">
        <f t="shared" si="101"/>
        <v>544.54224681431003</v>
      </c>
      <c r="AH353" s="11">
        <f t="shared" si="102"/>
        <v>18.95338613713799</v>
      </c>
      <c r="AJ353" s="6">
        <f t="shared" si="108"/>
        <v>1000</v>
      </c>
      <c r="AK353" s="4">
        <v>336</v>
      </c>
      <c r="AM353" s="2" t="str">
        <f t="shared" si="103"/>
        <v>0</v>
      </c>
      <c r="AN353" s="2" t="str">
        <f t="shared" si="109"/>
        <v>3E8</v>
      </c>
      <c r="AO353" s="2"/>
      <c r="AP353" s="2" t="str">
        <f t="shared" si="110"/>
        <v>03E8</v>
      </c>
    </row>
    <row r="354" spans="1:42" x14ac:dyDescent="0.2">
      <c r="A354">
        <v>337</v>
      </c>
      <c r="B354">
        <v>33.6</v>
      </c>
      <c r="C354" s="6">
        <v>0</v>
      </c>
      <c r="D354" s="6">
        <v>0</v>
      </c>
      <c r="E354" s="6">
        <v>0</v>
      </c>
      <c r="F354" s="7">
        <v>0</v>
      </c>
      <c r="G354" s="9">
        <v>100</v>
      </c>
      <c r="H354" s="10">
        <f t="shared" si="104"/>
        <v>0</v>
      </c>
      <c r="I354" s="12">
        <f t="shared" si="95"/>
        <v>639.30209199318563</v>
      </c>
      <c r="J354" s="11">
        <f t="shared" si="96"/>
        <v>21.729553476362859</v>
      </c>
      <c r="K354" s="6">
        <v>0</v>
      </c>
      <c r="L354" s="6">
        <v>0</v>
      </c>
      <c r="M354" s="6">
        <v>0</v>
      </c>
      <c r="N354" s="7">
        <v>0</v>
      </c>
      <c r="O354" s="9">
        <v>100</v>
      </c>
      <c r="P354" s="10">
        <f t="shared" si="105"/>
        <v>0</v>
      </c>
      <c r="Q354" s="12">
        <f t="shared" si="97"/>
        <v>639.30209199318563</v>
      </c>
      <c r="R354" s="11">
        <f t="shared" si="98"/>
        <v>21.729553476362859</v>
      </c>
      <c r="S354" s="6">
        <v>0</v>
      </c>
      <c r="T354" s="6">
        <v>0</v>
      </c>
      <c r="U354" s="6">
        <v>0</v>
      </c>
      <c r="V354" s="7">
        <v>0</v>
      </c>
      <c r="W354" s="9">
        <v>100</v>
      </c>
      <c r="X354" s="10">
        <f t="shared" si="106"/>
        <v>0</v>
      </c>
      <c r="Y354" s="12">
        <f t="shared" si="99"/>
        <v>639.30209199318563</v>
      </c>
      <c r="Z354" s="11">
        <f t="shared" si="100"/>
        <v>21.729553476362859</v>
      </c>
      <c r="AA354" s="6">
        <v>0</v>
      </c>
      <c r="AB354" s="6">
        <v>1</v>
      </c>
      <c r="AC354" s="6">
        <v>1</v>
      </c>
      <c r="AD354" s="7">
        <v>1</v>
      </c>
      <c r="AE354" s="9">
        <f t="shared" si="111"/>
        <v>82</v>
      </c>
      <c r="AF354" s="10">
        <f t="shared" si="107"/>
        <v>14</v>
      </c>
      <c r="AG354" s="12">
        <f t="shared" si="101"/>
        <v>535.92771543441222</v>
      </c>
      <c r="AH354" s="11">
        <f t="shared" si="102"/>
        <v>18.701007288117545</v>
      </c>
      <c r="AJ354" s="6">
        <f t="shared" si="108"/>
        <v>1000</v>
      </c>
      <c r="AK354" s="4">
        <v>337</v>
      </c>
      <c r="AM354" s="2" t="str">
        <f t="shared" si="103"/>
        <v>0</v>
      </c>
      <c r="AN354" s="2" t="str">
        <f t="shared" si="109"/>
        <v>3E8</v>
      </c>
      <c r="AO354" s="2"/>
      <c r="AP354" s="2" t="str">
        <f t="shared" si="110"/>
        <v>03E8</v>
      </c>
    </row>
    <row r="355" spans="1:42" x14ac:dyDescent="0.2">
      <c r="A355">
        <v>338</v>
      </c>
      <c r="B355">
        <v>33.700000000000003</v>
      </c>
      <c r="C355" s="6">
        <v>0</v>
      </c>
      <c r="D355" s="6">
        <v>0</v>
      </c>
      <c r="E355" s="6">
        <v>0</v>
      </c>
      <c r="F355" s="7">
        <v>0</v>
      </c>
      <c r="G355" s="9">
        <v>100</v>
      </c>
      <c r="H355" s="10">
        <f t="shared" si="104"/>
        <v>0</v>
      </c>
      <c r="I355" s="12">
        <f t="shared" si="95"/>
        <v>639.30209199318563</v>
      </c>
      <c r="J355" s="11">
        <f t="shared" si="96"/>
        <v>21.729553476362859</v>
      </c>
      <c r="K355" s="6">
        <v>0</v>
      </c>
      <c r="L355" s="6">
        <v>0</v>
      </c>
      <c r="M355" s="6">
        <v>0</v>
      </c>
      <c r="N355" s="7">
        <v>0</v>
      </c>
      <c r="O355" s="9">
        <v>100</v>
      </c>
      <c r="P355" s="10">
        <f t="shared" si="105"/>
        <v>0</v>
      </c>
      <c r="Q355" s="12">
        <f t="shared" si="97"/>
        <v>639.30209199318563</v>
      </c>
      <c r="R355" s="11">
        <f t="shared" si="98"/>
        <v>21.729553476362859</v>
      </c>
      <c r="S355" s="6">
        <v>0</v>
      </c>
      <c r="T355" s="6">
        <v>0</v>
      </c>
      <c r="U355" s="6">
        <v>0</v>
      </c>
      <c r="V355" s="7">
        <v>0</v>
      </c>
      <c r="W355" s="9">
        <v>100</v>
      </c>
      <c r="X355" s="10">
        <f t="shared" si="106"/>
        <v>0</v>
      </c>
      <c r="Y355" s="12">
        <f t="shared" si="99"/>
        <v>639.30209199318563</v>
      </c>
      <c r="Z355" s="11">
        <f t="shared" si="100"/>
        <v>21.729553476362859</v>
      </c>
      <c r="AA355" s="6">
        <v>0</v>
      </c>
      <c r="AB355" s="6">
        <v>1</v>
      </c>
      <c r="AC355" s="6">
        <v>1</v>
      </c>
      <c r="AD355" s="7">
        <v>1</v>
      </c>
      <c r="AE355" s="9">
        <f t="shared" si="111"/>
        <v>80.5</v>
      </c>
      <c r="AF355" s="10">
        <f t="shared" si="107"/>
        <v>14</v>
      </c>
      <c r="AG355" s="12">
        <f t="shared" si="101"/>
        <v>527.31318405451452</v>
      </c>
      <c r="AH355" s="11">
        <f t="shared" si="102"/>
        <v>18.448628439097106</v>
      </c>
      <c r="AJ355" s="6">
        <f t="shared" si="108"/>
        <v>1000</v>
      </c>
      <c r="AK355" s="4">
        <v>338</v>
      </c>
      <c r="AM355" s="2" t="str">
        <f t="shared" si="103"/>
        <v>0</v>
      </c>
      <c r="AN355" s="2" t="str">
        <f t="shared" si="109"/>
        <v>3E8</v>
      </c>
      <c r="AO355" s="2"/>
      <c r="AP355" s="2" t="str">
        <f t="shared" si="110"/>
        <v>03E8</v>
      </c>
    </row>
    <row r="356" spans="1:42" x14ac:dyDescent="0.2">
      <c r="A356">
        <v>339</v>
      </c>
      <c r="B356">
        <v>33.799999999999997</v>
      </c>
      <c r="C356" s="6">
        <v>0</v>
      </c>
      <c r="D356" s="6">
        <v>0</v>
      </c>
      <c r="E356" s="6">
        <v>0</v>
      </c>
      <c r="F356" s="7">
        <v>0</v>
      </c>
      <c r="G356" s="9">
        <v>100</v>
      </c>
      <c r="H356" s="10">
        <f t="shared" si="104"/>
        <v>0</v>
      </c>
      <c r="I356" s="12">
        <f t="shared" si="95"/>
        <v>639.30209199318563</v>
      </c>
      <c r="J356" s="11">
        <f t="shared" si="96"/>
        <v>21.729553476362859</v>
      </c>
      <c r="K356" s="6">
        <v>0</v>
      </c>
      <c r="L356" s="6">
        <v>0</v>
      </c>
      <c r="M356" s="6">
        <v>0</v>
      </c>
      <c r="N356" s="7">
        <v>0</v>
      </c>
      <c r="O356" s="9">
        <v>100</v>
      </c>
      <c r="P356" s="10">
        <f t="shared" si="105"/>
        <v>0</v>
      </c>
      <c r="Q356" s="12">
        <f t="shared" si="97"/>
        <v>639.30209199318563</v>
      </c>
      <c r="R356" s="11">
        <f t="shared" si="98"/>
        <v>21.729553476362859</v>
      </c>
      <c r="S356" s="6">
        <v>0</v>
      </c>
      <c r="T356" s="6">
        <v>0</v>
      </c>
      <c r="U356" s="6">
        <v>0</v>
      </c>
      <c r="V356" s="7">
        <v>0</v>
      </c>
      <c r="W356" s="9">
        <v>100</v>
      </c>
      <c r="X356" s="10">
        <f t="shared" si="106"/>
        <v>0</v>
      </c>
      <c r="Y356" s="12">
        <f t="shared" si="99"/>
        <v>639.30209199318563</v>
      </c>
      <c r="Z356" s="11">
        <f t="shared" si="100"/>
        <v>21.729553476362859</v>
      </c>
      <c r="AA356" s="6">
        <v>0</v>
      </c>
      <c r="AB356" s="6">
        <v>1</v>
      </c>
      <c r="AC356" s="6">
        <v>1</v>
      </c>
      <c r="AD356" s="7">
        <v>1</v>
      </c>
      <c r="AE356" s="9">
        <f t="shared" si="111"/>
        <v>79</v>
      </c>
      <c r="AF356" s="10">
        <f t="shared" si="107"/>
        <v>14</v>
      </c>
      <c r="AG356" s="12">
        <f t="shared" si="101"/>
        <v>518.69865267461671</v>
      </c>
      <c r="AH356" s="11">
        <f t="shared" si="102"/>
        <v>18.196249590076661</v>
      </c>
      <c r="AJ356" s="6">
        <f t="shared" si="108"/>
        <v>1000</v>
      </c>
      <c r="AK356" s="4">
        <v>339</v>
      </c>
      <c r="AM356" s="2" t="str">
        <f t="shared" si="103"/>
        <v>0</v>
      </c>
      <c r="AN356" s="2" t="str">
        <f t="shared" si="109"/>
        <v>3E8</v>
      </c>
      <c r="AO356" s="2"/>
      <c r="AP356" s="2" t="str">
        <f t="shared" si="110"/>
        <v>03E8</v>
      </c>
    </row>
    <row r="357" spans="1:42" x14ac:dyDescent="0.2">
      <c r="A357">
        <v>340</v>
      </c>
      <c r="B357">
        <v>33.9</v>
      </c>
      <c r="C357" s="6">
        <v>0</v>
      </c>
      <c r="D357" s="6">
        <v>0</v>
      </c>
      <c r="E357" s="6">
        <v>0</v>
      </c>
      <c r="F357" s="7">
        <v>0</v>
      </c>
      <c r="G357" s="9">
        <v>100</v>
      </c>
      <c r="H357" s="10">
        <f t="shared" si="104"/>
        <v>0</v>
      </c>
      <c r="I357" s="12">
        <f t="shared" si="95"/>
        <v>639.30209199318563</v>
      </c>
      <c r="J357" s="11">
        <f t="shared" si="96"/>
        <v>21.729553476362859</v>
      </c>
      <c r="K357" s="6">
        <v>0</v>
      </c>
      <c r="L357" s="6">
        <v>0</v>
      </c>
      <c r="M357" s="6">
        <v>0</v>
      </c>
      <c r="N357" s="7">
        <v>0</v>
      </c>
      <c r="O357" s="9">
        <v>100</v>
      </c>
      <c r="P357" s="10">
        <f t="shared" si="105"/>
        <v>0</v>
      </c>
      <c r="Q357" s="12">
        <f t="shared" si="97"/>
        <v>639.30209199318563</v>
      </c>
      <c r="R357" s="11">
        <f t="shared" si="98"/>
        <v>21.729553476362859</v>
      </c>
      <c r="S357" s="6">
        <v>0</v>
      </c>
      <c r="T357" s="6">
        <v>0</v>
      </c>
      <c r="U357" s="6">
        <v>0</v>
      </c>
      <c r="V357" s="7">
        <v>0</v>
      </c>
      <c r="W357" s="9">
        <v>100</v>
      </c>
      <c r="X357" s="10">
        <f t="shared" si="106"/>
        <v>0</v>
      </c>
      <c r="Y357" s="12">
        <f t="shared" si="99"/>
        <v>639.30209199318563</v>
      </c>
      <c r="Z357" s="11">
        <f t="shared" si="100"/>
        <v>21.729553476362859</v>
      </c>
      <c r="AA357" s="6">
        <v>0</v>
      </c>
      <c r="AB357" s="6">
        <v>1</v>
      </c>
      <c r="AC357" s="6">
        <v>1</v>
      </c>
      <c r="AD357" s="7">
        <v>1</v>
      </c>
      <c r="AE357" s="9">
        <f t="shared" si="111"/>
        <v>77.5</v>
      </c>
      <c r="AF357" s="10">
        <f t="shared" si="107"/>
        <v>14</v>
      </c>
      <c r="AG357" s="12">
        <f t="shared" si="101"/>
        <v>510.08412129471895</v>
      </c>
      <c r="AH357" s="11">
        <f t="shared" si="102"/>
        <v>17.943870741056219</v>
      </c>
      <c r="AJ357" s="6">
        <f t="shared" si="108"/>
        <v>1000</v>
      </c>
      <c r="AK357" s="4">
        <v>340</v>
      </c>
      <c r="AM357" s="2" t="str">
        <f t="shared" si="103"/>
        <v>0</v>
      </c>
      <c r="AN357" s="2" t="str">
        <f t="shared" si="109"/>
        <v>3E8</v>
      </c>
      <c r="AO357" s="2"/>
      <c r="AP357" s="2" t="str">
        <f t="shared" si="110"/>
        <v>03E8</v>
      </c>
    </row>
    <row r="358" spans="1:42" x14ac:dyDescent="0.2">
      <c r="A358">
        <v>341</v>
      </c>
      <c r="B358">
        <v>34</v>
      </c>
      <c r="C358" s="6">
        <v>0</v>
      </c>
      <c r="D358" s="6">
        <v>0</v>
      </c>
      <c r="E358" s="6">
        <v>0</v>
      </c>
      <c r="F358" s="7">
        <v>0</v>
      </c>
      <c r="G358" s="9">
        <v>100</v>
      </c>
      <c r="H358" s="10">
        <f t="shared" si="104"/>
        <v>0</v>
      </c>
      <c r="I358" s="12">
        <f t="shared" si="95"/>
        <v>639.30209199318563</v>
      </c>
      <c r="J358" s="11">
        <f t="shared" si="96"/>
        <v>21.729553476362859</v>
      </c>
      <c r="K358" s="6">
        <v>0</v>
      </c>
      <c r="L358" s="6">
        <v>0</v>
      </c>
      <c r="M358" s="6">
        <v>0</v>
      </c>
      <c r="N358" s="7">
        <v>0</v>
      </c>
      <c r="O358" s="9">
        <v>100</v>
      </c>
      <c r="P358" s="10">
        <f t="shared" si="105"/>
        <v>0</v>
      </c>
      <c r="Q358" s="12">
        <f t="shared" si="97"/>
        <v>639.30209199318563</v>
      </c>
      <c r="R358" s="11">
        <f t="shared" si="98"/>
        <v>21.729553476362859</v>
      </c>
      <c r="S358" s="6">
        <v>0</v>
      </c>
      <c r="T358" s="6">
        <v>0</v>
      </c>
      <c r="U358" s="6">
        <v>0</v>
      </c>
      <c r="V358" s="7">
        <v>0</v>
      </c>
      <c r="W358" s="9">
        <v>100</v>
      </c>
      <c r="X358" s="10">
        <f t="shared" si="106"/>
        <v>0</v>
      </c>
      <c r="Y358" s="12">
        <f t="shared" si="99"/>
        <v>639.30209199318563</v>
      </c>
      <c r="Z358" s="11">
        <f t="shared" si="100"/>
        <v>21.729553476362859</v>
      </c>
      <c r="AA358" s="6">
        <v>0</v>
      </c>
      <c r="AB358" s="6">
        <v>1</v>
      </c>
      <c r="AC358" s="6">
        <v>1</v>
      </c>
      <c r="AD358" s="7">
        <v>1</v>
      </c>
      <c r="AE358" s="9">
        <f t="shared" si="111"/>
        <v>76</v>
      </c>
      <c r="AF358" s="10">
        <f t="shared" si="107"/>
        <v>14</v>
      </c>
      <c r="AG358" s="12">
        <f t="shared" si="101"/>
        <v>501.46958991482109</v>
      </c>
      <c r="AH358" s="11">
        <f t="shared" si="102"/>
        <v>17.691491892035774</v>
      </c>
      <c r="AJ358" s="6">
        <f t="shared" si="108"/>
        <v>1000</v>
      </c>
      <c r="AK358" s="4">
        <v>341</v>
      </c>
      <c r="AM358" s="2" t="str">
        <f t="shared" si="103"/>
        <v>0</v>
      </c>
      <c r="AN358" s="2" t="str">
        <f t="shared" si="109"/>
        <v>3E8</v>
      </c>
      <c r="AO358" s="2"/>
      <c r="AP358" s="2" t="str">
        <f t="shared" si="110"/>
        <v>03E8</v>
      </c>
    </row>
    <row r="359" spans="1:42" x14ac:dyDescent="0.2">
      <c r="A359">
        <v>342</v>
      </c>
      <c r="B359">
        <v>34.1</v>
      </c>
      <c r="C359" s="6">
        <v>0</v>
      </c>
      <c r="D359" s="6">
        <v>0</v>
      </c>
      <c r="E359" s="6">
        <v>0</v>
      </c>
      <c r="F359" s="7">
        <v>0</v>
      </c>
      <c r="G359" s="9">
        <v>100</v>
      </c>
      <c r="H359" s="10">
        <f t="shared" si="104"/>
        <v>0</v>
      </c>
      <c r="I359" s="12">
        <f t="shared" si="95"/>
        <v>639.30209199318563</v>
      </c>
      <c r="J359" s="11">
        <f t="shared" si="96"/>
        <v>21.729553476362859</v>
      </c>
      <c r="K359" s="6">
        <v>0</v>
      </c>
      <c r="L359" s="6">
        <v>0</v>
      </c>
      <c r="M359" s="6">
        <v>0</v>
      </c>
      <c r="N359" s="7">
        <v>0</v>
      </c>
      <c r="O359" s="9">
        <v>100</v>
      </c>
      <c r="P359" s="10">
        <f t="shared" si="105"/>
        <v>0</v>
      </c>
      <c r="Q359" s="12">
        <f t="shared" si="97"/>
        <v>639.30209199318563</v>
      </c>
      <c r="R359" s="11">
        <f t="shared" si="98"/>
        <v>21.729553476362859</v>
      </c>
      <c r="S359" s="6">
        <v>0</v>
      </c>
      <c r="T359" s="6">
        <v>0</v>
      </c>
      <c r="U359" s="6">
        <v>0</v>
      </c>
      <c r="V359" s="7">
        <v>0</v>
      </c>
      <c r="W359" s="9">
        <v>100</v>
      </c>
      <c r="X359" s="10">
        <f t="shared" si="106"/>
        <v>0</v>
      </c>
      <c r="Y359" s="12">
        <f t="shared" si="99"/>
        <v>639.30209199318563</v>
      </c>
      <c r="Z359" s="11">
        <f t="shared" si="100"/>
        <v>21.729553476362859</v>
      </c>
      <c r="AA359" s="6">
        <v>0</v>
      </c>
      <c r="AB359" s="6">
        <v>1</v>
      </c>
      <c r="AC359" s="6">
        <v>1</v>
      </c>
      <c r="AD359" s="7">
        <v>1</v>
      </c>
      <c r="AE359" s="9">
        <f t="shared" si="111"/>
        <v>74.5</v>
      </c>
      <c r="AF359" s="10">
        <f t="shared" si="107"/>
        <v>14</v>
      </c>
      <c r="AG359" s="12">
        <f t="shared" si="101"/>
        <v>492.85505853492333</v>
      </c>
      <c r="AH359" s="11">
        <f t="shared" si="102"/>
        <v>17.439113043015332</v>
      </c>
      <c r="AJ359" s="6">
        <f t="shared" si="108"/>
        <v>1000</v>
      </c>
      <c r="AK359" s="4">
        <v>342</v>
      </c>
      <c r="AM359" s="2" t="str">
        <f t="shared" si="103"/>
        <v>0</v>
      </c>
      <c r="AN359" s="2" t="str">
        <f t="shared" si="109"/>
        <v>3E8</v>
      </c>
      <c r="AO359" s="2"/>
      <c r="AP359" s="2" t="str">
        <f t="shared" si="110"/>
        <v>03E8</v>
      </c>
    </row>
    <row r="360" spans="1:42" x14ac:dyDescent="0.2">
      <c r="A360">
        <v>343</v>
      </c>
      <c r="B360">
        <v>34.200000000000003</v>
      </c>
      <c r="C360" s="6">
        <v>0</v>
      </c>
      <c r="D360" s="6">
        <v>0</v>
      </c>
      <c r="E360" s="6">
        <v>0</v>
      </c>
      <c r="F360" s="7">
        <v>0</v>
      </c>
      <c r="G360" s="9">
        <v>100</v>
      </c>
      <c r="H360" s="10">
        <f t="shared" si="104"/>
        <v>0</v>
      </c>
      <c r="I360" s="12">
        <f t="shared" si="95"/>
        <v>639.30209199318563</v>
      </c>
      <c r="J360" s="11">
        <f t="shared" si="96"/>
        <v>21.729553476362859</v>
      </c>
      <c r="K360" s="6">
        <v>0</v>
      </c>
      <c r="L360" s="6">
        <v>0</v>
      </c>
      <c r="M360" s="6">
        <v>0</v>
      </c>
      <c r="N360" s="7">
        <v>0</v>
      </c>
      <c r="O360" s="9">
        <v>100</v>
      </c>
      <c r="P360" s="10">
        <f t="shared" si="105"/>
        <v>0</v>
      </c>
      <c r="Q360" s="12">
        <f t="shared" si="97"/>
        <v>639.30209199318563</v>
      </c>
      <c r="R360" s="11">
        <f t="shared" si="98"/>
        <v>21.729553476362859</v>
      </c>
      <c r="S360" s="6">
        <v>0</v>
      </c>
      <c r="T360" s="6">
        <v>0</v>
      </c>
      <c r="U360" s="6">
        <v>0</v>
      </c>
      <c r="V360" s="7">
        <v>0</v>
      </c>
      <c r="W360" s="9">
        <v>100</v>
      </c>
      <c r="X360" s="10">
        <f t="shared" si="106"/>
        <v>0</v>
      </c>
      <c r="Y360" s="12">
        <f t="shared" si="99"/>
        <v>639.30209199318563</v>
      </c>
      <c r="Z360" s="11">
        <f t="shared" si="100"/>
        <v>21.729553476362859</v>
      </c>
      <c r="AA360" s="6">
        <v>0</v>
      </c>
      <c r="AB360" s="6">
        <v>1</v>
      </c>
      <c r="AC360" s="6">
        <v>1</v>
      </c>
      <c r="AD360" s="7">
        <v>1</v>
      </c>
      <c r="AE360" s="9">
        <f t="shared" si="111"/>
        <v>73</v>
      </c>
      <c r="AF360" s="10">
        <f t="shared" si="107"/>
        <v>14</v>
      </c>
      <c r="AG360" s="12">
        <f t="shared" si="101"/>
        <v>484.24052715502557</v>
      </c>
      <c r="AH360" s="11">
        <f t="shared" si="102"/>
        <v>17.186734193994891</v>
      </c>
      <c r="AJ360" s="6">
        <f t="shared" si="108"/>
        <v>1000</v>
      </c>
      <c r="AK360" s="4">
        <v>343</v>
      </c>
      <c r="AM360" s="2" t="str">
        <f t="shared" si="103"/>
        <v>0</v>
      </c>
      <c r="AN360" s="2" t="str">
        <f t="shared" si="109"/>
        <v>3E8</v>
      </c>
      <c r="AO360" s="2"/>
      <c r="AP360" s="2" t="str">
        <f t="shared" si="110"/>
        <v>03E8</v>
      </c>
    </row>
    <row r="361" spans="1:42" x14ac:dyDescent="0.2">
      <c r="A361">
        <v>344</v>
      </c>
      <c r="B361">
        <v>34.299999999999997</v>
      </c>
      <c r="C361" s="6">
        <v>0</v>
      </c>
      <c r="D361" s="6">
        <v>0</v>
      </c>
      <c r="E361" s="6">
        <v>0</v>
      </c>
      <c r="F361" s="7">
        <v>0</v>
      </c>
      <c r="G361" s="9">
        <v>100</v>
      </c>
      <c r="H361" s="10">
        <f t="shared" si="104"/>
        <v>0</v>
      </c>
      <c r="I361" s="12">
        <f t="shared" si="95"/>
        <v>639.30209199318563</v>
      </c>
      <c r="J361" s="11">
        <f t="shared" si="96"/>
        <v>21.729553476362859</v>
      </c>
      <c r="K361" s="6">
        <v>0</v>
      </c>
      <c r="L361" s="6">
        <v>0</v>
      </c>
      <c r="M361" s="6">
        <v>0</v>
      </c>
      <c r="N361" s="7">
        <v>0</v>
      </c>
      <c r="O361" s="9">
        <v>100</v>
      </c>
      <c r="P361" s="10">
        <f t="shared" si="105"/>
        <v>0</v>
      </c>
      <c r="Q361" s="12">
        <f t="shared" si="97"/>
        <v>639.30209199318563</v>
      </c>
      <c r="R361" s="11">
        <f t="shared" si="98"/>
        <v>21.729553476362859</v>
      </c>
      <c r="S361" s="6">
        <v>0</v>
      </c>
      <c r="T361" s="6">
        <v>0</v>
      </c>
      <c r="U361" s="6">
        <v>0</v>
      </c>
      <c r="V361" s="7">
        <v>0</v>
      </c>
      <c r="W361" s="9">
        <v>100</v>
      </c>
      <c r="X361" s="10">
        <f t="shared" si="106"/>
        <v>0</v>
      </c>
      <c r="Y361" s="12">
        <f t="shared" si="99"/>
        <v>639.30209199318563</v>
      </c>
      <c r="Z361" s="11">
        <f t="shared" si="100"/>
        <v>21.729553476362859</v>
      </c>
      <c r="AA361" s="6">
        <v>0</v>
      </c>
      <c r="AB361" s="6">
        <v>1</v>
      </c>
      <c r="AC361" s="6">
        <v>1</v>
      </c>
      <c r="AD361" s="7">
        <v>1</v>
      </c>
      <c r="AE361" s="9">
        <f t="shared" si="111"/>
        <v>71.5</v>
      </c>
      <c r="AF361" s="10">
        <f t="shared" si="107"/>
        <v>14</v>
      </c>
      <c r="AG361" s="12">
        <f t="shared" si="101"/>
        <v>475.62599577512771</v>
      </c>
      <c r="AH361" s="11">
        <f t="shared" si="102"/>
        <v>16.934355344974446</v>
      </c>
      <c r="AJ361" s="6">
        <f t="shared" si="108"/>
        <v>1000</v>
      </c>
      <c r="AK361" s="4">
        <v>344</v>
      </c>
      <c r="AM361" s="2" t="str">
        <f t="shared" si="103"/>
        <v>0</v>
      </c>
      <c r="AN361" s="2" t="str">
        <f t="shared" si="109"/>
        <v>3E8</v>
      </c>
      <c r="AO361" s="2"/>
      <c r="AP361" s="2" t="str">
        <f t="shared" si="110"/>
        <v>03E8</v>
      </c>
    </row>
    <row r="362" spans="1:42" x14ac:dyDescent="0.2">
      <c r="A362">
        <v>345</v>
      </c>
      <c r="B362">
        <v>34.4</v>
      </c>
      <c r="C362" s="6">
        <v>0</v>
      </c>
      <c r="D362" s="6">
        <v>0</v>
      </c>
      <c r="E362" s="6">
        <v>0</v>
      </c>
      <c r="F362" s="7">
        <v>0</v>
      </c>
      <c r="G362" s="9">
        <v>100</v>
      </c>
      <c r="H362" s="10">
        <f t="shared" si="104"/>
        <v>0</v>
      </c>
      <c r="I362" s="12">
        <f t="shared" si="95"/>
        <v>639.30209199318563</v>
      </c>
      <c r="J362" s="11">
        <f t="shared" si="96"/>
        <v>21.729553476362859</v>
      </c>
      <c r="K362" s="6">
        <v>0</v>
      </c>
      <c r="L362" s="6">
        <v>0</v>
      </c>
      <c r="M362" s="6">
        <v>0</v>
      </c>
      <c r="N362" s="7">
        <v>0</v>
      </c>
      <c r="O362" s="9">
        <v>100</v>
      </c>
      <c r="P362" s="10">
        <f t="shared" si="105"/>
        <v>0</v>
      </c>
      <c r="Q362" s="12">
        <f t="shared" si="97"/>
        <v>639.30209199318563</v>
      </c>
      <c r="R362" s="11">
        <f t="shared" si="98"/>
        <v>21.729553476362859</v>
      </c>
      <c r="S362" s="6">
        <v>0</v>
      </c>
      <c r="T362" s="6">
        <v>0</v>
      </c>
      <c r="U362" s="6">
        <v>0</v>
      </c>
      <c r="V362" s="7">
        <v>0</v>
      </c>
      <c r="W362" s="9">
        <v>100</v>
      </c>
      <c r="X362" s="10">
        <f t="shared" si="106"/>
        <v>0</v>
      </c>
      <c r="Y362" s="12">
        <f t="shared" si="99"/>
        <v>639.30209199318563</v>
      </c>
      <c r="Z362" s="11">
        <f t="shared" si="100"/>
        <v>21.729553476362859</v>
      </c>
      <c r="AA362" s="6">
        <v>0</v>
      </c>
      <c r="AB362" s="6">
        <v>1</v>
      </c>
      <c r="AC362" s="6">
        <v>1</v>
      </c>
      <c r="AD362" s="7">
        <v>1</v>
      </c>
      <c r="AE362" s="9">
        <f t="shared" si="111"/>
        <v>70</v>
      </c>
      <c r="AF362" s="10">
        <f t="shared" si="107"/>
        <v>14</v>
      </c>
      <c r="AG362" s="12">
        <f t="shared" si="101"/>
        <v>467.01146439522995</v>
      </c>
      <c r="AH362" s="11">
        <f t="shared" si="102"/>
        <v>16.681976495954004</v>
      </c>
      <c r="AJ362" s="6">
        <f t="shared" si="108"/>
        <v>1000</v>
      </c>
      <c r="AK362" s="4">
        <v>345</v>
      </c>
      <c r="AM362" s="2" t="str">
        <f t="shared" si="103"/>
        <v>0</v>
      </c>
      <c r="AN362" s="2" t="str">
        <f t="shared" si="109"/>
        <v>3E8</v>
      </c>
      <c r="AO362" s="2"/>
      <c r="AP362" s="2" t="str">
        <f t="shared" si="110"/>
        <v>03E8</v>
      </c>
    </row>
    <row r="363" spans="1:42" x14ac:dyDescent="0.2">
      <c r="A363">
        <v>346</v>
      </c>
      <c r="B363">
        <v>34.5</v>
      </c>
      <c r="C363" s="6">
        <v>0</v>
      </c>
      <c r="D363" s="6">
        <v>0</v>
      </c>
      <c r="E363" s="6">
        <v>0</v>
      </c>
      <c r="F363" s="7">
        <v>0</v>
      </c>
      <c r="G363" s="9">
        <v>100</v>
      </c>
      <c r="H363" s="10">
        <f t="shared" si="104"/>
        <v>0</v>
      </c>
      <c r="I363" s="12">
        <f t="shared" si="95"/>
        <v>639.30209199318563</v>
      </c>
      <c r="J363" s="11">
        <f t="shared" si="96"/>
        <v>21.729553476362859</v>
      </c>
      <c r="K363" s="6">
        <v>0</v>
      </c>
      <c r="L363" s="6">
        <v>0</v>
      </c>
      <c r="M363" s="6">
        <v>0</v>
      </c>
      <c r="N363" s="7">
        <v>0</v>
      </c>
      <c r="O363" s="9">
        <v>100</v>
      </c>
      <c r="P363" s="10">
        <f t="shared" si="105"/>
        <v>0</v>
      </c>
      <c r="Q363" s="12">
        <f t="shared" si="97"/>
        <v>639.30209199318563</v>
      </c>
      <c r="R363" s="11">
        <f t="shared" si="98"/>
        <v>21.729553476362859</v>
      </c>
      <c r="S363" s="6">
        <v>0</v>
      </c>
      <c r="T363" s="6">
        <v>0</v>
      </c>
      <c r="U363" s="6">
        <v>0</v>
      </c>
      <c r="V363" s="7">
        <v>0</v>
      </c>
      <c r="W363" s="9">
        <v>100</v>
      </c>
      <c r="X363" s="10">
        <f t="shared" si="106"/>
        <v>0</v>
      </c>
      <c r="Y363" s="12">
        <f t="shared" si="99"/>
        <v>639.30209199318563</v>
      </c>
      <c r="Z363" s="11">
        <f t="shared" si="100"/>
        <v>21.729553476362859</v>
      </c>
      <c r="AA363" s="6">
        <v>0</v>
      </c>
      <c r="AB363" s="6">
        <v>1</v>
      </c>
      <c r="AC363" s="6">
        <v>1</v>
      </c>
      <c r="AD363" s="7">
        <v>1</v>
      </c>
      <c r="AE363" s="9">
        <v>70</v>
      </c>
      <c r="AF363" s="10">
        <f t="shared" si="107"/>
        <v>14</v>
      </c>
      <c r="AG363" s="12">
        <f t="shared" si="101"/>
        <v>467.01146439522995</v>
      </c>
      <c r="AH363" s="11">
        <f t="shared" si="102"/>
        <v>16.681976495954004</v>
      </c>
      <c r="AJ363" s="6">
        <f t="shared" si="108"/>
        <v>1000</v>
      </c>
      <c r="AK363" s="4">
        <v>346</v>
      </c>
      <c r="AM363" s="2" t="str">
        <f t="shared" si="103"/>
        <v>0</v>
      </c>
      <c r="AN363" s="2" t="str">
        <f t="shared" si="109"/>
        <v>3E8</v>
      </c>
      <c r="AO363" s="2"/>
      <c r="AP363" s="2" t="str">
        <f t="shared" si="110"/>
        <v>03E8</v>
      </c>
    </row>
    <row r="364" spans="1:42" x14ac:dyDescent="0.2">
      <c r="A364">
        <v>347</v>
      </c>
      <c r="B364">
        <v>34.6</v>
      </c>
      <c r="C364" s="6">
        <v>0</v>
      </c>
      <c r="D364" s="6">
        <v>0</v>
      </c>
      <c r="E364" s="6">
        <v>0</v>
      </c>
      <c r="F364" s="7">
        <v>0</v>
      </c>
      <c r="G364" s="9">
        <v>100</v>
      </c>
      <c r="H364" s="10">
        <f t="shared" si="104"/>
        <v>0</v>
      </c>
      <c r="I364" s="12">
        <f t="shared" si="95"/>
        <v>639.30209199318563</v>
      </c>
      <c r="J364" s="11">
        <f t="shared" si="96"/>
        <v>21.729553476362859</v>
      </c>
      <c r="K364" s="6">
        <v>0</v>
      </c>
      <c r="L364" s="6">
        <v>0</v>
      </c>
      <c r="M364" s="6">
        <v>0</v>
      </c>
      <c r="N364" s="7">
        <v>0</v>
      </c>
      <c r="O364" s="9">
        <v>100</v>
      </c>
      <c r="P364" s="10">
        <f t="shared" si="105"/>
        <v>0</v>
      </c>
      <c r="Q364" s="12">
        <f t="shared" si="97"/>
        <v>639.30209199318563</v>
      </c>
      <c r="R364" s="11">
        <f t="shared" si="98"/>
        <v>21.729553476362859</v>
      </c>
      <c r="S364" s="6">
        <v>0</v>
      </c>
      <c r="T364" s="6">
        <v>0</v>
      </c>
      <c r="U364" s="6">
        <v>0</v>
      </c>
      <c r="V364" s="7">
        <v>0</v>
      </c>
      <c r="W364" s="9">
        <v>100</v>
      </c>
      <c r="X364" s="10">
        <f t="shared" si="106"/>
        <v>0</v>
      </c>
      <c r="Y364" s="12">
        <f t="shared" si="99"/>
        <v>639.30209199318563</v>
      </c>
      <c r="Z364" s="11">
        <f t="shared" si="100"/>
        <v>21.729553476362859</v>
      </c>
      <c r="AA364" s="6">
        <v>0</v>
      </c>
      <c r="AB364" s="6">
        <v>1</v>
      </c>
      <c r="AC364" s="6">
        <v>1</v>
      </c>
      <c r="AD364" s="7">
        <v>1</v>
      </c>
      <c r="AE364" s="9">
        <v>70</v>
      </c>
      <c r="AF364" s="10">
        <f t="shared" si="107"/>
        <v>14</v>
      </c>
      <c r="AG364" s="12">
        <f t="shared" si="101"/>
        <v>467.01146439522995</v>
      </c>
      <c r="AH364" s="11">
        <f t="shared" si="102"/>
        <v>16.681976495954004</v>
      </c>
      <c r="AJ364" s="6">
        <f t="shared" si="108"/>
        <v>1000</v>
      </c>
      <c r="AK364" s="4">
        <v>347</v>
      </c>
      <c r="AM364" s="2" t="str">
        <f t="shared" si="103"/>
        <v>0</v>
      </c>
      <c r="AN364" s="2" t="str">
        <f t="shared" si="109"/>
        <v>3E8</v>
      </c>
      <c r="AO364" s="2"/>
      <c r="AP364" s="2" t="str">
        <f t="shared" si="110"/>
        <v>03E8</v>
      </c>
    </row>
    <row r="365" spans="1:42" x14ac:dyDescent="0.2">
      <c r="A365">
        <v>348</v>
      </c>
      <c r="B365">
        <v>34.700000000000003</v>
      </c>
      <c r="C365" s="6">
        <v>0</v>
      </c>
      <c r="D365" s="6">
        <v>0</v>
      </c>
      <c r="E365" s="6">
        <v>0</v>
      </c>
      <c r="F365" s="7">
        <v>0</v>
      </c>
      <c r="G365" s="9">
        <v>100</v>
      </c>
      <c r="H365" s="10">
        <f t="shared" si="104"/>
        <v>0</v>
      </c>
      <c r="I365" s="12">
        <f t="shared" si="95"/>
        <v>639.30209199318563</v>
      </c>
      <c r="J365" s="11">
        <f t="shared" si="96"/>
        <v>21.729553476362859</v>
      </c>
      <c r="K365" s="6">
        <v>0</v>
      </c>
      <c r="L365" s="6">
        <v>0</v>
      </c>
      <c r="M365" s="6">
        <v>0</v>
      </c>
      <c r="N365" s="7">
        <v>0</v>
      </c>
      <c r="O365" s="9">
        <v>100</v>
      </c>
      <c r="P365" s="10">
        <f t="shared" si="105"/>
        <v>0</v>
      </c>
      <c r="Q365" s="12">
        <f t="shared" si="97"/>
        <v>639.30209199318563</v>
      </c>
      <c r="R365" s="11">
        <f t="shared" si="98"/>
        <v>21.729553476362859</v>
      </c>
      <c r="S365" s="6">
        <v>0</v>
      </c>
      <c r="T365" s="6">
        <v>0</v>
      </c>
      <c r="U365" s="6">
        <v>0</v>
      </c>
      <c r="V365" s="7">
        <v>0</v>
      </c>
      <c r="W365" s="9">
        <v>100</v>
      </c>
      <c r="X365" s="10">
        <f t="shared" si="106"/>
        <v>0</v>
      </c>
      <c r="Y365" s="12">
        <f t="shared" si="99"/>
        <v>639.30209199318563</v>
      </c>
      <c r="Z365" s="11">
        <f t="shared" si="100"/>
        <v>21.729553476362859</v>
      </c>
      <c r="AA365" s="6">
        <v>0</v>
      </c>
      <c r="AB365" s="6">
        <v>1</v>
      </c>
      <c r="AC365" s="6">
        <v>1</v>
      </c>
      <c r="AD365" s="7">
        <v>1</v>
      </c>
      <c r="AE365" s="9">
        <v>70</v>
      </c>
      <c r="AF365" s="10">
        <f t="shared" si="107"/>
        <v>14</v>
      </c>
      <c r="AG365" s="12">
        <f t="shared" si="101"/>
        <v>467.01146439522995</v>
      </c>
      <c r="AH365" s="11">
        <f t="shared" si="102"/>
        <v>16.681976495954004</v>
      </c>
      <c r="AJ365" s="6">
        <f t="shared" si="108"/>
        <v>1000</v>
      </c>
      <c r="AK365" s="4">
        <v>348</v>
      </c>
      <c r="AM365" s="2" t="str">
        <f t="shared" si="103"/>
        <v>0</v>
      </c>
      <c r="AN365" s="2" t="str">
        <f t="shared" si="109"/>
        <v>3E8</v>
      </c>
      <c r="AO365" s="2"/>
      <c r="AP365" s="2" t="str">
        <f t="shared" si="110"/>
        <v>03E8</v>
      </c>
    </row>
    <row r="366" spans="1:42" x14ac:dyDescent="0.2">
      <c r="A366">
        <v>349</v>
      </c>
      <c r="B366">
        <v>34.799999999999997</v>
      </c>
      <c r="C366" s="6">
        <v>0</v>
      </c>
      <c r="D366" s="6">
        <v>0</v>
      </c>
      <c r="E366" s="6">
        <v>0</v>
      </c>
      <c r="F366" s="7">
        <v>0</v>
      </c>
      <c r="G366" s="9">
        <v>100</v>
      </c>
      <c r="H366" s="10">
        <f t="shared" si="104"/>
        <v>0</v>
      </c>
      <c r="I366" s="12">
        <f t="shared" si="95"/>
        <v>639.30209199318563</v>
      </c>
      <c r="J366" s="11">
        <f t="shared" si="96"/>
        <v>21.729553476362859</v>
      </c>
      <c r="K366" s="6">
        <v>0</v>
      </c>
      <c r="L366" s="6">
        <v>0</v>
      </c>
      <c r="M366" s="6">
        <v>0</v>
      </c>
      <c r="N366" s="7">
        <v>0</v>
      </c>
      <c r="O366" s="9">
        <v>100</v>
      </c>
      <c r="P366" s="10">
        <f t="shared" si="105"/>
        <v>0</v>
      </c>
      <c r="Q366" s="12">
        <f t="shared" si="97"/>
        <v>639.30209199318563</v>
      </c>
      <c r="R366" s="11">
        <f t="shared" si="98"/>
        <v>21.729553476362859</v>
      </c>
      <c r="S366" s="6">
        <v>0</v>
      </c>
      <c r="T366" s="6">
        <v>0</v>
      </c>
      <c r="U366" s="6">
        <v>0</v>
      </c>
      <c r="V366" s="7">
        <v>0</v>
      </c>
      <c r="W366" s="9">
        <v>100</v>
      </c>
      <c r="X366" s="10">
        <f t="shared" si="106"/>
        <v>0</v>
      </c>
      <c r="Y366" s="12">
        <f t="shared" si="99"/>
        <v>639.30209199318563</v>
      </c>
      <c r="Z366" s="11">
        <f t="shared" si="100"/>
        <v>21.729553476362859</v>
      </c>
      <c r="AA366" s="6">
        <v>0</v>
      </c>
      <c r="AB366" s="6">
        <v>1</v>
      </c>
      <c r="AC366" s="6">
        <v>1</v>
      </c>
      <c r="AD366" s="7">
        <v>1</v>
      </c>
      <c r="AE366" s="9">
        <v>70</v>
      </c>
      <c r="AF366" s="10">
        <f t="shared" si="107"/>
        <v>14</v>
      </c>
      <c r="AG366" s="12">
        <f t="shared" si="101"/>
        <v>467.01146439522995</v>
      </c>
      <c r="AH366" s="11">
        <f t="shared" si="102"/>
        <v>16.681976495954004</v>
      </c>
      <c r="AJ366" s="6">
        <f t="shared" si="108"/>
        <v>1000</v>
      </c>
      <c r="AK366" s="4">
        <v>349</v>
      </c>
      <c r="AM366" s="2" t="str">
        <f t="shared" si="103"/>
        <v>0</v>
      </c>
      <c r="AN366" s="2" t="str">
        <f t="shared" si="109"/>
        <v>3E8</v>
      </c>
      <c r="AO366" s="2"/>
      <c r="AP366" s="2" t="str">
        <f t="shared" si="110"/>
        <v>03E8</v>
      </c>
    </row>
    <row r="367" spans="1:42" x14ac:dyDescent="0.2">
      <c r="A367">
        <v>350</v>
      </c>
      <c r="B367">
        <v>34.9</v>
      </c>
      <c r="C367" s="6">
        <v>0</v>
      </c>
      <c r="D367" s="6">
        <v>0</v>
      </c>
      <c r="E367" s="6">
        <v>0</v>
      </c>
      <c r="F367" s="7">
        <v>0</v>
      </c>
      <c r="G367" s="9">
        <v>100</v>
      </c>
      <c r="H367" s="10">
        <f t="shared" si="104"/>
        <v>0</v>
      </c>
      <c r="I367" s="12">
        <f t="shared" si="95"/>
        <v>639.30209199318563</v>
      </c>
      <c r="J367" s="11">
        <f t="shared" si="96"/>
        <v>21.729553476362859</v>
      </c>
      <c r="K367" s="6">
        <v>0</v>
      </c>
      <c r="L367" s="6">
        <v>0</v>
      </c>
      <c r="M367" s="6">
        <v>0</v>
      </c>
      <c r="N367" s="7">
        <v>0</v>
      </c>
      <c r="O367" s="9">
        <v>100</v>
      </c>
      <c r="P367" s="10">
        <f t="shared" si="105"/>
        <v>0</v>
      </c>
      <c r="Q367" s="12">
        <f t="shared" si="97"/>
        <v>639.30209199318563</v>
      </c>
      <c r="R367" s="11">
        <f t="shared" si="98"/>
        <v>21.729553476362859</v>
      </c>
      <c r="S367" s="6">
        <v>0</v>
      </c>
      <c r="T367" s="6">
        <v>0</v>
      </c>
      <c r="U367" s="6">
        <v>0</v>
      </c>
      <c r="V367" s="7">
        <v>0</v>
      </c>
      <c r="W367" s="9">
        <v>100</v>
      </c>
      <c r="X367" s="10">
        <f t="shared" si="106"/>
        <v>0</v>
      </c>
      <c r="Y367" s="12">
        <f t="shared" si="99"/>
        <v>639.30209199318563</v>
      </c>
      <c r="Z367" s="11">
        <f t="shared" si="100"/>
        <v>21.729553476362859</v>
      </c>
      <c r="AA367" s="6">
        <v>0</v>
      </c>
      <c r="AB367" s="6">
        <v>1</v>
      </c>
      <c r="AC367" s="6">
        <v>1</v>
      </c>
      <c r="AD367" s="7">
        <v>1</v>
      </c>
      <c r="AE367" s="9">
        <v>70</v>
      </c>
      <c r="AF367" s="10">
        <f t="shared" si="107"/>
        <v>14</v>
      </c>
      <c r="AG367" s="12">
        <f t="shared" si="101"/>
        <v>467.01146439522995</v>
      </c>
      <c r="AH367" s="11">
        <f t="shared" si="102"/>
        <v>16.681976495954004</v>
      </c>
      <c r="AJ367" s="6">
        <f t="shared" si="108"/>
        <v>1000</v>
      </c>
      <c r="AK367" s="4">
        <v>350</v>
      </c>
      <c r="AM367" s="2" t="str">
        <f t="shared" si="103"/>
        <v>0</v>
      </c>
      <c r="AN367" s="2" t="str">
        <f t="shared" si="109"/>
        <v>3E8</v>
      </c>
      <c r="AO367" s="2"/>
      <c r="AP367" s="2" t="str">
        <f t="shared" si="110"/>
        <v>03E8</v>
      </c>
    </row>
    <row r="368" spans="1:42" x14ac:dyDescent="0.2">
      <c r="A368">
        <v>351</v>
      </c>
      <c r="B368">
        <v>35</v>
      </c>
      <c r="C368" s="6">
        <v>0</v>
      </c>
      <c r="D368" s="6">
        <v>0</v>
      </c>
      <c r="E368" s="6">
        <v>0</v>
      </c>
      <c r="F368" s="7">
        <v>0</v>
      </c>
      <c r="G368" s="9">
        <v>100</v>
      </c>
      <c r="H368" s="10">
        <f t="shared" si="104"/>
        <v>0</v>
      </c>
      <c r="I368" s="12">
        <f t="shared" si="95"/>
        <v>639.30209199318563</v>
      </c>
      <c r="J368" s="11">
        <f t="shared" si="96"/>
        <v>21.729553476362859</v>
      </c>
      <c r="K368" s="6">
        <v>0</v>
      </c>
      <c r="L368" s="6">
        <v>0</v>
      </c>
      <c r="M368" s="6">
        <v>0</v>
      </c>
      <c r="N368" s="7">
        <v>0</v>
      </c>
      <c r="O368" s="9">
        <v>100</v>
      </c>
      <c r="P368" s="10">
        <f t="shared" si="105"/>
        <v>0</v>
      </c>
      <c r="Q368" s="12">
        <f t="shared" si="97"/>
        <v>639.30209199318563</v>
      </c>
      <c r="R368" s="11">
        <f t="shared" si="98"/>
        <v>21.729553476362859</v>
      </c>
      <c r="S368" s="6">
        <v>0</v>
      </c>
      <c r="T368" s="6">
        <v>0</v>
      </c>
      <c r="U368" s="6">
        <v>0</v>
      </c>
      <c r="V368" s="7">
        <v>0</v>
      </c>
      <c r="W368" s="9">
        <v>100</v>
      </c>
      <c r="X368" s="10">
        <f t="shared" si="106"/>
        <v>0</v>
      </c>
      <c r="Y368" s="12">
        <f t="shared" si="99"/>
        <v>639.30209199318563</v>
      </c>
      <c r="Z368" s="11">
        <f t="shared" si="100"/>
        <v>21.729553476362859</v>
      </c>
      <c r="AA368" s="6">
        <v>0</v>
      </c>
      <c r="AB368" s="6">
        <v>1</v>
      </c>
      <c r="AC368" s="6">
        <v>1</v>
      </c>
      <c r="AD368" s="7">
        <v>1</v>
      </c>
      <c r="AE368" s="9">
        <v>70</v>
      </c>
      <c r="AF368" s="10">
        <f t="shared" si="107"/>
        <v>14</v>
      </c>
      <c r="AG368" s="12">
        <f t="shared" si="101"/>
        <v>467.01146439522995</v>
      </c>
      <c r="AH368" s="11">
        <f t="shared" si="102"/>
        <v>16.681976495954004</v>
      </c>
      <c r="AJ368" s="6">
        <f t="shared" si="108"/>
        <v>1000</v>
      </c>
      <c r="AK368" s="4">
        <v>351</v>
      </c>
      <c r="AM368" s="2" t="str">
        <f t="shared" si="103"/>
        <v>0</v>
      </c>
      <c r="AN368" s="2" t="str">
        <f t="shared" si="109"/>
        <v>3E8</v>
      </c>
      <c r="AO368" s="2"/>
      <c r="AP368" s="2" t="str">
        <f t="shared" si="110"/>
        <v>03E8</v>
      </c>
    </row>
    <row r="369" spans="1:42" x14ac:dyDescent="0.2">
      <c r="A369">
        <v>352</v>
      </c>
      <c r="B369">
        <v>35.1</v>
      </c>
      <c r="C369" s="6">
        <v>0</v>
      </c>
      <c r="D369" s="6">
        <v>0</v>
      </c>
      <c r="E369" s="6">
        <v>0</v>
      </c>
      <c r="F369" s="7">
        <v>0</v>
      </c>
      <c r="G369" s="9">
        <v>100</v>
      </c>
      <c r="H369" s="10">
        <f t="shared" si="104"/>
        <v>0</v>
      </c>
      <c r="I369" s="12">
        <f t="shared" si="95"/>
        <v>639.30209199318563</v>
      </c>
      <c r="J369" s="11">
        <f t="shared" si="96"/>
        <v>21.729553476362859</v>
      </c>
      <c r="K369" s="6">
        <v>0</v>
      </c>
      <c r="L369" s="6">
        <v>0</v>
      </c>
      <c r="M369" s="6">
        <v>0</v>
      </c>
      <c r="N369" s="7">
        <v>0</v>
      </c>
      <c r="O369" s="9">
        <v>100</v>
      </c>
      <c r="P369" s="10">
        <f t="shared" si="105"/>
        <v>0</v>
      </c>
      <c r="Q369" s="12">
        <f t="shared" si="97"/>
        <v>639.30209199318563</v>
      </c>
      <c r="R369" s="11">
        <f t="shared" si="98"/>
        <v>21.729553476362859</v>
      </c>
      <c r="S369" s="6">
        <v>0</v>
      </c>
      <c r="T369" s="6">
        <v>0</v>
      </c>
      <c r="U369" s="6">
        <v>0</v>
      </c>
      <c r="V369" s="7">
        <v>0</v>
      </c>
      <c r="W369" s="9">
        <v>100</v>
      </c>
      <c r="X369" s="10">
        <f t="shared" si="106"/>
        <v>0</v>
      </c>
      <c r="Y369" s="12">
        <f t="shared" si="99"/>
        <v>639.30209199318563</v>
      </c>
      <c r="Z369" s="11">
        <f t="shared" si="100"/>
        <v>21.729553476362859</v>
      </c>
      <c r="AA369" s="6">
        <v>0</v>
      </c>
      <c r="AB369" s="6">
        <v>1</v>
      </c>
      <c r="AC369" s="6">
        <v>1</v>
      </c>
      <c r="AD369" s="7">
        <v>1</v>
      </c>
      <c r="AE369" s="9">
        <v>70</v>
      </c>
      <c r="AF369" s="10">
        <f t="shared" si="107"/>
        <v>14</v>
      </c>
      <c r="AG369" s="12">
        <f t="shared" si="101"/>
        <v>467.01146439522995</v>
      </c>
      <c r="AH369" s="11">
        <f t="shared" si="102"/>
        <v>16.681976495954004</v>
      </c>
      <c r="AJ369" s="6">
        <f t="shared" si="108"/>
        <v>1000</v>
      </c>
      <c r="AK369" s="4">
        <v>352</v>
      </c>
      <c r="AM369" s="2" t="str">
        <f t="shared" si="103"/>
        <v>0</v>
      </c>
      <c r="AN369" s="2" t="str">
        <f t="shared" si="109"/>
        <v>3E8</v>
      </c>
      <c r="AO369" s="2"/>
      <c r="AP369" s="2" t="str">
        <f t="shared" si="110"/>
        <v>03E8</v>
      </c>
    </row>
    <row r="370" spans="1:42" x14ac:dyDescent="0.2">
      <c r="A370">
        <v>353</v>
      </c>
      <c r="B370">
        <v>35.200000000000003</v>
      </c>
      <c r="C370" s="6">
        <v>0</v>
      </c>
      <c r="D370" s="6">
        <v>0</v>
      </c>
      <c r="E370" s="6">
        <v>0</v>
      </c>
      <c r="F370" s="7">
        <v>0</v>
      </c>
      <c r="G370" s="9">
        <v>100</v>
      </c>
      <c r="H370" s="10">
        <f t="shared" si="104"/>
        <v>0</v>
      </c>
      <c r="I370" s="12">
        <f t="shared" si="95"/>
        <v>639.30209199318563</v>
      </c>
      <c r="J370" s="11">
        <f t="shared" si="96"/>
        <v>21.729553476362859</v>
      </c>
      <c r="K370" s="6">
        <v>0</v>
      </c>
      <c r="L370" s="6">
        <v>0</v>
      </c>
      <c r="M370" s="6">
        <v>0</v>
      </c>
      <c r="N370" s="7">
        <v>0</v>
      </c>
      <c r="O370" s="9">
        <v>100</v>
      </c>
      <c r="P370" s="10">
        <f t="shared" si="105"/>
        <v>0</v>
      </c>
      <c r="Q370" s="12">
        <f t="shared" si="97"/>
        <v>639.30209199318563</v>
      </c>
      <c r="R370" s="11">
        <f t="shared" si="98"/>
        <v>21.729553476362859</v>
      </c>
      <c r="S370" s="6">
        <v>0</v>
      </c>
      <c r="T370" s="6">
        <v>0</v>
      </c>
      <c r="U370" s="6">
        <v>0</v>
      </c>
      <c r="V370" s="7">
        <v>0</v>
      </c>
      <c r="W370" s="9">
        <v>100</v>
      </c>
      <c r="X370" s="10">
        <f t="shared" si="106"/>
        <v>0</v>
      </c>
      <c r="Y370" s="12">
        <f t="shared" si="99"/>
        <v>639.30209199318563</v>
      </c>
      <c r="Z370" s="11">
        <f t="shared" si="100"/>
        <v>21.729553476362859</v>
      </c>
      <c r="AA370" s="6">
        <v>0</v>
      </c>
      <c r="AB370" s="6">
        <v>1</v>
      </c>
      <c r="AC370" s="6">
        <v>1</v>
      </c>
      <c r="AD370" s="7">
        <v>1</v>
      </c>
      <c r="AE370" s="9">
        <v>70</v>
      </c>
      <c r="AF370" s="10">
        <f t="shared" si="107"/>
        <v>14</v>
      </c>
      <c r="AG370" s="12">
        <f t="shared" si="101"/>
        <v>467.01146439522995</v>
      </c>
      <c r="AH370" s="11">
        <f t="shared" si="102"/>
        <v>16.681976495954004</v>
      </c>
      <c r="AJ370" s="6">
        <f t="shared" si="108"/>
        <v>1000</v>
      </c>
      <c r="AK370" s="4">
        <v>353</v>
      </c>
      <c r="AM370" s="2" t="str">
        <f t="shared" si="103"/>
        <v>0</v>
      </c>
      <c r="AN370" s="2" t="str">
        <f t="shared" si="109"/>
        <v>3E8</v>
      </c>
      <c r="AO370" s="2"/>
      <c r="AP370" s="2" t="str">
        <f t="shared" si="110"/>
        <v>03E8</v>
      </c>
    </row>
    <row r="371" spans="1:42" x14ac:dyDescent="0.2">
      <c r="A371">
        <v>354</v>
      </c>
      <c r="B371">
        <v>35.299999999999997</v>
      </c>
      <c r="C371" s="6">
        <v>0</v>
      </c>
      <c r="D371" s="6">
        <v>0</v>
      </c>
      <c r="E371" s="6">
        <v>0</v>
      </c>
      <c r="F371" s="7">
        <v>0</v>
      </c>
      <c r="G371" s="9">
        <v>100</v>
      </c>
      <c r="H371" s="10">
        <f t="shared" si="104"/>
        <v>0</v>
      </c>
      <c r="I371" s="12">
        <f t="shared" si="95"/>
        <v>639.30209199318563</v>
      </c>
      <c r="J371" s="11">
        <f t="shared" si="96"/>
        <v>21.729553476362859</v>
      </c>
      <c r="K371" s="6">
        <v>0</v>
      </c>
      <c r="L371" s="6">
        <v>0</v>
      </c>
      <c r="M371" s="6">
        <v>0</v>
      </c>
      <c r="N371" s="7">
        <v>0</v>
      </c>
      <c r="O371" s="9">
        <v>100</v>
      </c>
      <c r="P371" s="10">
        <f t="shared" si="105"/>
        <v>0</v>
      </c>
      <c r="Q371" s="12">
        <f t="shared" si="97"/>
        <v>639.30209199318563</v>
      </c>
      <c r="R371" s="11">
        <f t="shared" si="98"/>
        <v>21.729553476362859</v>
      </c>
      <c r="S371" s="6">
        <v>0</v>
      </c>
      <c r="T371" s="6">
        <v>0</v>
      </c>
      <c r="U371" s="6">
        <v>0</v>
      </c>
      <c r="V371" s="7">
        <v>0</v>
      </c>
      <c r="W371" s="9">
        <v>100</v>
      </c>
      <c r="X371" s="10">
        <f t="shared" si="106"/>
        <v>0</v>
      </c>
      <c r="Y371" s="12">
        <f t="shared" si="99"/>
        <v>639.30209199318563</v>
      </c>
      <c r="Z371" s="11">
        <f t="shared" si="100"/>
        <v>21.729553476362859</v>
      </c>
      <c r="AA371" s="6">
        <v>0</v>
      </c>
      <c r="AB371" s="6">
        <v>1</v>
      </c>
      <c r="AC371" s="6">
        <v>1</v>
      </c>
      <c r="AD371" s="7">
        <v>1</v>
      </c>
      <c r="AE371" s="9">
        <v>70</v>
      </c>
      <c r="AF371" s="10">
        <f t="shared" si="107"/>
        <v>14</v>
      </c>
      <c r="AG371" s="12">
        <f t="shared" si="101"/>
        <v>467.01146439522995</v>
      </c>
      <c r="AH371" s="11">
        <f t="shared" si="102"/>
        <v>16.681976495954004</v>
      </c>
      <c r="AJ371" s="6">
        <f t="shared" si="108"/>
        <v>1000</v>
      </c>
      <c r="AK371" s="4">
        <v>354</v>
      </c>
      <c r="AM371" s="2" t="str">
        <f t="shared" si="103"/>
        <v>0</v>
      </c>
      <c r="AN371" s="2" t="str">
        <f t="shared" si="109"/>
        <v>3E8</v>
      </c>
      <c r="AO371" s="2"/>
      <c r="AP371" s="2" t="str">
        <f t="shared" si="110"/>
        <v>03E8</v>
      </c>
    </row>
    <row r="372" spans="1:42" x14ac:dyDescent="0.2">
      <c r="A372">
        <v>355</v>
      </c>
      <c r="B372">
        <v>35.4</v>
      </c>
      <c r="C372" s="6">
        <v>0</v>
      </c>
      <c r="D372" s="6">
        <v>0</v>
      </c>
      <c r="E372" s="6">
        <v>0</v>
      </c>
      <c r="F372" s="7">
        <v>0</v>
      </c>
      <c r="G372" s="9">
        <v>100</v>
      </c>
      <c r="H372" s="10">
        <f t="shared" si="104"/>
        <v>0</v>
      </c>
      <c r="I372" s="12">
        <f t="shared" si="95"/>
        <v>639.30209199318563</v>
      </c>
      <c r="J372" s="11">
        <f t="shared" si="96"/>
        <v>21.729553476362859</v>
      </c>
      <c r="K372" s="6">
        <v>0</v>
      </c>
      <c r="L372" s="6">
        <v>0</v>
      </c>
      <c r="M372" s="6">
        <v>0</v>
      </c>
      <c r="N372" s="7">
        <v>0</v>
      </c>
      <c r="O372" s="9">
        <v>100</v>
      </c>
      <c r="P372" s="10">
        <f t="shared" si="105"/>
        <v>0</v>
      </c>
      <c r="Q372" s="12">
        <f t="shared" si="97"/>
        <v>639.30209199318563</v>
      </c>
      <c r="R372" s="11">
        <f t="shared" si="98"/>
        <v>21.729553476362859</v>
      </c>
      <c r="S372" s="6">
        <v>0</v>
      </c>
      <c r="T372" s="6">
        <v>0</v>
      </c>
      <c r="U372" s="6">
        <v>0</v>
      </c>
      <c r="V372" s="7">
        <v>0</v>
      </c>
      <c r="W372" s="9">
        <v>100</v>
      </c>
      <c r="X372" s="10">
        <f t="shared" si="106"/>
        <v>0</v>
      </c>
      <c r="Y372" s="12">
        <f t="shared" si="99"/>
        <v>639.30209199318563</v>
      </c>
      <c r="Z372" s="11">
        <f t="shared" si="100"/>
        <v>21.729553476362859</v>
      </c>
      <c r="AA372" s="6">
        <v>0</v>
      </c>
      <c r="AB372" s="6">
        <v>1</v>
      </c>
      <c r="AC372" s="6">
        <v>1</v>
      </c>
      <c r="AD372" s="7">
        <v>1</v>
      </c>
      <c r="AE372" s="9">
        <v>70</v>
      </c>
      <c r="AF372" s="10">
        <f t="shared" si="107"/>
        <v>14</v>
      </c>
      <c r="AG372" s="12">
        <f t="shared" si="101"/>
        <v>467.01146439522995</v>
      </c>
      <c r="AH372" s="11">
        <f t="shared" si="102"/>
        <v>16.681976495954004</v>
      </c>
      <c r="AJ372" s="6">
        <f t="shared" si="108"/>
        <v>1000</v>
      </c>
      <c r="AK372" s="4">
        <v>355</v>
      </c>
      <c r="AM372" s="2" t="str">
        <f t="shared" si="103"/>
        <v>0</v>
      </c>
      <c r="AN372" s="2" t="str">
        <f t="shared" si="109"/>
        <v>3E8</v>
      </c>
      <c r="AO372" s="2"/>
      <c r="AP372" s="2" t="str">
        <f t="shared" si="110"/>
        <v>03E8</v>
      </c>
    </row>
    <row r="373" spans="1:42" x14ac:dyDescent="0.2">
      <c r="A373">
        <v>356</v>
      </c>
      <c r="B373">
        <v>35.5</v>
      </c>
      <c r="C373" s="6">
        <v>0</v>
      </c>
      <c r="D373" s="6">
        <v>0</v>
      </c>
      <c r="E373" s="6">
        <v>0</v>
      </c>
      <c r="F373" s="7">
        <v>0</v>
      </c>
      <c r="G373" s="9">
        <v>100</v>
      </c>
      <c r="H373" s="10">
        <f t="shared" si="104"/>
        <v>0</v>
      </c>
      <c r="I373" s="12">
        <f t="shared" si="95"/>
        <v>639.30209199318563</v>
      </c>
      <c r="J373" s="11">
        <f t="shared" si="96"/>
        <v>21.729553476362859</v>
      </c>
      <c r="K373" s="6">
        <v>0</v>
      </c>
      <c r="L373" s="6">
        <v>0</v>
      </c>
      <c r="M373" s="6">
        <v>0</v>
      </c>
      <c r="N373" s="7">
        <v>0</v>
      </c>
      <c r="O373" s="9">
        <v>100</v>
      </c>
      <c r="P373" s="10">
        <f t="shared" si="105"/>
        <v>0</v>
      </c>
      <c r="Q373" s="12">
        <f t="shared" si="97"/>
        <v>639.30209199318563</v>
      </c>
      <c r="R373" s="11">
        <f t="shared" si="98"/>
        <v>21.729553476362859</v>
      </c>
      <c r="S373" s="6">
        <v>0</v>
      </c>
      <c r="T373" s="6">
        <v>0</v>
      </c>
      <c r="U373" s="6">
        <v>0</v>
      </c>
      <c r="V373" s="7">
        <v>0</v>
      </c>
      <c r="W373" s="9">
        <v>100</v>
      </c>
      <c r="X373" s="10">
        <f t="shared" si="106"/>
        <v>0</v>
      </c>
      <c r="Y373" s="12">
        <f t="shared" si="99"/>
        <v>639.30209199318563</v>
      </c>
      <c r="Z373" s="11">
        <f t="shared" si="100"/>
        <v>21.729553476362859</v>
      </c>
      <c r="AA373" s="6">
        <v>0</v>
      </c>
      <c r="AB373" s="6">
        <v>1</v>
      </c>
      <c r="AC373" s="6">
        <v>1</v>
      </c>
      <c r="AD373" s="7">
        <v>1</v>
      </c>
      <c r="AE373" s="9">
        <v>70</v>
      </c>
      <c r="AF373" s="10">
        <f t="shared" si="107"/>
        <v>14</v>
      </c>
      <c r="AG373" s="12">
        <f t="shared" si="101"/>
        <v>467.01146439522995</v>
      </c>
      <c r="AH373" s="11">
        <f t="shared" si="102"/>
        <v>16.681976495954004</v>
      </c>
      <c r="AJ373" s="6">
        <f t="shared" si="108"/>
        <v>1000</v>
      </c>
      <c r="AK373" s="4">
        <v>356</v>
      </c>
      <c r="AM373" s="2" t="str">
        <f t="shared" si="103"/>
        <v>0</v>
      </c>
      <c r="AN373" s="2" t="str">
        <f t="shared" si="109"/>
        <v>3E8</v>
      </c>
      <c r="AO373" s="2"/>
      <c r="AP373" s="2" t="str">
        <f t="shared" si="110"/>
        <v>03E8</v>
      </c>
    </row>
    <row r="374" spans="1:42" x14ac:dyDescent="0.2">
      <c r="A374">
        <v>357</v>
      </c>
      <c r="B374">
        <v>35.6</v>
      </c>
      <c r="C374" s="6">
        <v>0</v>
      </c>
      <c r="D374" s="6">
        <v>0</v>
      </c>
      <c r="E374" s="6">
        <v>0</v>
      </c>
      <c r="F374" s="7">
        <v>0</v>
      </c>
      <c r="G374" s="9">
        <v>100</v>
      </c>
      <c r="H374" s="10">
        <f t="shared" si="104"/>
        <v>0</v>
      </c>
      <c r="I374" s="12">
        <f t="shared" si="95"/>
        <v>639.30209199318563</v>
      </c>
      <c r="J374" s="11">
        <f t="shared" si="96"/>
        <v>21.729553476362859</v>
      </c>
      <c r="K374" s="6">
        <v>0</v>
      </c>
      <c r="L374" s="6">
        <v>0</v>
      </c>
      <c r="M374" s="6">
        <v>0</v>
      </c>
      <c r="N374" s="7">
        <v>0</v>
      </c>
      <c r="O374" s="9">
        <v>100</v>
      </c>
      <c r="P374" s="10">
        <f t="shared" si="105"/>
        <v>0</v>
      </c>
      <c r="Q374" s="12">
        <f t="shared" si="97"/>
        <v>639.30209199318563</v>
      </c>
      <c r="R374" s="11">
        <f t="shared" si="98"/>
        <v>21.729553476362859</v>
      </c>
      <c r="S374" s="6">
        <v>0</v>
      </c>
      <c r="T374" s="6">
        <v>0</v>
      </c>
      <c r="U374" s="6">
        <v>0</v>
      </c>
      <c r="V374" s="7">
        <v>0</v>
      </c>
      <c r="W374" s="9">
        <v>100</v>
      </c>
      <c r="X374" s="10">
        <f t="shared" si="106"/>
        <v>0</v>
      </c>
      <c r="Y374" s="12">
        <f t="shared" si="99"/>
        <v>639.30209199318563</v>
      </c>
      <c r="Z374" s="11">
        <f t="shared" si="100"/>
        <v>21.729553476362859</v>
      </c>
      <c r="AA374" s="6">
        <v>0</v>
      </c>
      <c r="AB374" s="6">
        <v>1</v>
      </c>
      <c r="AC374" s="6">
        <v>1</v>
      </c>
      <c r="AD374" s="7">
        <v>1</v>
      </c>
      <c r="AE374" s="9">
        <v>70</v>
      </c>
      <c r="AF374" s="10">
        <f t="shared" si="107"/>
        <v>14</v>
      </c>
      <c r="AG374" s="12">
        <f t="shared" si="101"/>
        <v>467.01146439522995</v>
      </c>
      <c r="AH374" s="11">
        <f t="shared" si="102"/>
        <v>16.681976495954004</v>
      </c>
      <c r="AJ374" s="6">
        <f t="shared" si="108"/>
        <v>1000</v>
      </c>
      <c r="AK374" s="4">
        <v>357</v>
      </c>
      <c r="AM374" s="2" t="str">
        <f t="shared" si="103"/>
        <v>0</v>
      </c>
      <c r="AN374" s="2" t="str">
        <f t="shared" si="109"/>
        <v>3E8</v>
      </c>
      <c r="AO374" s="2"/>
      <c r="AP374" s="2" t="str">
        <f t="shared" si="110"/>
        <v>03E8</v>
      </c>
    </row>
    <row r="375" spans="1:42" x14ac:dyDescent="0.2">
      <c r="A375">
        <v>358</v>
      </c>
      <c r="B375">
        <v>35.700000000000003</v>
      </c>
      <c r="C375" s="6">
        <v>0</v>
      </c>
      <c r="D375" s="6">
        <v>0</v>
      </c>
      <c r="E375" s="6">
        <v>0</v>
      </c>
      <c r="F375" s="7">
        <v>0</v>
      </c>
      <c r="G375" s="9">
        <v>100</v>
      </c>
      <c r="H375" s="10">
        <f t="shared" si="104"/>
        <v>0</v>
      </c>
      <c r="I375" s="12">
        <f t="shared" si="95"/>
        <v>639.30209199318563</v>
      </c>
      <c r="J375" s="11">
        <f t="shared" si="96"/>
        <v>21.729553476362859</v>
      </c>
      <c r="K375" s="6">
        <v>0</v>
      </c>
      <c r="L375" s="6">
        <v>0</v>
      </c>
      <c r="M375" s="6">
        <v>0</v>
      </c>
      <c r="N375" s="7">
        <v>0</v>
      </c>
      <c r="O375" s="9">
        <v>100</v>
      </c>
      <c r="P375" s="10">
        <f t="shared" si="105"/>
        <v>0</v>
      </c>
      <c r="Q375" s="12">
        <f t="shared" si="97"/>
        <v>639.30209199318563</v>
      </c>
      <c r="R375" s="11">
        <f t="shared" si="98"/>
        <v>21.729553476362859</v>
      </c>
      <c r="S375" s="6">
        <v>0</v>
      </c>
      <c r="T375" s="6">
        <v>0</v>
      </c>
      <c r="U375" s="6">
        <v>0</v>
      </c>
      <c r="V375" s="7">
        <v>0</v>
      </c>
      <c r="W375" s="9">
        <v>100</v>
      </c>
      <c r="X375" s="10">
        <f t="shared" si="106"/>
        <v>0</v>
      </c>
      <c r="Y375" s="12">
        <f t="shared" si="99"/>
        <v>639.30209199318563</v>
      </c>
      <c r="Z375" s="11">
        <f t="shared" si="100"/>
        <v>21.729553476362859</v>
      </c>
      <c r="AA375" s="6">
        <v>0</v>
      </c>
      <c r="AB375" s="6">
        <v>1</v>
      </c>
      <c r="AC375" s="6">
        <v>1</v>
      </c>
      <c r="AD375" s="7">
        <v>1</v>
      </c>
      <c r="AE375" s="9">
        <v>70</v>
      </c>
      <c r="AF375" s="10">
        <f t="shared" si="107"/>
        <v>14</v>
      </c>
      <c r="AG375" s="12">
        <f t="shared" si="101"/>
        <v>467.01146439522995</v>
      </c>
      <c r="AH375" s="11">
        <f t="shared" si="102"/>
        <v>16.681976495954004</v>
      </c>
      <c r="AJ375" s="6">
        <f t="shared" si="108"/>
        <v>1000</v>
      </c>
      <c r="AK375" s="4">
        <v>358</v>
      </c>
      <c r="AM375" s="2" t="str">
        <f t="shared" si="103"/>
        <v>0</v>
      </c>
      <c r="AN375" s="2" t="str">
        <f t="shared" si="109"/>
        <v>3E8</v>
      </c>
      <c r="AO375" s="2"/>
      <c r="AP375" s="2" t="str">
        <f t="shared" si="110"/>
        <v>03E8</v>
      </c>
    </row>
    <row r="376" spans="1:42" x14ac:dyDescent="0.2">
      <c r="A376">
        <v>359</v>
      </c>
      <c r="B376">
        <v>35.799999999999997</v>
      </c>
      <c r="C376" s="6">
        <v>0</v>
      </c>
      <c r="D376" s="6">
        <v>0</v>
      </c>
      <c r="E376" s="6">
        <v>0</v>
      </c>
      <c r="F376" s="7">
        <v>0</v>
      </c>
      <c r="G376" s="9">
        <v>100</v>
      </c>
      <c r="H376" s="10">
        <f t="shared" si="104"/>
        <v>0</v>
      </c>
      <c r="I376" s="12">
        <f t="shared" si="95"/>
        <v>639.30209199318563</v>
      </c>
      <c r="J376" s="11">
        <f t="shared" si="96"/>
        <v>21.729553476362859</v>
      </c>
      <c r="K376" s="6">
        <v>0</v>
      </c>
      <c r="L376" s="6">
        <v>0</v>
      </c>
      <c r="M376" s="6">
        <v>0</v>
      </c>
      <c r="N376" s="7">
        <v>0</v>
      </c>
      <c r="O376" s="9">
        <v>100</v>
      </c>
      <c r="P376" s="10">
        <f t="shared" si="105"/>
        <v>0</v>
      </c>
      <c r="Q376" s="12">
        <f t="shared" si="97"/>
        <v>639.30209199318563</v>
      </c>
      <c r="R376" s="11">
        <f t="shared" si="98"/>
        <v>21.729553476362859</v>
      </c>
      <c r="S376" s="6">
        <v>0</v>
      </c>
      <c r="T376" s="6">
        <v>0</v>
      </c>
      <c r="U376" s="6">
        <v>0</v>
      </c>
      <c r="V376" s="7">
        <v>0</v>
      </c>
      <c r="W376" s="9">
        <v>100</v>
      </c>
      <c r="X376" s="10">
        <f t="shared" si="106"/>
        <v>0</v>
      </c>
      <c r="Y376" s="12">
        <f t="shared" si="99"/>
        <v>639.30209199318563</v>
      </c>
      <c r="Z376" s="11">
        <f t="shared" si="100"/>
        <v>21.729553476362859</v>
      </c>
      <c r="AA376" s="6">
        <v>0</v>
      </c>
      <c r="AB376" s="6">
        <v>1</v>
      </c>
      <c r="AC376" s="6">
        <v>1</v>
      </c>
      <c r="AD376" s="7">
        <v>1</v>
      </c>
      <c r="AE376" s="9">
        <v>70</v>
      </c>
      <c r="AF376" s="10">
        <f t="shared" si="107"/>
        <v>14</v>
      </c>
      <c r="AG376" s="12">
        <f t="shared" si="101"/>
        <v>467.01146439522995</v>
      </c>
      <c r="AH376" s="11">
        <f t="shared" si="102"/>
        <v>16.681976495954004</v>
      </c>
      <c r="AJ376" s="6">
        <f t="shared" si="108"/>
        <v>1000</v>
      </c>
      <c r="AK376" s="4">
        <v>359</v>
      </c>
      <c r="AM376" s="2" t="str">
        <f t="shared" si="103"/>
        <v>0</v>
      </c>
      <c r="AN376" s="2" t="str">
        <f t="shared" si="109"/>
        <v>3E8</v>
      </c>
      <c r="AO376" s="2"/>
      <c r="AP376" s="2" t="str">
        <f t="shared" si="110"/>
        <v>03E8</v>
      </c>
    </row>
    <row r="377" spans="1:42" x14ac:dyDescent="0.2">
      <c r="A377">
        <v>360</v>
      </c>
      <c r="B377">
        <v>35.9</v>
      </c>
      <c r="C377" s="6">
        <v>0</v>
      </c>
      <c r="D377" s="6">
        <v>0</v>
      </c>
      <c r="E377" s="6">
        <v>0</v>
      </c>
      <c r="F377" s="7">
        <v>0</v>
      </c>
      <c r="G377" s="9">
        <v>100</v>
      </c>
      <c r="H377" s="10">
        <f t="shared" si="104"/>
        <v>0</v>
      </c>
      <c r="I377" s="12">
        <f t="shared" si="95"/>
        <v>639.30209199318563</v>
      </c>
      <c r="J377" s="11">
        <f t="shared" si="96"/>
        <v>21.729553476362859</v>
      </c>
      <c r="K377" s="6">
        <v>0</v>
      </c>
      <c r="L377" s="6">
        <v>0</v>
      </c>
      <c r="M377" s="6">
        <v>0</v>
      </c>
      <c r="N377" s="7">
        <v>0</v>
      </c>
      <c r="O377" s="9">
        <v>100</v>
      </c>
      <c r="P377" s="10">
        <f t="shared" si="105"/>
        <v>0</v>
      </c>
      <c r="Q377" s="12">
        <f t="shared" si="97"/>
        <v>639.30209199318563</v>
      </c>
      <c r="R377" s="11">
        <f t="shared" si="98"/>
        <v>21.729553476362859</v>
      </c>
      <c r="S377" s="6">
        <v>0</v>
      </c>
      <c r="T377" s="6">
        <v>0</v>
      </c>
      <c r="U377" s="6">
        <v>0</v>
      </c>
      <c r="V377" s="7">
        <v>0</v>
      </c>
      <c r="W377" s="9">
        <v>100</v>
      </c>
      <c r="X377" s="10">
        <f t="shared" si="106"/>
        <v>0</v>
      </c>
      <c r="Y377" s="12">
        <f t="shared" si="99"/>
        <v>639.30209199318563</v>
      </c>
      <c r="Z377" s="11">
        <f t="shared" si="100"/>
        <v>21.729553476362859</v>
      </c>
      <c r="AA377" s="6">
        <v>0</v>
      </c>
      <c r="AB377" s="6">
        <v>1</v>
      </c>
      <c r="AC377" s="6">
        <v>1</v>
      </c>
      <c r="AD377" s="7">
        <v>1</v>
      </c>
      <c r="AE377" s="9">
        <v>70</v>
      </c>
      <c r="AF377" s="10">
        <f t="shared" si="107"/>
        <v>14</v>
      </c>
      <c r="AG377" s="12">
        <f t="shared" si="101"/>
        <v>467.01146439522995</v>
      </c>
      <c r="AH377" s="11">
        <f t="shared" si="102"/>
        <v>16.681976495954004</v>
      </c>
      <c r="AJ377" s="6">
        <f t="shared" si="108"/>
        <v>1000</v>
      </c>
      <c r="AK377" s="4">
        <v>360</v>
      </c>
      <c r="AM377" s="2" t="str">
        <f t="shared" si="103"/>
        <v>0</v>
      </c>
      <c r="AN377" s="2" t="str">
        <f t="shared" si="109"/>
        <v>3E8</v>
      </c>
      <c r="AO377" s="2"/>
      <c r="AP377" s="2" t="str">
        <f t="shared" si="110"/>
        <v>03E8</v>
      </c>
    </row>
    <row r="378" spans="1:42" x14ac:dyDescent="0.2">
      <c r="A378">
        <v>361</v>
      </c>
      <c r="B378">
        <v>36</v>
      </c>
      <c r="C378" s="6">
        <v>0</v>
      </c>
      <c r="D378" s="6">
        <v>0</v>
      </c>
      <c r="E378" s="6">
        <v>0</v>
      </c>
      <c r="F378" s="7">
        <v>0</v>
      </c>
      <c r="G378" s="9">
        <v>100</v>
      </c>
      <c r="H378" s="10">
        <f t="shared" si="104"/>
        <v>0</v>
      </c>
      <c r="I378" s="12">
        <f t="shared" si="95"/>
        <v>639.30209199318563</v>
      </c>
      <c r="J378" s="11">
        <f t="shared" si="96"/>
        <v>21.729553476362859</v>
      </c>
      <c r="K378" s="6">
        <v>0</v>
      </c>
      <c r="L378" s="6">
        <v>0</v>
      </c>
      <c r="M378" s="6">
        <v>0</v>
      </c>
      <c r="N378" s="7">
        <v>0</v>
      </c>
      <c r="O378" s="9">
        <v>100</v>
      </c>
      <c r="P378" s="10">
        <f t="shared" si="105"/>
        <v>0</v>
      </c>
      <c r="Q378" s="12">
        <f t="shared" si="97"/>
        <v>639.30209199318563</v>
      </c>
      <c r="R378" s="11">
        <f t="shared" si="98"/>
        <v>21.729553476362859</v>
      </c>
      <c r="S378" s="6">
        <v>0</v>
      </c>
      <c r="T378" s="6">
        <v>0</v>
      </c>
      <c r="U378" s="6">
        <v>0</v>
      </c>
      <c r="V378" s="7">
        <v>0</v>
      </c>
      <c r="W378" s="9">
        <v>100</v>
      </c>
      <c r="X378" s="10">
        <f t="shared" si="106"/>
        <v>0</v>
      </c>
      <c r="Y378" s="12">
        <f t="shared" si="99"/>
        <v>639.30209199318563</v>
      </c>
      <c r="Z378" s="11">
        <f t="shared" si="100"/>
        <v>21.729553476362859</v>
      </c>
      <c r="AA378" s="6">
        <v>0</v>
      </c>
      <c r="AB378" s="6">
        <v>1</v>
      </c>
      <c r="AC378" s="6">
        <v>1</v>
      </c>
      <c r="AD378" s="7">
        <v>1</v>
      </c>
      <c r="AE378" s="9">
        <v>70</v>
      </c>
      <c r="AF378" s="10">
        <f t="shared" si="107"/>
        <v>14</v>
      </c>
      <c r="AG378" s="12">
        <f t="shared" si="101"/>
        <v>467.01146439522995</v>
      </c>
      <c r="AH378" s="11">
        <f t="shared" si="102"/>
        <v>16.681976495954004</v>
      </c>
      <c r="AJ378" s="6">
        <f t="shared" si="108"/>
        <v>1000</v>
      </c>
      <c r="AK378" s="4">
        <v>361</v>
      </c>
      <c r="AM378" s="2" t="str">
        <f t="shared" si="103"/>
        <v>0</v>
      </c>
      <c r="AN378" s="2" t="str">
        <f t="shared" si="109"/>
        <v>3E8</v>
      </c>
      <c r="AO378" s="2"/>
      <c r="AP378" s="2" t="str">
        <f t="shared" si="110"/>
        <v>03E8</v>
      </c>
    </row>
    <row r="379" spans="1:42" x14ac:dyDescent="0.2">
      <c r="A379">
        <v>362</v>
      </c>
      <c r="B379">
        <v>36.1</v>
      </c>
      <c r="C379" s="6">
        <v>0</v>
      </c>
      <c r="D379" s="6">
        <v>0</v>
      </c>
      <c r="E379" s="6">
        <v>0</v>
      </c>
      <c r="F379" s="7">
        <v>0</v>
      </c>
      <c r="G379" s="9">
        <v>100</v>
      </c>
      <c r="H379" s="10">
        <f t="shared" si="104"/>
        <v>0</v>
      </c>
      <c r="I379" s="12">
        <f t="shared" si="95"/>
        <v>639.30209199318563</v>
      </c>
      <c r="J379" s="11">
        <f t="shared" si="96"/>
        <v>21.729553476362859</v>
      </c>
      <c r="K379" s="6">
        <v>0</v>
      </c>
      <c r="L379" s="6">
        <v>0</v>
      </c>
      <c r="M379" s="6">
        <v>0</v>
      </c>
      <c r="N379" s="7">
        <v>0</v>
      </c>
      <c r="O379" s="9">
        <v>100</v>
      </c>
      <c r="P379" s="10">
        <f t="shared" si="105"/>
        <v>0</v>
      </c>
      <c r="Q379" s="12">
        <f t="shared" si="97"/>
        <v>639.30209199318563</v>
      </c>
      <c r="R379" s="11">
        <f t="shared" si="98"/>
        <v>21.729553476362859</v>
      </c>
      <c r="S379" s="6">
        <v>0</v>
      </c>
      <c r="T379" s="6">
        <v>0</v>
      </c>
      <c r="U379" s="6">
        <v>0</v>
      </c>
      <c r="V379" s="7">
        <v>0</v>
      </c>
      <c r="W379" s="9">
        <v>100</v>
      </c>
      <c r="X379" s="10">
        <f t="shared" si="106"/>
        <v>0</v>
      </c>
      <c r="Y379" s="12">
        <f t="shared" si="99"/>
        <v>639.30209199318563</v>
      </c>
      <c r="Z379" s="11">
        <f t="shared" si="100"/>
        <v>21.729553476362859</v>
      </c>
      <c r="AA379" s="6">
        <v>0</v>
      </c>
      <c r="AB379" s="6">
        <v>1</v>
      </c>
      <c r="AC379" s="6">
        <v>1</v>
      </c>
      <c r="AD379" s="7">
        <v>1</v>
      </c>
      <c r="AE379" s="9">
        <v>70</v>
      </c>
      <c r="AF379" s="10">
        <f t="shared" si="107"/>
        <v>14</v>
      </c>
      <c r="AG379" s="12">
        <f t="shared" si="101"/>
        <v>467.01146439522995</v>
      </c>
      <c r="AH379" s="11">
        <f t="shared" si="102"/>
        <v>16.681976495954004</v>
      </c>
      <c r="AJ379" s="6">
        <f t="shared" si="108"/>
        <v>1000</v>
      </c>
      <c r="AK379" s="4">
        <v>362</v>
      </c>
      <c r="AM379" s="2" t="str">
        <f t="shared" si="103"/>
        <v>0</v>
      </c>
      <c r="AN379" s="2" t="str">
        <f t="shared" si="109"/>
        <v>3E8</v>
      </c>
      <c r="AO379" s="2"/>
      <c r="AP379" s="2" t="str">
        <f t="shared" si="110"/>
        <v>03E8</v>
      </c>
    </row>
    <row r="380" spans="1:42" x14ac:dyDescent="0.2">
      <c r="A380">
        <v>363</v>
      </c>
      <c r="B380">
        <v>36.200000000000003</v>
      </c>
      <c r="C380" s="6">
        <v>0</v>
      </c>
      <c r="D380" s="6">
        <v>0</v>
      </c>
      <c r="E380" s="6">
        <v>0</v>
      </c>
      <c r="F380" s="7">
        <v>0</v>
      </c>
      <c r="G380" s="9">
        <v>100</v>
      </c>
      <c r="H380" s="10">
        <f t="shared" si="104"/>
        <v>0</v>
      </c>
      <c r="I380" s="12">
        <f t="shared" si="95"/>
        <v>639.30209199318563</v>
      </c>
      <c r="J380" s="11">
        <f t="shared" si="96"/>
        <v>21.729553476362859</v>
      </c>
      <c r="K380" s="6">
        <v>0</v>
      </c>
      <c r="L380" s="6">
        <v>0</v>
      </c>
      <c r="M380" s="6">
        <v>0</v>
      </c>
      <c r="N380" s="7">
        <v>0</v>
      </c>
      <c r="O380" s="9">
        <v>100</v>
      </c>
      <c r="P380" s="10">
        <f t="shared" si="105"/>
        <v>0</v>
      </c>
      <c r="Q380" s="12">
        <f t="shared" si="97"/>
        <v>639.30209199318563</v>
      </c>
      <c r="R380" s="11">
        <f t="shared" si="98"/>
        <v>21.729553476362859</v>
      </c>
      <c r="S380" s="6">
        <v>0</v>
      </c>
      <c r="T380" s="6">
        <v>0</v>
      </c>
      <c r="U380" s="6">
        <v>0</v>
      </c>
      <c r="V380" s="7">
        <v>0</v>
      </c>
      <c r="W380" s="9">
        <v>100</v>
      </c>
      <c r="X380" s="10">
        <f t="shared" si="106"/>
        <v>0</v>
      </c>
      <c r="Y380" s="12">
        <f t="shared" si="99"/>
        <v>639.30209199318563</v>
      </c>
      <c r="Z380" s="11">
        <f t="shared" si="100"/>
        <v>21.729553476362859</v>
      </c>
      <c r="AA380" s="6">
        <v>0</v>
      </c>
      <c r="AB380" s="6">
        <v>1</v>
      </c>
      <c r="AC380" s="6">
        <v>1</v>
      </c>
      <c r="AD380" s="7">
        <v>1</v>
      </c>
      <c r="AE380" s="9">
        <v>70</v>
      </c>
      <c r="AF380" s="10">
        <f t="shared" si="107"/>
        <v>14</v>
      </c>
      <c r="AG380" s="12">
        <f t="shared" si="101"/>
        <v>467.01146439522995</v>
      </c>
      <c r="AH380" s="11">
        <f t="shared" si="102"/>
        <v>16.681976495954004</v>
      </c>
      <c r="AJ380" s="6">
        <f t="shared" si="108"/>
        <v>1000</v>
      </c>
      <c r="AK380" s="4">
        <v>363</v>
      </c>
      <c r="AM380" s="2" t="str">
        <f t="shared" si="103"/>
        <v>0</v>
      </c>
      <c r="AN380" s="2" t="str">
        <f t="shared" si="109"/>
        <v>3E8</v>
      </c>
      <c r="AO380" s="2"/>
      <c r="AP380" s="2" t="str">
        <f t="shared" si="110"/>
        <v>03E8</v>
      </c>
    </row>
    <row r="381" spans="1:42" x14ac:dyDescent="0.2">
      <c r="A381">
        <v>364</v>
      </c>
      <c r="B381">
        <v>36.299999999999997</v>
      </c>
      <c r="C381" s="6">
        <v>0</v>
      </c>
      <c r="D381" s="6">
        <v>0</v>
      </c>
      <c r="E381" s="6">
        <v>0</v>
      </c>
      <c r="F381" s="7">
        <v>0</v>
      </c>
      <c r="G381" s="9">
        <v>100</v>
      </c>
      <c r="H381" s="10">
        <f t="shared" si="104"/>
        <v>0</v>
      </c>
      <c r="I381" s="12">
        <f t="shared" si="95"/>
        <v>639.30209199318563</v>
      </c>
      <c r="J381" s="11">
        <f t="shared" si="96"/>
        <v>21.729553476362859</v>
      </c>
      <c r="K381" s="6">
        <v>0</v>
      </c>
      <c r="L381" s="6">
        <v>0</v>
      </c>
      <c r="M381" s="6">
        <v>0</v>
      </c>
      <c r="N381" s="7">
        <v>0</v>
      </c>
      <c r="O381" s="9">
        <v>100</v>
      </c>
      <c r="P381" s="10">
        <f t="shared" si="105"/>
        <v>0</v>
      </c>
      <c r="Q381" s="12">
        <f t="shared" si="97"/>
        <v>639.30209199318563</v>
      </c>
      <c r="R381" s="11">
        <f t="shared" si="98"/>
        <v>21.729553476362859</v>
      </c>
      <c r="S381" s="6">
        <v>0</v>
      </c>
      <c r="T381" s="6">
        <v>0</v>
      </c>
      <c r="U381" s="6">
        <v>0</v>
      </c>
      <c r="V381" s="7">
        <v>0</v>
      </c>
      <c r="W381" s="9">
        <v>100</v>
      </c>
      <c r="X381" s="10">
        <f t="shared" si="106"/>
        <v>0</v>
      </c>
      <c r="Y381" s="12">
        <f t="shared" si="99"/>
        <v>639.30209199318563</v>
      </c>
      <c r="Z381" s="11">
        <f t="shared" si="100"/>
        <v>21.729553476362859</v>
      </c>
      <c r="AA381" s="6">
        <v>0</v>
      </c>
      <c r="AB381" s="6">
        <v>1</v>
      </c>
      <c r="AC381" s="6">
        <v>1</v>
      </c>
      <c r="AD381" s="7">
        <v>1</v>
      </c>
      <c r="AE381" s="9">
        <v>70</v>
      </c>
      <c r="AF381" s="10">
        <f t="shared" si="107"/>
        <v>14</v>
      </c>
      <c r="AG381" s="12">
        <f t="shared" si="101"/>
        <v>467.01146439522995</v>
      </c>
      <c r="AH381" s="11">
        <f t="shared" si="102"/>
        <v>16.681976495954004</v>
      </c>
      <c r="AJ381" s="6">
        <f t="shared" si="108"/>
        <v>1000</v>
      </c>
      <c r="AK381" s="4">
        <v>364</v>
      </c>
      <c r="AM381" s="2" t="str">
        <f t="shared" si="103"/>
        <v>0</v>
      </c>
      <c r="AN381" s="2" t="str">
        <f t="shared" si="109"/>
        <v>3E8</v>
      </c>
      <c r="AO381" s="2"/>
      <c r="AP381" s="2" t="str">
        <f t="shared" si="110"/>
        <v>03E8</v>
      </c>
    </row>
    <row r="382" spans="1:42" x14ac:dyDescent="0.2">
      <c r="A382">
        <v>365</v>
      </c>
      <c r="B382">
        <v>36.4</v>
      </c>
      <c r="C382" s="6">
        <v>0</v>
      </c>
      <c r="D382" s="6">
        <v>0</v>
      </c>
      <c r="E382" s="6">
        <v>0</v>
      </c>
      <c r="F382" s="7">
        <v>0</v>
      </c>
      <c r="G382" s="9">
        <v>100</v>
      </c>
      <c r="H382" s="10">
        <f t="shared" si="104"/>
        <v>0</v>
      </c>
      <c r="I382" s="12">
        <f t="shared" si="95"/>
        <v>639.30209199318563</v>
      </c>
      <c r="J382" s="11">
        <f t="shared" si="96"/>
        <v>21.729553476362859</v>
      </c>
      <c r="K382" s="6">
        <v>0</v>
      </c>
      <c r="L382" s="6">
        <v>0</v>
      </c>
      <c r="M382" s="6">
        <v>0</v>
      </c>
      <c r="N382" s="7">
        <v>0</v>
      </c>
      <c r="O382" s="9">
        <v>100</v>
      </c>
      <c r="P382" s="10">
        <f t="shared" si="105"/>
        <v>0</v>
      </c>
      <c r="Q382" s="12">
        <f t="shared" si="97"/>
        <v>639.30209199318563</v>
      </c>
      <c r="R382" s="11">
        <f t="shared" si="98"/>
        <v>21.729553476362859</v>
      </c>
      <c r="S382" s="6">
        <v>0</v>
      </c>
      <c r="T382" s="6">
        <v>0</v>
      </c>
      <c r="U382" s="6">
        <v>0</v>
      </c>
      <c r="V382" s="7">
        <v>0</v>
      </c>
      <c r="W382" s="9">
        <v>100</v>
      </c>
      <c r="X382" s="10">
        <f t="shared" si="106"/>
        <v>0</v>
      </c>
      <c r="Y382" s="12">
        <f t="shared" si="99"/>
        <v>639.30209199318563</v>
      </c>
      <c r="Z382" s="11">
        <f t="shared" si="100"/>
        <v>21.729553476362859</v>
      </c>
      <c r="AA382" s="6">
        <v>0</v>
      </c>
      <c r="AB382" s="6">
        <v>1</v>
      </c>
      <c r="AC382" s="6">
        <v>1</v>
      </c>
      <c r="AD382" s="7">
        <v>1</v>
      </c>
      <c r="AE382" s="9">
        <v>70</v>
      </c>
      <c r="AF382" s="10">
        <f t="shared" si="107"/>
        <v>14</v>
      </c>
      <c r="AG382" s="12">
        <f t="shared" si="101"/>
        <v>467.01146439522995</v>
      </c>
      <c r="AH382" s="11">
        <f t="shared" si="102"/>
        <v>16.681976495954004</v>
      </c>
      <c r="AJ382" s="6">
        <f t="shared" si="108"/>
        <v>1000</v>
      </c>
      <c r="AK382" s="4">
        <v>365</v>
      </c>
      <c r="AM382" s="2" t="str">
        <f t="shared" si="103"/>
        <v>0</v>
      </c>
      <c r="AN382" s="2" t="str">
        <f t="shared" si="109"/>
        <v>3E8</v>
      </c>
      <c r="AO382" s="2"/>
      <c r="AP382" s="2" t="str">
        <f t="shared" si="110"/>
        <v>03E8</v>
      </c>
    </row>
    <row r="383" spans="1:42" x14ac:dyDescent="0.2">
      <c r="A383">
        <v>366</v>
      </c>
      <c r="B383">
        <v>36.5</v>
      </c>
      <c r="C383" s="6">
        <v>0</v>
      </c>
      <c r="D383" s="6">
        <v>0</v>
      </c>
      <c r="E383" s="6">
        <v>0</v>
      </c>
      <c r="F383" s="7">
        <v>0</v>
      </c>
      <c r="G383" s="9">
        <v>100</v>
      </c>
      <c r="H383" s="10">
        <f t="shared" si="104"/>
        <v>0</v>
      </c>
      <c r="I383" s="12">
        <f t="shared" si="95"/>
        <v>639.30209199318563</v>
      </c>
      <c r="J383" s="11">
        <f t="shared" si="96"/>
        <v>21.729553476362859</v>
      </c>
      <c r="K383" s="6">
        <v>0</v>
      </c>
      <c r="L383" s="6">
        <v>0</v>
      </c>
      <c r="M383" s="6">
        <v>0</v>
      </c>
      <c r="N383" s="7">
        <v>0</v>
      </c>
      <c r="O383" s="9">
        <v>100</v>
      </c>
      <c r="P383" s="10">
        <f t="shared" si="105"/>
        <v>0</v>
      </c>
      <c r="Q383" s="12">
        <f t="shared" si="97"/>
        <v>639.30209199318563</v>
      </c>
      <c r="R383" s="11">
        <f t="shared" si="98"/>
        <v>21.729553476362859</v>
      </c>
      <c r="S383" s="6">
        <v>0</v>
      </c>
      <c r="T383" s="6">
        <v>0</v>
      </c>
      <c r="U383" s="6">
        <v>0</v>
      </c>
      <c r="V383" s="7">
        <v>0</v>
      </c>
      <c r="W383" s="9">
        <v>100</v>
      </c>
      <c r="X383" s="10">
        <f t="shared" si="106"/>
        <v>0</v>
      </c>
      <c r="Y383" s="12">
        <f t="shared" si="99"/>
        <v>639.30209199318563</v>
      </c>
      <c r="Z383" s="11">
        <f t="shared" si="100"/>
        <v>21.729553476362859</v>
      </c>
      <c r="AA383" s="6">
        <v>0</v>
      </c>
      <c r="AB383" s="6">
        <v>1</v>
      </c>
      <c r="AC383" s="6">
        <v>1</v>
      </c>
      <c r="AD383" s="7">
        <v>1</v>
      </c>
      <c r="AE383" s="9">
        <v>70</v>
      </c>
      <c r="AF383" s="10">
        <f t="shared" si="107"/>
        <v>14</v>
      </c>
      <c r="AG383" s="12">
        <f t="shared" si="101"/>
        <v>467.01146439522995</v>
      </c>
      <c r="AH383" s="11">
        <f t="shared" si="102"/>
        <v>16.681976495954004</v>
      </c>
      <c r="AJ383" s="6">
        <f t="shared" si="108"/>
        <v>1000</v>
      </c>
      <c r="AK383" s="4">
        <v>366</v>
      </c>
      <c r="AM383" s="2" t="str">
        <f t="shared" si="103"/>
        <v>0</v>
      </c>
      <c r="AN383" s="2" t="str">
        <f t="shared" si="109"/>
        <v>3E8</v>
      </c>
      <c r="AO383" s="2"/>
      <c r="AP383" s="2" t="str">
        <f t="shared" si="110"/>
        <v>03E8</v>
      </c>
    </row>
    <row r="384" spans="1:42" x14ac:dyDescent="0.2">
      <c r="A384">
        <v>367</v>
      </c>
      <c r="B384">
        <v>36.6</v>
      </c>
      <c r="C384" s="6">
        <v>0</v>
      </c>
      <c r="D384" s="6">
        <v>0</v>
      </c>
      <c r="E384" s="6">
        <v>0</v>
      </c>
      <c r="F384" s="7">
        <v>0</v>
      </c>
      <c r="G384" s="9">
        <v>100</v>
      </c>
      <c r="H384" s="10">
        <f t="shared" si="104"/>
        <v>0</v>
      </c>
      <c r="I384" s="12">
        <f t="shared" si="95"/>
        <v>639.30209199318563</v>
      </c>
      <c r="J384" s="11">
        <f t="shared" si="96"/>
        <v>21.729553476362859</v>
      </c>
      <c r="K384" s="6">
        <v>0</v>
      </c>
      <c r="L384" s="6">
        <v>0</v>
      </c>
      <c r="M384" s="6">
        <v>0</v>
      </c>
      <c r="N384" s="7">
        <v>0</v>
      </c>
      <c r="O384" s="9">
        <v>100</v>
      </c>
      <c r="P384" s="10">
        <f t="shared" si="105"/>
        <v>0</v>
      </c>
      <c r="Q384" s="12">
        <f t="shared" si="97"/>
        <v>639.30209199318563</v>
      </c>
      <c r="R384" s="11">
        <f t="shared" si="98"/>
        <v>21.729553476362859</v>
      </c>
      <c r="S384" s="6">
        <v>0</v>
      </c>
      <c r="T384" s="6">
        <v>0</v>
      </c>
      <c r="U384" s="6">
        <v>0</v>
      </c>
      <c r="V384" s="7">
        <v>0</v>
      </c>
      <c r="W384" s="9">
        <v>100</v>
      </c>
      <c r="X384" s="10">
        <f t="shared" si="106"/>
        <v>0</v>
      </c>
      <c r="Y384" s="12">
        <f t="shared" si="99"/>
        <v>639.30209199318563</v>
      </c>
      <c r="Z384" s="11">
        <f t="shared" si="100"/>
        <v>21.729553476362859</v>
      </c>
      <c r="AA384" s="6">
        <v>0</v>
      </c>
      <c r="AB384" s="6">
        <v>1</v>
      </c>
      <c r="AC384" s="6">
        <v>1</v>
      </c>
      <c r="AD384" s="7">
        <v>1</v>
      </c>
      <c r="AE384" s="9">
        <v>70</v>
      </c>
      <c r="AF384" s="10">
        <f t="shared" si="107"/>
        <v>14</v>
      </c>
      <c r="AG384" s="12">
        <f t="shared" si="101"/>
        <v>467.01146439522995</v>
      </c>
      <c r="AH384" s="11">
        <f t="shared" si="102"/>
        <v>16.681976495954004</v>
      </c>
      <c r="AJ384" s="6">
        <f t="shared" si="108"/>
        <v>1000</v>
      </c>
      <c r="AK384" s="4">
        <v>367</v>
      </c>
      <c r="AM384" s="2" t="str">
        <f t="shared" si="103"/>
        <v>0</v>
      </c>
      <c r="AN384" s="2" t="str">
        <f t="shared" si="109"/>
        <v>3E8</v>
      </c>
      <c r="AO384" s="2"/>
      <c r="AP384" s="2" t="str">
        <f t="shared" si="110"/>
        <v>03E8</v>
      </c>
    </row>
    <row r="385" spans="1:42" x14ac:dyDescent="0.2">
      <c r="A385">
        <v>368</v>
      </c>
      <c r="B385">
        <v>36.700000000000003</v>
      </c>
      <c r="C385" s="6">
        <v>0</v>
      </c>
      <c r="D385" s="6">
        <v>0</v>
      </c>
      <c r="E385" s="6">
        <v>0</v>
      </c>
      <c r="F385" s="7">
        <v>0</v>
      </c>
      <c r="G385" s="9">
        <v>100</v>
      </c>
      <c r="H385" s="10">
        <f t="shared" si="104"/>
        <v>0</v>
      </c>
      <c r="I385" s="12">
        <f t="shared" si="95"/>
        <v>639.30209199318563</v>
      </c>
      <c r="J385" s="11">
        <f t="shared" si="96"/>
        <v>21.729553476362859</v>
      </c>
      <c r="K385" s="6">
        <v>0</v>
      </c>
      <c r="L385" s="6">
        <v>0</v>
      </c>
      <c r="M385" s="6">
        <v>0</v>
      </c>
      <c r="N385" s="7">
        <v>0</v>
      </c>
      <c r="O385" s="9">
        <v>100</v>
      </c>
      <c r="P385" s="10">
        <f t="shared" si="105"/>
        <v>0</v>
      </c>
      <c r="Q385" s="12">
        <f t="shared" si="97"/>
        <v>639.30209199318563</v>
      </c>
      <c r="R385" s="11">
        <f t="shared" si="98"/>
        <v>21.729553476362859</v>
      </c>
      <c r="S385" s="6">
        <v>0</v>
      </c>
      <c r="T385" s="6">
        <v>0</v>
      </c>
      <c r="U385" s="6">
        <v>0</v>
      </c>
      <c r="V385" s="7">
        <v>0</v>
      </c>
      <c r="W385" s="9">
        <v>100</v>
      </c>
      <c r="X385" s="10">
        <f t="shared" si="106"/>
        <v>0</v>
      </c>
      <c r="Y385" s="12">
        <f t="shared" si="99"/>
        <v>639.30209199318563</v>
      </c>
      <c r="Z385" s="11">
        <f t="shared" si="100"/>
        <v>21.729553476362859</v>
      </c>
      <c r="AA385" s="6">
        <v>0</v>
      </c>
      <c r="AB385" s="6">
        <v>1</v>
      </c>
      <c r="AC385" s="6">
        <v>1</v>
      </c>
      <c r="AD385" s="7">
        <v>1</v>
      </c>
      <c r="AE385" s="9">
        <f>AE384+1.5</f>
        <v>71.5</v>
      </c>
      <c r="AF385" s="10">
        <f t="shared" si="107"/>
        <v>14</v>
      </c>
      <c r="AG385" s="12">
        <f t="shared" si="101"/>
        <v>475.62599577512771</v>
      </c>
      <c r="AH385" s="11">
        <f t="shared" si="102"/>
        <v>16.934355344974446</v>
      </c>
      <c r="AJ385" s="6">
        <f t="shared" si="108"/>
        <v>1000</v>
      </c>
      <c r="AK385" s="4">
        <v>368</v>
      </c>
      <c r="AM385" s="2" t="str">
        <f t="shared" si="103"/>
        <v>0</v>
      </c>
      <c r="AN385" s="2" t="str">
        <f t="shared" si="109"/>
        <v>3E8</v>
      </c>
      <c r="AO385" s="2"/>
      <c r="AP385" s="2" t="str">
        <f t="shared" si="110"/>
        <v>03E8</v>
      </c>
    </row>
    <row r="386" spans="1:42" x14ac:dyDescent="0.2">
      <c r="A386">
        <v>369</v>
      </c>
      <c r="B386">
        <v>36.799999999999997</v>
      </c>
      <c r="C386" s="6">
        <v>0</v>
      </c>
      <c r="D386" s="6">
        <v>0</v>
      </c>
      <c r="E386" s="6">
        <v>0</v>
      </c>
      <c r="F386" s="7">
        <v>0</v>
      </c>
      <c r="G386" s="9">
        <v>100</v>
      </c>
      <c r="H386" s="10">
        <f t="shared" si="104"/>
        <v>0</v>
      </c>
      <c r="I386" s="12">
        <f t="shared" si="95"/>
        <v>639.30209199318563</v>
      </c>
      <c r="J386" s="11">
        <f t="shared" si="96"/>
        <v>21.729553476362859</v>
      </c>
      <c r="K386" s="6">
        <v>0</v>
      </c>
      <c r="L386" s="6">
        <v>0</v>
      </c>
      <c r="M386" s="6">
        <v>0</v>
      </c>
      <c r="N386" s="7">
        <v>0</v>
      </c>
      <c r="O386" s="9">
        <v>100</v>
      </c>
      <c r="P386" s="10">
        <f t="shared" si="105"/>
        <v>0</v>
      </c>
      <c r="Q386" s="12">
        <f t="shared" si="97"/>
        <v>639.30209199318563</v>
      </c>
      <c r="R386" s="11">
        <f t="shared" si="98"/>
        <v>21.729553476362859</v>
      </c>
      <c r="S386" s="6">
        <v>0</v>
      </c>
      <c r="T386" s="6">
        <v>0</v>
      </c>
      <c r="U386" s="6">
        <v>0</v>
      </c>
      <c r="V386" s="7">
        <v>0</v>
      </c>
      <c r="W386" s="9">
        <v>100</v>
      </c>
      <c r="X386" s="10">
        <f t="shared" si="106"/>
        <v>0</v>
      </c>
      <c r="Y386" s="12">
        <f t="shared" si="99"/>
        <v>639.30209199318563</v>
      </c>
      <c r="Z386" s="11">
        <f t="shared" si="100"/>
        <v>21.729553476362859</v>
      </c>
      <c r="AA386" s="6">
        <v>0</v>
      </c>
      <c r="AB386" s="6">
        <v>1</v>
      </c>
      <c r="AC386" s="6">
        <v>1</v>
      </c>
      <c r="AD386" s="7">
        <v>1</v>
      </c>
      <c r="AE386" s="9">
        <f t="shared" ref="AE386:AE404" si="112">AE385+1.5</f>
        <v>73</v>
      </c>
      <c r="AF386" s="10">
        <f t="shared" si="107"/>
        <v>14</v>
      </c>
      <c r="AG386" s="12">
        <f t="shared" si="101"/>
        <v>484.24052715502557</v>
      </c>
      <c r="AH386" s="11">
        <f t="shared" si="102"/>
        <v>17.186734193994891</v>
      </c>
      <c r="AJ386" s="6">
        <f t="shared" si="108"/>
        <v>1000</v>
      </c>
      <c r="AK386" s="4">
        <v>369</v>
      </c>
      <c r="AM386" s="2" t="str">
        <f t="shared" si="103"/>
        <v>0</v>
      </c>
      <c r="AN386" s="2" t="str">
        <f t="shared" si="109"/>
        <v>3E8</v>
      </c>
      <c r="AO386" s="2"/>
      <c r="AP386" s="2" t="str">
        <f t="shared" si="110"/>
        <v>03E8</v>
      </c>
    </row>
    <row r="387" spans="1:42" x14ac:dyDescent="0.2">
      <c r="A387">
        <v>370</v>
      </c>
      <c r="B387">
        <v>36.9</v>
      </c>
      <c r="C387" s="6">
        <v>0</v>
      </c>
      <c r="D387" s="6">
        <v>0</v>
      </c>
      <c r="E387" s="6">
        <v>0</v>
      </c>
      <c r="F387" s="7">
        <v>0</v>
      </c>
      <c r="G387" s="9">
        <v>100</v>
      </c>
      <c r="H387" s="10">
        <f t="shared" si="104"/>
        <v>0</v>
      </c>
      <c r="I387" s="12">
        <f t="shared" si="95"/>
        <v>639.30209199318563</v>
      </c>
      <c r="J387" s="11">
        <f t="shared" si="96"/>
        <v>21.729553476362859</v>
      </c>
      <c r="K387" s="6">
        <v>0</v>
      </c>
      <c r="L387" s="6">
        <v>0</v>
      </c>
      <c r="M387" s="6">
        <v>0</v>
      </c>
      <c r="N387" s="7">
        <v>0</v>
      </c>
      <c r="O387" s="9">
        <v>100</v>
      </c>
      <c r="P387" s="10">
        <f t="shared" si="105"/>
        <v>0</v>
      </c>
      <c r="Q387" s="12">
        <f t="shared" si="97"/>
        <v>639.30209199318563</v>
      </c>
      <c r="R387" s="11">
        <f t="shared" si="98"/>
        <v>21.729553476362859</v>
      </c>
      <c r="S387" s="6">
        <v>0</v>
      </c>
      <c r="T387" s="6">
        <v>0</v>
      </c>
      <c r="U387" s="6">
        <v>0</v>
      </c>
      <c r="V387" s="7">
        <v>0</v>
      </c>
      <c r="W387" s="9">
        <v>100</v>
      </c>
      <c r="X387" s="10">
        <f t="shared" si="106"/>
        <v>0</v>
      </c>
      <c r="Y387" s="12">
        <f t="shared" si="99"/>
        <v>639.30209199318563</v>
      </c>
      <c r="Z387" s="11">
        <f t="shared" si="100"/>
        <v>21.729553476362859</v>
      </c>
      <c r="AA387" s="6">
        <v>0</v>
      </c>
      <c r="AB387" s="6">
        <v>1</v>
      </c>
      <c r="AC387" s="6">
        <v>1</v>
      </c>
      <c r="AD387" s="7">
        <v>1</v>
      </c>
      <c r="AE387" s="9">
        <f t="shared" si="112"/>
        <v>74.5</v>
      </c>
      <c r="AF387" s="10">
        <f t="shared" si="107"/>
        <v>14</v>
      </c>
      <c r="AG387" s="12">
        <f t="shared" si="101"/>
        <v>492.85505853492333</v>
      </c>
      <c r="AH387" s="11">
        <f t="shared" si="102"/>
        <v>17.439113043015332</v>
      </c>
      <c r="AJ387" s="6">
        <f t="shared" si="108"/>
        <v>1000</v>
      </c>
      <c r="AK387" s="4">
        <v>370</v>
      </c>
      <c r="AM387" s="2" t="str">
        <f t="shared" si="103"/>
        <v>0</v>
      </c>
      <c r="AN387" s="2" t="str">
        <f t="shared" si="109"/>
        <v>3E8</v>
      </c>
      <c r="AO387" s="2"/>
      <c r="AP387" s="2" t="str">
        <f t="shared" si="110"/>
        <v>03E8</v>
      </c>
    </row>
    <row r="388" spans="1:42" x14ac:dyDescent="0.2">
      <c r="A388">
        <v>371</v>
      </c>
      <c r="B388">
        <v>37</v>
      </c>
      <c r="C388" s="6">
        <v>0</v>
      </c>
      <c r="D388" s="6">
        <v>0</v>
      </c>
      <c r="E388" s="6">
        <v>0</v>
      </c>
      <c r="F388" s="7">
        <v>0</v>
      </c>
      <c r="G388" s="9">
        <v>100</v>
      </c>
      <c r="H388" s="10">
        <f t="shared" si="104"/>
        <v>0</v>
      </c>
      <c r="I388" s="12">
        <f t="shared" si="95"/>
        <v>639.30209199318563</v>
      </c>
      <c r="J388" s="11">
        <f t="shared" si="96"/>
        <v>21.729553476362859</v>
      </c>
      <c r="K388" s="6">
        <v>0</v>
      </c>
      <c r="L388" s="6">
        <v>0</v>
      </c>
      <c r="M388" s="6">
        <v>0</v>
      </c>
      <c r="N388" s="7">
        <v>0</v>
      </c>
      <c r="O388" s="9">
        <v>100</v>
      </c>
      <c r="P388" s="10">
        <f t="shared" si="105"/>
        <v>0</v>
      </c>
      <c r="Q388" s="12">
        <f t="shared" si="97"/>
        <v>639.30209199318563</v>
      </c>
      <c r="R388" s="11">
        <f t="shared" si="98"/>
        <v>21.729553476362859</v>
      </c>
      <c r="S388" s="6">
        <v>0</v>
      </c>
      <c r="T388" s="6">
        <v>0</v>
      </c>
      <c r="U388" s="6">
        <v>0</v>
      </c>
      <c r="V388" s="7">
        <v>0</v>
      </c>
      <c r="W388" s="9">
        <v>100</v>
      </c>
      <c r="X388" s="10">
        <f t="shared" si="106"/>
        <v>0</v>
      </c>
      <c r="Y388" s="12">
        <f t="shared" si="99"/>
        <v>639.30209199318563</v>
      </c>
      <c r="Z388" s="11">
        <f t="shared" si="100"/>
        <v>21.729553476362859</v>
      </c>
      <c r="AA388" s="6">
        <v>0</v>
      </c>
      <c r="AB388" s="6">
        <v>1</v>
      </c>
      <c r="AC388" s="6">
        <v>1</v>
      </c>
      <c r="AD388" s="7">
        <v>1</v>
      </c>
      <c r="AE388" s="9">
        <f t="shared" si="112"/>
        <v>76</v>
      </c>
      <c r="AF388" s="10">
        <f t="shared" si="107"/>
        <v>14</v>
      </c>
      <c r="AG388" s="12">
        <f t="shared" si="101"/>
        <v>501.46958991482109</v>
      </c>
      <c r="AH388" s="11">
        <f t="shared" si="102"/>
        <v>17.691491892035774</v>
      </c>
      <c r="AJ388" s="6">
        <f t="shared" si="108"/>
        <v>1000</v>
      </c>
      <c r="AK388" s="4">
        <v>371</v>
      </c>
      <c r="AM388" s="2" t="str">
        <f t="shared" si="103"/>
        <v>0</v>
      </c>
      <c r="AN388" s="2" t="str">
        <f t="shared" si="109"/>
        <v>3E8</v>
      </c>
      <c r="AO388" s="2"/>
      <c r="AP388" s="2" t="str">
        <f t="shared" si="110"/>
        <v>03E8</v>
      </c>
    </row>
    <row r="389" spans="1:42" x14ac:dyDescent="0.2">
      <c r="A389">
        <v>372</v>
      </c>
      <c r="B389">
        <v>37.1</v>
      </c>
      <c r="C389" s="6">
        <v>0</v>
      </c>
      <c r="D389" s="6">
        <v>0</v>
      </c>
      <c r="E389" s="6">
        <v>0</v>
      </c>
      <c r="F389" s="7">
        <v>0</v>
      </c>
      <c r="G389" s="9">
        <v>100</v>
      </c>
      <c r="H389" s="10">
        <f t="shared" si="104"/>
        <v>0</v>
      </c>
      <c r="I389" s="12">
        <f t="shared" si="95"/>
        <v>639.30209199318563</v>
      </c>
      <c r="J389" s="11">
        <f t="shared" si="96"/>
        <v>21.729553476362859</v>
      </c>
      <c r="K389" s="6">
        <v>0</v>
      </c>
      <c r="L389" s="6">
        <v>0</v>
      </c>
      <c r="M389" s="6">
        <v>0</v>
      </c>
      <c r="N389" s="7">
        <v>0</v>
      </c>
      <c r="O389" s="9">
        <v>100</v>
      </c>
      <c r="P389" s="10">
        <f t="shared" si="105"/>
        <v>0</v>
      </c>
      <c r="Q389" s="12">
        <f t="shared" si="97"/>
        <v>639.30209199318563</v>
      </c>
      <c r="R389" s="11">
        <f t="shared" si="98"/>
        <v>21.729553476362859</v>
      </c>
      <c r="S389" s="6">
        <v>0</v>
      </c>
      <c r="T389" s="6">
        <v>0</v>
      </c>
      <c r="U389" s="6">
        <v>0</v>
      </c>
      <c r="V389" s="7">
        <v>0</v>
      </c>
      <c r="W389" s="9">
        <v>100</v>
      </c>
      <c r="X389" s="10">
        <f t="shared" si="106"/>
        <v>0</v>
      </c>
      <c r="Y389" s="12">
        <f t="shared" si="99"/>
        <v>639.30209199318563</v>
      </c>
      <c r="Z389" s="11">
        <f t="shared" si="100"/>
        <v>21.729553476362859</v>
      </c>
      <c r="AA389" s="6">
        <v>0</v>
      </c>
      <c r="AB389" s="6">
        <v>1</v>
      </c>
      <c r="AC389" s="6">
        <v>1</v>
      </c>
      <c r="AD389" s="7">
        <v>1</v>
      </c>
      <c r="AE389" s="9">
        <f t="shared" si="112"/>
        <v>77.5</v>
      </c>
      <c r="AF389" s="10">
        <f t="shared" si="107"/>
        <v>14</v>
      </c>
      <c r="AG389" s="12">
        <f t="shared" si="101"/>
        <v>510.08412129471895</v>
      </c>
      <c r="AH389" s="11">
        <f t="shared" si="102"/>
        <v>17.943870741056219</v>
      </c>
      <c r="AJ389" s="6">
        <f t="shared" si="108"/>
        <v>1000</v>
      </c>
      <c r="AK389" s="4">
        <v>372</v>
      </c>
      <c r="AM389" s="2" t="str">
        <f t="shared" si="103"/>
        <v>0</v>
      </c>
      <c r="AN389" s="2" t="str">
        <f t="shared" si="109"/>
        <v>3E8</v>
      </c>
      <c r="AO389" s="2"/>
      <c r="AP389" s="2" t="str">
        <f t="shared" si="110"/>
        <v>03E8</v>
      </c>
    </row>
    <row r="390" spans="1:42" x14ac:dyDescent="0.2">
      <c r="A390">
        <v>373</v>
      </c>
      <c r="B390">
        <v>37.200000000000003</v>
      </c>
      <c r="C390" s="6">
        <v>0</v>
      </c>
      <c r="D390" s="6">
        <v>0</v>
      </c>
      <c r="E390" s="6">
        <v>0</v>
      </c>
      <c r="F390" s="7">
        <v>0</v>
      </c>
      <c r="G390" s="9">
        <v>100</v>
      </c>
      <c r="H390" s="10">
        <f t="shared" si="104"/>
        <v>0</v>
      </c>
      <c r="I390" s="12">
        <f t="shared" si="95"/>
        <v>639.30209199318563</v>
      </c>
      <c r="J390" s="11">
        <f t="shared" si="96"/>
        <v>21.729553476362859</v>
      </c>
      <c r="K390" s="6">
        <v>0</v>
      </c>
      <c r="L390" s="6">
        <v>0</v>
      </c>
      <c r="M390" s="6">
        <v>0</v>
      </c>
      <c r="N390" s="7">
        <v>0</v>
      </c>
      <c r="O390" s="9">
        <v>100</v>
      </c>
      <c r="P390" s="10">
        <f t="shared" si="105"/>
        <v>0</v>
      </c>
      <c r="Q390" s="12">
        <f t="shared" si="97"/>
        <v>639.30209199318563</v>
      </c>
      <c r="R390" s="11">
        <f t="shared" si="98"/>
        <v>21.729553476362859</v>
      </c>
      <c r="S390" s="6">
        <v>0</v>
      </c>
      <c r="T390" s="6">
        <v>0</v>
      </c>
      <c r="U390" s="6">
        <v>0</v>
      </c>
      <c r="V390" s="7">
        <v>0</v>
      </c>
      <c r="W390" s="9">
        <v>100</v>
      </c>
      <c r="X390" s="10">
        <f t="shared" si="106"/>
        <v>0</v>
      </c>
      <c r="Y390" s="12">
        <f t="shared" si="99"/>
        <v>639.30209199318563</v>
      </c>
      <c r="Z390" s="11">
        <f t="shared" si="100"/>
        <v>21.729553476362859</v>
      </c>
      <c r="AA390" s="6">
        <v>0</v>
      </c>
      <c r="AB390" s="6">
        <v>1</v>
      </c>
      <c r="AC390" s="6">
        <v>1</v>
      </c>
      <c r="AD390" s="7">
        <v>1</v>
      </c>
      <c r="AE390" s="9">
        <f t="shared" si="112"/>
        <v>79</v>
      </c>
      <c r="AF390" s="10">
        <f t="shared" si="107"/>
        <v>14</v>
      </c>
      <c r="AG390" s="12">
        <f t="shared" si="101"/>
        <v>518.69865267461671</v>
      </c>
      <c r="AH390" s="11">
        <f t="shared" si="102"/>
        <v>18.196249590076661</v>
      </c>
      <c r="AJ390" s="6">
        <f t="shared" si="108"/>
        <v>1000</v>
      </c>
      <c r="AK390" s="4">
        <v>373</v>
      </c>
      <c r="AM390" s="2" t="str">
        <f t="shared" si="103"/>
        <v>0</v>
      </c>
      <c r="AN390" s="2" t="str">
        <f t="shared" si="109"/>
        <v>3E8</v>
      </c>
      <c r="AO390" s="2"/>
      <c r="AP390" s="2" t="str">
        <f t="shared" si="110"/>
        <v>03E8</v>
      </c>
    </row>
    <row r="391" spans="1:42" x14ac:dyDescent="0.2">
      <c r="A391">
        <v>374</v>
      </c>
      <c r="B391">
        <v>37.299999999999997</v>
      </c>
      <c r="C391" s="6">
        <v>0</v>
      </c>
      <c r="D391" s="6">
        <v>0</v>
      </c>
      <c r="E391" s="6">
        <v>0</v>
      </c>
      <c r="F391" s="7">
        <v>0</v>
      </c>
      <c r="G391" s="9">
        <v>100</v>
      </c>
      <c r="H391" s="10">
        <f t="shared" si="104"/>
        <v>0</v>
      </c>
      <c r="I391" s="12">
        <f t="shared" si="95"/>
        <v>639.30209199318563</v>
      </c>
      <c r="J391" s="11">
        <f t="shared" si="96"/>
        <v>21.729553476362859</v>
      </c>
      <c r="K391" s="6">
        <v>0</v>
      </c>
      <c r="L391" s="6">
        <v>0</v>
      </c>
      <c r="M391" s="6">
        <v>0</v>
      </c>
      <c r="N391" s="7">
        <v>0</v>
      </c>
      <c r="O391" s="9">
        <v>100</v>
      </c>
      <c r="P391" s="10">
        <f t="shared" si="105"/>
        <v>0</v>
      </c>
      <c r="Q391" s="12">
        <f t="shared" si="97"/>
        <v>639.30209199318563</v>
      </c>
      <c r="R391" s="11">
        <f t="shared" si="98"/>
        <v>21.729553476362859</v>
      </c>
      <c r="S391" s="6">
        <v>0</v>
      </c>
      <c r="T391" s="6">
        <v>0</v>
      </c>
      <c r="U391" s="6">
        <v>0</v>
      </c>
      <c r="V391" s="7">
        <v>0</v>
      </c>
      <c r="W391" s="9">
        <v>100</v>
      </c>
      <c r="X391" s="10">
        <f t="shared" si="106"/>
        <v>0</v>
      </c>
      <c r="Y391" s="12">
        <f t="shared" si="99"/>
        <v>639.30209199318563</v>
      </c>
      <c r="Z391" s="11">
        <f t="shared" si="100"/>
        <v>21.729553476362859</v>
      </c>
      <c r="AA391" s="6">
        <v>0</v>
      </c>
      <c r="AB391" s="6">
        <v>1</v>
      </c>
      <c r="AC391" s="6">
        <v>1</v>
      </c>
      <c r="AD391" s="7">
        <v>1</v>
      </c>
      <c r="AE391" s="9">
        <f t="shared" si="112"/>
        <v>80.5</v>
      </c>
      <c r="AF391" s="10">
        <f t="shared" si="107"/>
        <v>14</v>
      </c>
      <c r="AG391" s="12">
        <f t="shared" si="101"/>
        <v>527.31318405451452</v>
      </c>
      <c r="AH391" s="11">
        <f t="shared" si="102"/>
        <v>18.448628439097106</v>
      </c>
      <c r="AJ391" s="6">
        <f t="shared" si="108"/>
        <v>1000</v>
      </c>
      <c r="AK391" s="4">
        <v>374</v>
      </c>
      <c r="AM391" s="2" t="str">
        <f t="shared" si="103"/>
        <v>0</v>
      </c>
      <c r="AN391" s="2" t="str">
        <f t="shared" si="109"/>
        <v>3E8</v>
      </c>
      <c r="AO391" s="2"/>
      <c r="AP391" s="2" t="str">
        <f t="shared" si="110"/>
        <v>03E8</v>
      </c>
    </row>
    <row r="392" spans="1:42" x14ac:dyDescent="0.2">
      <c r="A392">
        <v>375</v>
      </c>
      <c r="B392">
        <v>37.4</v>
      </c>
      <c r="C392" s="6">
        <v>0</v>
      </c>
      <c r="D392" s="6">
        <v>0</v>
      </c>
      <c r="E392" s="6">
        <v>0</v>
      </c>
      <c r="F392" s="7">
        <v>0</v>
      </c>
      <c r="G392" s="9">
        <v>100</v>
      </c>
      <c r="H392" s="10">
        <f t="shared" si="104"/>
        <v>0</v>
      </c>
      <c r="I392" s="12">
        <f t="shared" si="95"/>
        <v>639.30209199318563</v>
      </c>
      <c r="J392" s="11">
        <f t="shared" si="96"/>
        <v>21.729553476362859</v>
      </c>
      <c r="K392" s="6">
        <v>0</v>
      </c>
      <c r="L392" s="6">
        <v>0</v>
      </c>
      <c r="M392" s="6">
        <v>0</v>
      </c>
      <c r="N392" s="7">
        <v>0</v>
      </c>
      <c r="O392" s="9">
        <v>100</v>
      </c>
      <c r="P392" s="10">
        <f t="shared" si="105"/>
        <v>0</v>
      </c>
      <c r="Q392" s="12">
        <f t="shared" si="97"/>
        <v>639.30209199318563</v>
      </c>
      <c r="R392" s="11">
        <f t="shared" si="98"/>
        <v>21.729553476362859</v>
      </c>
      <c r="S392" s="6">
        <v>0</v>
      </c>
      <c r="T392" s="6">
        <v>0</v>
      </c>
      <c r="U392" s="6">
        <v>0</v>
      </c>
      <c r="V392" s="7">
        <v>0</v>
      </c>
      <c r="W392" s="9">
        <v>100</v>
      </c>
      <c r="X392" s="10">
        <f t="shared" si="106"/>
        <v>0</v>
      </c>
      <c r="Y392" s="12">
        <f t="shared" si="99"/>
        <v>639.30209199318563</v>
      </c>
      <c r="Z392" s="11">
        <f t="shared" si="100"/>
        <v>21.729553476362859</v>
      </c>
      <c r="AA392" s="6">
        <v>0</v>
      </c>
      <c r="AB392" s="6">
        <v>1</v>
      </c>
      <c r="AC392" s="6">
        <v>1</v>
      </c>
      <c r="AD392" s="7">
        <v>1</v>
      </c>
      <c r="AE392" s="9">
        <f t="shared" si="112"/>
        <v>82</v>
      </c>
      <c r="AF392" s="10">
        <f t="shared" si="107"/>
        <v>14</v>
      </c>
      <c r="AG392" s="12">
        <f t="shared" si="101"/>
        <v>535.92771543441222</v>
      </c>
      <c r="AH392" s="11">
        <f t="shared" si="102"/>
        <v>18.701007288117545</v>
      </c>
      <c r="AJ392" s="6">
        <f t="shared" si="108"/>
        <v>1000</v>
      </c>
      <c r="AK392" s="4">
        <v>375</v>
      </c>
      <c r="AM392" s="2" t="str">
        <f t="shared" si="103"/>
        <v>0</v>
      </c>
      <c r="AN392" s="2" t="str">
        <f t="shared" si="109"/>
        <v>3E8</v>
      </c>
      <c r="AO392" s="2"/>
      <c r="AP392" s="2" t="str">
        <f t="shared" si="110"/>
        <v>03E8</v>
      </c>
    </row>
    <row r="393" spans="1:42" x14ac:dyDescent="0.2">
      <c r="A393">
        <v>376</v>
      </c>
      <c r="B393">
        <v>37.5</v>
      </c>
      <c r="C393" s="6">
        <v>0</v>
      </c>
      <c r="D393" s="6">
        <v>0</v>
      </c>
      <c r="E393" s="6">
        <v>0</v>
      </c>
      <c r="F393" s="7">
        <v>0</v>
      </c>
      <c r="G393" s="9">
        <v>100</v>
      </c>
      <c r="H393" s="10">
        <f t="shared" si="104"/>
        <v>0</v>
      </c>
      <c r="I393" s="12">
        <f t="shared" si="95"/>
        <v>639.30209199318563</v>
      </c>
      <c r="J393" s="11">
        <f t="shared" si="96"/>
        <v>21.729553476362859</v>
      </c>
      <c r="K393" s="6">
        <v>0</v>
      </c>
      <c r="L393" s="6">
        <v>0</v>
      </c>
      <c r="M393" s="6">
        <v>0</v>
      </c>
      <c r="N393" s="7">
        <v>0</v>
      </c>
      <c r="O393" s="9">
        <v>100</v>
      </c>
      <c r="P393" s="10">
        <f t="shared" si="105"/>
        <v>0</v>
      </c>
      <c r="Q393" s="12">
        <f t="shared" si="97"/>
        <v>639.30209199318563</v>
      </c>
      <c r="R393" s="11">
        <f t="shared" si="98"/>
        <v>21.729553476362859</v>
      </c>
      <c r="S393" s="6">
        <v>0</v>
      </c>
      <c r="T393" s="6">
        <v>0</v>
      </c>
      <c r="U393" s="6">
        <v>0</v>
      </c>
      <c r="V393" s="7">
        <v>0</v>
      </c>
      <c r="W393" s="9">
        <v>100</v>
      </c>
      <c r="X393" s="10">
        <f t="shared" si="106"/>
        <v>0</v>
      </c>
      <c r="Y393" s="12">
        <f t="shared" si="99"/>
        <v>639.30209199318563</v>
      </c>
      <c r="Z393" s="11">
        <f t="shared" si="100"/>
        <v>21.729553476362859</v>
      </c>
      <c r="AA393" s="6">
        <v>0</v>
      </c>
      <c r="AB393" s="6">
        <v>1</v>
      </c>
      <c r="AC393" s="6">
        <v>1</v>
      </c>
      <c r="AD393" s="7">
        <v>1</v>
      </c>
      <c r="AE393" s="9">
        <f t="shared" si="112"/>
        <v>83.5</v>
      </c>
      <c r="AF393" s="10">
        <f t="shared" si="107"/>
        <v>14</v>
      </c>
      <c r="AG393" s="12">
        <f t="shared" si="101"/>
        <v>544.54224681431003</v>
      </c>
      <c r="AH393" s="11">
        <f t="shared" si="102"/>
        <v>18.95338613713799</v>
      </c>
      <c r="AJ393" s="6">
        <f t="shared" si="108"/>
        <v>1000</v>
      </c>
      <c r="AK393" s="4">
        <v>376</v>
      </c>
      <c r="AM393" s="2" t="str">
        <f t="shared" si="103"/>
        <v>0</v>
      </c>
      <c r="AN393" s="2" t="str">
        <f t="shared" si="109"/>
        <v>3E8</v>
      </c>
      <c r="AO393" s="2"/>
      <c r="AP393" s="2" t="str">
        <f t="shared" si="110"/>
        <v>03E8</v>
      </c>
    </row>
    <row r="394" spans="1:42" x14ac:dyDescent="0.2">
      <c r="A394">
        <v>377</v>
      </c>
      <c r="B394">
        <v>37.6</v>
      </c>
      <c r="C394" s="6">
        <v>0</v>
      </c>
      <c r="D394" s="6">
        <v>0</v>
      </c>
      <c r="E394" s="6">
        <v>0</v>
      </c>
      <c r="F394" s="7">
        <v>0</v>
      </c>
      <c r="G394" s="9">
        <v>100</v>
      </c>
      <c r="H394" s="10">
        <f t="shared" si="104"/>
        <v>0</v>
      </c>
      <c r="I394" s="12">
        <f t="shared" si="95"/>
        <v>639.30209199318563</v>
      </c>
      <c r="J394" s="11">
        <f t="shared" si="96"/>
        <v>21.729553476362859</v>
      </c>
      <c r="K394" s="6">
        <v>0</v>
      </c>
      <c r="L394" s="6">
        <v>0</v>
      </c>
      <c r="M394" s="6">
        <v>0</v>
      </c>
      <c r="N394" s="7">
        <v>0</v>
      </c>
      <c r="O394" s="9">
        <v>100</v>
      </c>
      <c r="P394" s="10">
        <f t="shared" si="105"/>
        <v>0</v>
      </c>
      <c r="Q394" s="12">
        <f t="shared" si="97"/>
        <v>639.30209199318563</v>
      </c>
      <c r="R394" s="11">
        <f t="shared" si="98"/>
        <v>21.729553476362859</v>
      </c>
      <c r="S394" s="6">
        <v>0</v>
      </c>
      <c r="T394" s="6">
        <v>0</v>
      </c>
      <c r="U394" s="6">
        <v>0</v>
      </c>
      <c r="V394" s="7">
        <v>0</v>
      </c>
      <c r="W394" s="9">
        <v>100</v>
      </c>
      <c r="X394" s="10">
        <f t="shared" si="106"/>
        <v>0</v>
      </c>
      <c r="Y394" s="12">
        <f t="shared" si="99"/>
        <v>639.30209199318563</v>
      </c>
      <c r="Z394" s="11">
        <f t="shared" si="100"/>
        <v>21.729553476362859</v>
      </c>
      <c r="AA394" s="6">
        <v>0</v>
      </c>
      <c r="AB394" s="6">
        <v>1</v>
      </c>
      <c r="AC394" s="6">
        <v>1</v>
      </c>
      <c r="AD394" s="7">
        <v>1</v>
      </c>
      <c r="AE394" s="9">
        <f t="shared" si="112"/>
        <v>85</v>
      </c>
      <c r="AF394" s="10">
        <f t="shared" si="107"/>
        <v>14</v>
      </c>
      <c r="AG394" s="12">
        <f t="shared" si="101"/>
        <v>553.15677819420785</v>
      </c>
      <c r="AH394" s="11">
        <f t="shared" si="102"/>
        <v>19.205764986158432</v>
      </c>
      <c r="AJ394" s="6">
        <f t="shared" si="108"/>
        <v>1000</v>
      </c>
      <c r="AK394" s="4">
        <v>377</v>
      </c>
      <c r="AM394" s="2" t="str">
        <f t="shared" si="103"/>
        <v>0</v>
      </c>
      <c r="AN394" s="2" t="str">
        <f t="shared" si="109"/>
        <v>3E8</v>
      </c>
      <c r="AO394" s="2"/>
      <c r="AP394" s="2" t="str">
        <f t="shared" si="110"/>
        <v>03E8</v>
      </c>
    </row>
    <row r="395" spans="1:42" x14ac:dyDescent="0.2">
      <c r="A395">
        <v>378</v>
      </c>
      <c r="B395">
        <v>37.700000000000003</v>
      </c>
      <c r="C395" s="6">
        <v>0</v>
      </c>
      <c r="D395" s="6">
        <v>0</v>
      </c>
      <c r="E395" s="6">
        <v>0</v>
      </c>
      <c r="F395" s="7">
        <v>0</v>
      </c>
      <c r="G395" s="9">
        <v>100</v>
      </c>
      <c r="H395" s="10">
        <f t="shared" si="104"/>
        <v>0</v>
      </c>
      <c r="I395" s="12">
        <f t="shared" si="95"/>
        <v>639.30209199318563</v>
      </c>
      <c r="J395" s="11">
        <f t="shared" si="96"/>
        <v>21.729553476362859</v>
      </c>
      <c r="K395" s="6">
        <v>0</v>
      </c>
      <c r="L395" s="6">
        <v>0</v>
      </c>
      <c r="M395" s="6">
        <v>0</v>
      </c>
      <c r="N395" s="7">
        <v>0</v>
      </c>
      <c r="O395" s="9">
        <v>100</v>
      </c>
      <c r="P395" s="10">
        <f t="shared" si="105"/>
        <v>0</v>
      </c>
      <c r="Q395" s="12">
        <f t="shared" si="97"/>
        <v>639.30209199318563</v>
      </c>
      <c r="R395" s="11">
        <f t="shared" si="98"/>
        <v>21.729553476362859</v>
      </c>
      <c r="S395" s="6">
        <v>0</v>
      </c>
      <c r="T395" s="6">
        <v>0</v>
      </c>
      <c r="U395" s="6">
        <v>0</v>
      </c>
      <c r="V395" s="7">
        <v>0</v>
      </c>
      <c r="W395" s="9">
        <v>100</v>
      </c>
      <c r="X395" s="10">
        <f t="shared" si="106"/>
        <v>0</v>
      </c>
      <c r="Y395" s="12">
        <f t="shared" si="99"/>
        <v>639.30209199318563</v>
      </c>
      <c r="Z395" s="11">
        <f t="shared" si="100"/>
        <v>21.729553476362859</v>
      </c>
      <c r="AA395" s="6">
        <v>0</v>
      </c>
      <c r="AB395" s="6">
        <v>1</v>
      </c>
      <c r="AC395" s="6">
        <v>1</v>
      </c>
      <c r="AD395" s="7">
        <v>1</v>
      </c>
      <c r="AE395" s="9">
        <f t="shared" si="112"/>
        <v>86.5</v>
      </c>
      <c r="AF395" s="10">
        <f t="shared" si="107"/>
        <v>14</v>
      </c>
      <c r="AG395" s="12">
        <f t="shared" si="101"/>
        <v>561.77130957410554</v>
      </c>
      <c r="AH395" s="11">
        <f t="shared" si="102"/>
        <v>19.458143835178873</v>
      </c>
      <c r="AJ395" s="6">
        <f t="shared" si="108"/>
        <v>1000</v>
      </c>
      <c r="AK395" s="4">
        <v>378</v>
      </c>
      <c r="AM395" s="2" t="str">
        <f t="shared" si="103"/>
        <v>0</v>
      </c>
      <c r="AN395" s="2" t="str">
        <f t="shared" si="109"/>
        <v>3E8</v>
      </c>
      <c r="AO395" s="2"/>
      <c r="AP395" s="2" t="str">
        <f t="shared" si="110"/>
        <v>03E8</v>
      </c>
    </row>
    <row r="396" spans="1:42" x14ac:dyDescent="0.2">
      <c r="A396">
        <v>379</v>
      </c>
      <c r="B396">
        <v>37.799999999999997</v>
      </c>
      <c r="C396" s="6">
        <v>0</v>
      </c>
      <c r="D396" s="6">
        <v>0</v>
      </c>
      <c r="E396" s="6">
        <v>0</v>
      </c>
      <c r="F396" s="7">
        <v>0</v>
      </c>
      <c r="G396" s="9">
        <v>100</v>
      </c>
      <c r="H396" s="10">
        <f t="shared" si="104"/>
        <v>0</v>
      </c>
      <c r="I396" s="12">
        <f t="shared" si="95"/>
        <v>639.30209199318563</v>
      </c>
      <c r="J396" s="11">
        <f t="shared" si="96"/>
        <v>21.729553476362859</v>
      </c>
      <c r="K396" s="6">
        <v>0</v>
      </c>
      <c r="L396" s="6">
        <v>0</v>
      </c>
      <c r="M396" s="6">
        <v>0</v>
      </c>
      <c r="N396" s="7">
        <v>0</v>
      </c>
      <c r="O396" s="9">
        <v>100</v>
      </c>
      <c r="P396" s="10">
        <f t="shared" si="105"/>
        <v>0</v>
      </c>
      <c r="Q396" s="12">
        <f t="shared" si="97"/>
        <v>639.30209199318563</v>
      </c>
      <c r="R396" s="11">
        <f t="shared" si="98"/>
        <v>21.729553476362859</v>
      </c>
      <c r="S396" s="6">
        <v>0</v>
      </c>
      <c r="T396" s="6">
        <v>0</v>
      </c>
      <c r="U396" s="6">
        <v>0</v>
      </c>
      <c r="V396" s="7">
        <v>0</v>
      </c>
      <c r="W396" s="9">
        <v>100</v>
      </c>
      <c r="X396" s="10">
        <f t="shared" si="106"/>
        <v>0</v>
      </c>
      <c r="Y396" s="12">
        <f t="shared" si="99"/>
        <v>639.30209199318563</v>
      </c>
      <c r="Z396" s="11">
        <f t="shared" si="100"/>
        <v>21.729553476362859</v>
      </c>
      <c r="AA396" s="6">
        <v>0</v>
      </c>
      <c r="AB396" s="6">
        <v>1</v>
      </c>
      <c r="AC396" s="6">
        <v>1</v>
      </c>
      <c r="AD396" s="7">
        <v>1</v>
      </c>
      <c r="AE396" s="9">
        <f t="shared" si="112"/>
        <v>88</v>
      </c>
      <c r="AF396" s="10">
        <f t="shared" si="107"/>
        <v>14</v>
      </c>
      <c r="AG396" s="12">
        <f t="shared" si="101"/>
        <v>570.38584095400347</v>
      </c>
      <c r="AH396" s="11">
        <f t="shared" si="102"/>
        <v>19.710522684199319</v>
      </c>
      <c r="AJ396" s="6">
        <f t="shared" si="108"/>
        <v>1000</v>
      </c>
      <c r="AK396" s="4">
        <v>379</v>
      </c>
      <c r="AM396" s="2" t="str">
        <f t="shared" si="103"/>
        <v>0</v>
      </c>
      <c r="AN396" s="2" t="str">
        <f t="shared" si="109"/>
        <v>3E8</v>
      </c>
      <c r="AO396" s="2"/>
      <c r="AP396" s="2" t="str">
        <f t="shared" si="110"/>
        <v>03E8</v>
      </c>
    </row>
    <row r="397" spans="1:42" x14ac:dyDescent="0.2">
      <c r="A397">
        <v>380</v>
      </c>
      <c r="B397">
        <v>37.9</v>
      </c>
      <c r="C397" s="6">
        <v>0</v>
      </c>
      <c r="D397" s="6">
        <v>0</v>
      </c>
      <c r="E397" s="6">
        <v>0</v>
      </c>
      <c r="F397" s="7">
        <v>0</v>
      </c>
      <c r="G397" s="9">
        <v>100</v>
      </c>
      <c r="H397" s="10">
        <f t="shared" si="104"/>
        <v>0</v>
      </c>
      <c r="I397" s="12">
        <f t="shared" si="95"/>
        <v>639.30209199318563</v>
      </c>
      <c r="J397" s="11">
        <f t="shared" si="96"/>
        <v>21.729553476362859</v>
      </c>
      <c r="K397" s="6">
        <v>0</v>
      </c>
      <c r="L397" s="6">
        <v>0</v>
      </c>
      <c r="M397" s="6">
        <v>0</v>
      </c>
      <c r="N397" s="7">
        <v>0</v>
      </c>
      <c r="O397" s="9">
        <v>100</v>
      </c>
      <c r="P397" s="10">
        <f t="shared" si="105"/>
        <v>0</v>
      </c>
      <c r="Q397" s="12">
        <f t="shared" si="97"/>
        <v>639.30209199318563</v>
      </c>
      <c r="R397" s="11">
        <f t="shared" si="98"/>
        <v>21.729553476362859</v>
      </c>
      <c r="S397" s="6">
        <v>0</v>
      </c>
      <c r="T397" s="6">
        <v>0</v>
      </c>
      <c r="U397" s="6">
        <v>0</v>
      </c>
      <c r="V397" s="7">
        <v>0</v>
      </c>
      <c r="W397" s="9">
        <v>100</v>
      </c>
      <c r="X397" s="10">
        <f t="shared" si="106"/>
        <v>0</v>
      </c>
      <c r="Y397" s="12">
        <f t="shared" si="99"/>
        <v>639.30209199318563</v>
      </c>
      <c r="Z397" s="11">
        <f t="shared" si="100"/>
        <v>21.729553476362859</v>
      </c>
      <c r="AA397" s="6">
        <v>0</v>
      </c>
      <c r="AB397" s="6">
        <v>1</v>
      </c>
      <c r="AC397" s="6">
        <v>1</v>
      </c>
      <c r="AD397" s="7">
        <v>1</v>
      </c>
      <c r="AE397" s="9">
        <f t="shared" si="112"/>
        <v>89.5</v>
      </c>
      <c r="AF397" s="10">
        <f t="shared" si="107"/>
        <v>14</v>
      </c>
      <c r="AG397" s="12">
        <f t="shared" si="101"/>
        <v>579.00037233390117</v>
      </c>
      <c r="AH397" s="11">
        <f t="shared" si="102"/>
        <v>19.962901533219764</v>
      </c>
      <c r="AJ397" s="6">
        <f t="shared" si="108"/>
        <v>1000</v>
      </c>
      <c r="AK397" s="4">
        <v>380</v>
      </c>
      <c r="AM397" s="2" t="str">
        <f t="shared" si="103"/>
        <v>0</v>
      </c>
      <c r="AN397" s="2" t="str">
        <f t="shared" si="109"/>
        <v>3E8</v>
      </c>
      <c r="AO397" s="2"/>
      <c r="AP397" s="2" t="str">
        <f t="shared" si="110"/>
        <v>03E8</v>
      </c>
    </row>
    <row r="398" spans="1:42" x14ac:dyDescent="0.2">
      <c r="A398">
        <v>381</v>
      </c>
      <c r="B398">
        <v>38</v>
      </c>
      <c r="C398" s="6">
        <v>0</v>
      </c>
      <c r="D398" s="6">
        <v>0</v>
      </c>
      <c r="E398" s="6">
        <v>0</v>
      </c>
      <c r="F398" s="7">
        <v>0</v>
      </c>
      <c r="G398" s="9">
        <v>100</v>
      </c>
      <c r="H398" s="10">
        <f t="shared" si="104"/>
        <v>0</v>
      </c>
      <c r="I398" s="12">
        <f t="shared" si="95"/>
        <v>639.30209199318563</v>
      </c>
      <c r="J398" s="11">
        <f t="shared" si="96"/>
        <v>21.729553476362859</v>
      </c>
      <c r="K398" s="6">
        <v>0</v>
      </c>
      <c r="L398" s="6">
        <v>0</v>
      </c>
      <c r="M398" s="6">
        <v>0</v>
      </c>
      <c r="N398" s="7">
        <v>0</v>
      </c>
      <c r="O398" s="9">
        <v>100</v>
      </c>
      <c r="P398" s="10">
        <f t="shared" si="105"/>
        <v>0</v>
      </c>
      <c r="Q398" s="12">
        <f t="shared" si="97"/>
        <v>639.30209199318563</v>
      </c>
      <c r="R398" s="11">
        <f t="shared" si="98"/>
        <v>21.729553476362859</v>
      </c>
      <c r="S398" s="6">
        <v>0</v>
      </c>
      <c r="T398" s="6">
        <v>0</v>
      </c>
      <c r="U398" s="6">
        <v>0</v>
      </c>
      <c r="V398" s="7">
        <v>0</v>
      </c>
      <c r="W398" s="9">
        <v>100</v>
      </c>
      <c r="X398" s="10">
        <f t="shared" si="106"/>
        <v>0</v>
      </c>
      <c r="Y398" s="12">
        <f t="shared" si="99"/>
        <v>639.30209199318563</v>
      </c>
      <c r="Z398" s="11">
        <f t="shared" si="100"/>
        <v>21.729553476362859</v>
      </c>
      <c r="AA398" s="6">
        <v>0</v>
      </c>
      <c r="AB398" s="6">
        <v>1</v>
      </c>
      <c r="AC398" s="6">
        <v>1</v>
      </c>
      <c r="AD398" s="7">
        <v>1</v>
      </c>
      <c r="AE398" s="9">
        <f t="shared" si="112"/>
        <v>91</v>
      </c>
      <c r="AF398" s="10">
        <f t="shared" si="107"/>
        <v>14</v>
      </c>
      <c r="AG398" s="12">
        <f t="shared" si="101"/>
        <v>587.61490371379898</v>
      </c>
      <c r="AH398" s="11">
        <f t="shared" si="102"/>
        <v>20.215280382240202</v>
      </c>
      <c r="AJ398" s="6">
        <f t="shared" si="108"/>
        <v>1000</v>
      </c>
      <c r="AK398" s="4">
        <v>381</v>
      </c>
      <c r="AM398" s="2" t="str">
        <f t="shared" si="103"/>
        <v>0</v>
      </c>
      <c r="AN398" s="2" t="str">
        <f t="shared" si="109"/>
        <v>3E8</v>
      </c>
      <c r="AO398" s="2"/>
      <c r="AP398" s="2" t="str">
        <f t="shared" si="110"/>
        <v>03E8</v>
      </c>
    </row>
    <row r="399" spans="1:42" x14ac:dyDescent="0.2">
      <c r="A399">
        <v>382</v>
      </c>
      <c r="B399">
        <v>38.1</v>
      </c>
      <c r="C399" s="6">
        <v>0</v>
      </c>
      <c r="D399" s="6">
        <v>0</v>
      </c>
      <c r="E399" s="6">
        <v>0</v>
      </c>
      <c r="F399" s="7">
        <v>0</v>
      </c>
      <c r="G399" s="9">
        <v>100</v>
      </c>
      <c r="H399" s="10">
        <f t="shared" si="104"/>
        <v>0</v>
      </c>
      <c r="I399" s="12">
        <f t="shared" si="95"/>
        <v>639.30209199318563</v>
      </c>
      <c r="J399" s="11">
        <f t="shared" si="96"/>
        <v>21.729553476362859</v>
      </c>
      <c r="K399" s="6">
        <v>0</v>
      </c>
      <c r="L399" s="6">
        <v>0</v>
      </c>
      <c r="M399" s="6">
        <v>0</v>
      </c>
      <c r="N399" s="7">
        <v>0</v>
      </c>
      <c r="O399" s="9">
        <v>100</v>
      </c>
      <c r="P399" s="10">
        <f t="shared" si="105"/>
        <v>0</v>
      </c>
      <c r="Q399" s="12">
        <f t="shared" si="97"/>
        <v>639.30209199318563</v>
      </c>
      <c r="R399" s="11">
        <f t="shared" si="98"/>
        <v>21.729553476362859</v>
      </c>
      <c r="S399" s="6">
        <v>0</v>
      </c>
      <c r="T399" s="6">
        <v>0</v>
      </c>
      <c r="U399" s="6">
        <v>0</v>
      </c>
      <c r="V399" s="7">
        <v>0</v>
      </c>
      <c r="W399" s="9">
        <v>100</v>
      </c>
      <c r="X399" s="10">
        <f t="shared" si="106"/>
        <v>0</v>
      </c>
      <c r="Y399" s="12">
        <f t="shared" si="99"/>
        <v>639.30209199318563</v>
      </c>
      <c r="Z399" s="11">
        <f t="shared" si="100"/>
        <v>21.729553476362859</v>
      </c>
      <c r="AA399" s="6">
        <v>0</v>
      </c>
      <c r="AB399" s="6">
        <v>1</v>
      </c>
      <c r="AC399" s="6">
        <v>1</v>
      </c>
      <c r="AD399" s="7">
        <v>1</v>
      </c>
      <c r="AE399" s="9">
        <f t="shared" si="112"/>
        <v>92.5</v>
      </c>
      <c r="AF399" s="10">
        <f t="shared" si="107"/>
        <v>14</v>
      </c>
      <c r="AG399" s="12">
        <f t="shared" si="101"/>
        <v>596.22943509369679</v>
      </c>
      <c r="AH399" s="11">
        <f t="shared" si="102"/>
        <v>20.467659231260647</v>
      </c>
      <c r="AJ399" s="6">
        <f t="shared" si="108"/>
        <v>1000</v>
      </c>
      <c r="AK399" s="4">
        <v>382</v>
      </c>
      <c r="AM399" s="2" t="str">
        <f t="shared" si="103"/>
        <v>0</v>
      </c>
      <c r="AN399" s="2" t="str">
        <f t="shared" si="109"/>
        <v>3E8</v>
      </c>
      <c r="AO399" s="2"/>
      <c r="AP399" s="2" t="str">
        <f t="shared" si="110"/>
        <v>03E8</v>
      </c>
    </row>
    <row r="400" spans="1:42" x14ac:dyDescent="0.2">
      <c r="A400">
        <v>383</v>
      </c>
      <c r="B400">
        <v>38.200000000000003</v>
      </c>
      <c r="C400" s="6">
        <v>0</v>
      </c>
      <c r="D400" s="6">
        <v>0</v>
      </c>
      <c r="E400" s="6">
        <v>0</v>
      </c>
      <c r="F400" s="7">
        <v>0</v>
      </c>
      <c r="G400" s="9">
        <v>100</v>
      </c>
      <c r="H400" s="10">
        <f t="shared" si="104"/>
        <v>0</v>
      </c>
      <c r="I400" s="12">
        <f t="shared" si="95"/>
        <v>639.30209199318563</v>
      </c>
      <c r="J400" s="11">
        <f t="shared" si="96"/>
        <v>21.729553476362859</v>
      </c>
      <c r="K400" s="6">
        <v>0</v>
      </c>
      <c r="L400" s="6">
        <v>0</v>
      </c>
      <c r="M400" s="6">
        <v>0</v>
      </c>
      <c r="N400" s="7">
        <v>0</v>
      </c>
      <c r="O400" s="9">
        <v>100</v>
      </c>
      <c r="P400" s="10">
        <f t="shared" si="105"/>
        <v>0</v>
      </c>
      <c r="Q400" s="12">
        <f t="shared" si="97"/>
        <v>639.30209199318563</v>
      </c>
      <c r="R400" s="11">
        <f t="shared" si="98"/>
        <v>21.729553476362859</v>
      </c>
      <c r="S400" s="6">
        <v>0</v>
      </c>
      <c r="T400" s="6">
        <v>0</v>
      </c>
      <c r="U400" s="6">
        <v>0</v>
      </c>
      <c r="V400" s="7">
        <v>0</v>
      </c>
      <c r="W400" s="9">
        <v>100</v>
      </c>
      <c r="X400" s="10">
        <f t="shared" si="106"/>
        <v>0</v>
      </c>
      <c r="Y400" s="12">
        <f t="shared" si="99"/>
        <v>639.30209199318563</v>
      </c>
      <c r="Z400" s="11">
        <f t="shared" si="100"/>
        <v>21.729553476362859</v>
      </c>
      <c r="AA400" s="6">
        <v>0</v>
      </c>
      <c r="AB400" s="6">
        <v>1</v>
      </c>
      <c r="AC400" s="6">
        <v>1</v>
      </c>
      <c r="AD400" s="7">
        <v>1</v>
      </c>
      <c r="AE400" s="9">
        <f t="shared" si="112"/>
        <v>94</v>
      </c>
      <c r="AF400" s="10">
        <f t="shared" si="107"/>
        <v>14</v>
      </c>
      <c r="AG400" s="12">
        <f t="shared" si="101"/>
        <v>604.84396647359449</v>
      </c>
      <c r="AH400" s="11">
        <f t="shared" si="102"/>
        <v>20.720038080281086</v>
      </c>
      <c r="AJ400" s="6">
        <f t="shared" si="108"/>
        <v>1000</v>
      </c>
      <c r="AK400" s="4">
        <v>383</v>
      </c>
      <c r="AM400" s="2" t="str">
        <f t="shared" si="103"/>
        <v>0</v>
      </c>
      <c r="AN400" s="2" t="str">
        <f>DEC2HEX(AJ400,3)</f>
        <v>3E8</v>
      </c>
      <c r="AO400" s="2"/>
      <c r="AP400" s="2" t="str">
        <f t="shared" si="110"/>
        <v>03E8</v>
      </c>
    </row>
    <row r="401" spans="1:42" x14ac:dyDescent="0.2">
      <c r="A401">
        <v>384</v>
      </c>
      <c r="B401">
        <v>38.299999999999997</v>
      </c>
      <c r="C401" s="6">
        <v>0</v>
      </c>
      <c r="D401" s="6">
        <v>0</v>
      </c>
      <c r="E401" s="6">
        <v>0</v>
      </c>
      <c r="F401" s="7">
        <v>0</v>
      </c>
      <c r="G401" s="9">
        <v>100</v>
      </c>
      <c r="H401" s="10">
        <f t="shared" si="104"/>
        <v>0</v>
      </c>
      <c r="I401" s="12">
        <f t="shared" si="95"/>
        <v>639.30209199318563</v>
      </c>
      <c r="J401" s="11">
        <f t="shared" si="96"/>
        <v>21.729553476362859</v>
      </c>
      <c r="K401" s="6">
        <v>0</v>
      </c>
      <c r="L401" s="6">
        <v>0</v>
      </c>
      <c r="M401" s="6">
        <v>0</v>
      </c>
      <c r="N401" s="7">
        <v>0</v>
      </c>
      <c r="O401" s="9">
        <v>100</v>
      </c>
      <c r="P401" s="10">
        <f t="shared" si="105"/>
        <v>0</v>
      </c>
      <c r="Q401" s="12">
        <f t="shared" si="97"/>
        <v>639.30209199318563</v>
      </c>
      <c r="R401" s="11">
        <f t="shared" si="98"/>
        <v>21.729553476362859</v>
      </c>
      <c r="S401" s="6">
        <v>0</v>
      </c>
      <c r="T401" s="6">
        <v>0</v>
      </c>
      <c r="U401" s="6">
        <v>0</v>
      </c>
      <c r="V401" s="7">
        <v>0</v>
      </c>
      <c r="W401" s="9">
        <v>100</v>
      </c>
      <c r="X401" s="10">
        <f t="shared" si="106"/>
        <v>0</v>
      </c>
      <c r="Y401" s="12">
        <f t="shared" si="99"/>
        <v>639.30209199318563</v>
      </c>
      <c r="Z401" s="11">
        <f t="shared" si="100"/>
        <v>21.729553476362859</v>
      </c>
      <c r="AA401" s="6">
        <v>0</v>
      </c>
      <c r="AB401" s="6">
        <v>1</v>
      </c>
      <c r="AC401" s="6">
        <v>1</v>
      </c>
      <c r="AD401" s="7">
        <v>1</v>
      </c>
      <c r="AE401" s="9">
        <f t="shared" si="112"/>
        <v>95.5</v>
      </c>
      <c r="AF401" s="10">
        <f t="shared" si="107"/>
        <v>14</v>
      </c>
      <c r="AG401" s="12">
        <f t="shared" si="101"/>
        <v>613.4584978534923</v>
      </c>
      <c r="AH401" s="11">
        <f t="shared" si="102"/>
        <v>20.972416929301531</v>
      </c>
      <c r="AJ401" s="6">
        <f t="shared" si="108"/>
        <v>1000</v>
      </c>
      <c r="AK401" s="4">
        <v>384</v>
      </c>
      <c r="AM401" s="2" t="str">
        <f t="shared" si="103"/>
        <v>0</v>
      </c>
      <c r="AN401" s="2" t="str">
        <f t="shared" si="109"/>
        <v>3E8</v>
      </c>
      <c r="AO401" s="2"/>
      <c r="AP401" s="2" t="str">
        <f t="shared" si="110"/>
        <v>03E8</v>
      </c>
    </row>
    <row r="402" spans="1:42" x14ac:dyDescent="0.2">
      <c r="A402">
        <v>385</v>
      </c>
      <c r="B402">
        <v>38.4</v>
      </c>
      <c r="C402" s="6">
        <v>0</v>
      </c>
      <c r="D402" s="6">
        <v>0</v>
      </c>
      <c r="E402" s="6">
        <v>0</v>
      </c>
      <c r="F402" s="7">
        <v>0</v>
      </c>
      <c r="G402" s="9">
        <v>100</v>
      </c>
      <c r="H402" s="10">
        <f t="shared" si="104"/>
        <v>0</v>
      </c>
      <c r="I402" s="12">
        <f t="shared" ref="I402:I465" si="113">PH_FIRE_VOLTAGE_OFFSET + 1023*(G402/100*G$16*$I$7+$I$6)*$S$10/(PH_FIRE_VOLTAGE_AMPLITUDE*0.01)</f>
        <v>639.30209199318563</v>
      </c>
      <c r="J402" s="11">
        <f t="shared" ref="J402:J465" si="114">I402/(DAC_LIMIT_MAX-DAC_LIMIT_MIN+1)*GAIN_PREAMP*GAIN_POWERAMP+OFFSET_AMP</f>
        <v>21.729553476362859</v>
      </c>
      <c r="K402" s="6">
        <v>0</v>
      </c>
      <c r="L402" s="6">
        <v>0</v>
      </c>
      <c r="M402" s="6">
        <v>0</v>
      </c>
      <c r="N402" s="7">
        <v>0</v>
      </c>
      <c r="O402" s="9">
        <v>100</v>
      </c>
      <c r="P402" s="10">
        <f t="shared" si="105"/>
        <v>0</v>
      </c>
      <c r="Q402" s="12">
        <f t="shared" ref="Q402:Q465" si="115">PH_FIRE_VOLTAGE_OFFSET + 1023*(O402/100*O$16*$I$7+$I$6)*$S$10/(PH_FIRE_VOLTAGE_AMPLITUDE*0.01)</f>
        <v>639.30209199318563</v>
      </c>
      <c r="R402" s="11">
        <f t="shared" ref="R402:R465" si="116">Q402/(DAC_LIMIT_MAX-DAC_LIMIT_MIN+1)*GAIN_PREAMP*GAIN_POWERAMP+OFFSET_AMP</f>
        <v>21.729553476362859</v>
      </c>
      <c r="S402" s="6">
        <v>0</v>
      </c>
      <c r="T402" s="6">
        <v>0</v>
      </c>
      <c r="U402" s="6">
        <v>0</v>
      </c>
      <c r="V402" s="7">
        <v>0</v>
      </c>
      <c r="W402" s="9">
        <v>100</v>
      </c>
      <c r="X402" s="10">
        <f t="shared" si="106"/>
        <v>0</v>
      </c>
      <c r="Y402" s="12">
        <f t="shared" ref="Y402:Y465" si="117">PH_FIRE_VOLTAGE_OFFSET + 1023*(W402/100*W$16*$I$7+$I$6)*$S$10/(PH_FIRE_VOLTAGE_AMPLITUDE*0.01)</f>
        <v>639.30209199318563</v>
      </c>
      <c r="Z402" s="11">
        <f t="shared" ref="Z402:Z465" si="118">Y402/(DAC_LIMIT_MAX-DAC_LIMIT_MIN+1)*GAIN_PREAMP*GAIN_POWERAMP+OFFSET_AMP</f>
        <v>21.729553476362859</v>
      </c>
      <c r="AA402" s="6">
        <v>0</v>
      </c>
      <c r="AB402" s="6">
        <v>1</v>
      </c>
      <c r="AC402" s="6">
        <v>1</v>
      </c>
      <c r="AD402" s="7">
        <v>1</v>
      </c>
      <c r="AE402" s="9">
        <f t="shared" si="112"/>
        <v>97</v>
      </c>
      <c r="AF402" s="10">
        <f t="shared" si="107"/>
        <v>14</v>
      </c>
      <c r="AG402" s="12">
        <f t="shared" ref="AG402:AG465" si="119">PH_FIRE_VOLTAGE_OFFSET + 1023*(AE402/100*AE$16*$I$7+$I$6)*$S$10/(PH_FIRE_VOLTAGE_AMPLITUDE*0.01)</f>
        <v>622.07302923339012</v>
      </c>
      <c r="AH402" s="11">
        <f t="shared" ref="AH402:AH465" si="120">AG402/(DAC_LIMIT_MAX-DAC_LIMIT_MIN+1)*GAIN_PREAMP*GAIN_POWERAMP+OFFSET_AMP</f>
        <v>21.224795778321976</v>
      </c>
      <c r="AJ402" s="6">
        <f t="shared" si="108"/>
        <v>1000</v>
      </c>
      <c r="AK402" s="4">
        <v>385</v>
      </c>
      <c r="AM402" s="2" t="str">
        <f t="shared" ref="AM402:AM465" si="121">BIN2HEX(C402+10*D402+100*E402+1000*F402,1)</f>
        <v>0</v>
      </c>
      <c r="AN402" s="2" t="str">
        <f t="shared" si="109"/>
        <v>3E8</v>
      </c>
      <c r="AO402" s="2"/>
      <c r="AP402" s="2" t="str">
        <f t="shared" si="110"/>
        <v>03E8</v>
      </c>
    </row>
    <row r="403" spans="1:42" x14ac:dyDescent="0.2">
      <c r="A403">
        <v>386</v>
      </c>
      <c r="B403">
        <v>38.5</v>
      </c>
      <c r="C403" s="6">
        <v>0</v>
      </c>
      <c r="D403" s="6">
        <v>0</v>
      </c>
      <c r="E403" s="6">
        <v>0</v>
      </c>
      <c r="F403" s="7">
        <v>0</v>
      </c>
      <c r="G403" s="9">
        <v>100</v>
      </c>
      <c r="H403" s="10">
        <f t="shared" ref="H403:H466" si="122">BIN2DEC(C403+10*D403+100*E403+1000*F403)</f>
        <v>0</v>
      </c>
      <c r="I403" s="12">
        <f t="shared" si="113"/>
        <v>639.30209199318563</v>
      </c>
      <c r="J403" s="11">
        <f t="shared" si="114"/>
        <v>21.729553476362859</v>
      </c>
      <c r="K403" s="6">
        <v>0</v>
      </c>
      <c r="L403" s="6">
        <v>0</v>
      </c>
      <c r="M403" s="6">
        <v>0</v>
      </c>
      <c r="N403" s="7">
        <v>0</v>
      </c>
      <c r="O403" s="9">
        <v>100</v>
      </c>
      <c r="P403" s="10">
        <f t="shared" ref="P403:P466" si="123">BIN2DEC(K403+10*L403+100*M403+1000*N403)</f>
        <v>0</v>
      </c>
      <c r="Q403" s="12">
        <f t="shared" si="115"/>
        <v>639.30209199318563</v>
      </c>
      <c r="R403" s="11">
        <f t="shared" si="116"/>
        <v>21.729553476362859</v>
      </c>
      <c r="S403" s="6">
        <v>0</v>
      </c>
      <c r="T403" s="6">
        <v>0</v>
      </c>
      <c r="U403" s="6">
        <v>0</v>
      </c>
      <c r="V403" s="7">
        <v>0</v>
      </c>
      <c r="W403" s="9">
        <v>100</v>
      </c>
      <c r="X403" s="10">
        <f t="shared" ref="X403:X466" si="124">BIN2DEC(S403+10*T403+100*U403+1000*V403)</f>
        <v>0</v>
      </c>
      <c r="Y403" s="12">
        <f t="shared" si="117"/>
        <v>639.30209199318563</v>
      </c>
      <c r="Z403" s="11">
        <f t="shared" si="118"/>
        <v>21.729553476362859</v>
      </c>
      <c r="AA403" s="6">
        <v>0</v>
      </c>
      <c r="AB403" s="6">
        <v>1</v>
      </c>
      <c r="AC403" s="6">
        <v>1</v>
      </c>
      <c r="AD403" s="7">
        <v>1</v>
      </c>
      <c r="AE403" s="9">
        <f t="shared" si="112"/>
        <v>98.5</v>
      </c>
      <c r="AF403" s="10">
        <f t="shared" ref="AF403:AF466" si="125">BIN2DEC(AA403+10*AB403+100*AC403+1000*AD403)</f>
        <v>14</v>
      </c>
      <c r="AG403" s="12">
        <f t="shared" si="119"/>
        <v>630.68756061328793</v>
      </c>
      <c r="AH403" s="11">
        <f t="shared" si="120"/>
        <v>21.477174627342421</v>
      </c>
      <c r="AJ403" s="6">
        <f t="shared" ref="AJ403:AJ466" si="126">ROUNDDOWN(($G403*$G$16+$I$6*100)*10,0)</f>
        <v>1000</v>
      </c>
      <c r="AK403" s="4">
        <v>386</v>
      </c>
      <c r="AM403" s="2" t="str">
        <f t="shared" si="121"/>
        <v>0</v>
      </c>
      <c r="AN403" s="2" t="str">
        <f t="shared" ref="AN403:AN466" si="127">DEC2HEX(AJ403,3)</f>
        <v>3E8</v>
      </c>
      <c r="AO403" s="2"/>
      <c r="AP403" s="2" t="str">
        <f t="shared" ref="AP403:AP466" si="128">CONCATENATE(AM403,AN403)</f>
        <v>03E8</v>
      </c>
    </row>
    <row r="404" spans="1:42" x14ac:dyDescent="0.2">
      <c r="A404">
        <v>387</v>
      </c>
      <c r="B404">
        <v>38.6</v>
      </c>
      <c r="C404" s="6">
        <v>0</v>
      </c>
      <c r="D404" s="6">
        <v>0</v>
      </c>
      <c r="E404" s="6">
        <v>0</v>
      </c>
      <c r="F404" s="7">
        <v>0</v>
      </c>
      <c r="G404" s="9">
        <v>100</v>
      </c>
      <c r="H404" s="10">
        <f t="shared" si="122"/>
        <v>0</v>
      </c>
      <c r="I404" s="12">
        <f t="shared" si="113"/>
        <v>639.30209199318563</v>
      </c>
      <c r="J404" s="11">
        <f t="shared" si="114"/>
        <v>21.729553476362859</v>
      </c>
      <c r="K404" s="6">
        <v>0</v>
      </c>
      <c r="L404" s="6">
        <v>0</v>
      </c>
      <c r="M404" s="6">
        <v>0</v>
      </c>
      <c r="N404" s="7">
        <v>0</v>
      </c>
      <c r="O404" s="9">
        <v>100</v>
      </c>
      <c r="P404" s="10">
        <f t="shared" si="123"/>
        <v>0</v>
      </c>
      <c r="Q404" s="12">
        <f t="shared" si="115"/>
        <v>639.30209199318563</v>
      </c>
      <c r="R404" s="11">
        <f t="shared" si="116"/>
        <v>21.729553476362859</v>
      </c>
      <c r="S404" s="6">
        <v>0</v>
      </c>
      <c r="T404" s="6">
        <v>0</v>
      </c>
      <c r="U404" s="6">
        <v>0</v>
      </c>
      <c r="V404" s="7">
        <v>0</v>
      </c>
      <c r="W404" s="9">
        <v>100</v>
      </c>
      <c r="X404" s="10">
        <f t="shared" si="124"/>
        <v>0</v>
      </c>
      <c r="Y404" s="12">
        <f t="shared" si="117"/>
        <v>639.30209199318563</v>
      </c>
      <c r="Z404" s="11">
        <f t="shared" si="118"/>
        <v>21.729553476362859</v>
      </c>
      <c r="AA404" s="6">
        <v>0</v>
      </c>
      <c r="AB404" s="6">
        <v>1</v>
      </c>
      <c r="AC404" s="6">
        <v>1</v>
      </c>
      <c r="AD404" s="7">
        <v>1</v>
      </c>
      <c r="AE404" s="9">
        <f t="shared" si="112"/>
        <v>100</v>
      </c>
      <c r="AF404" s="10">
        <f t="shared" si="125"/>
        <v>14</v>
      </c>
      <c r="AG404" s="12">
        <f t="shared" si="119"/>
        <v>639.30209199318563</v>
      </c>
      <c r="AH404" s="11">
        <f t="shared" si="120"/>
        <v>21.729553476362859</v>
      </c>
      <c r="AJ404" s="6">
        <f t="shared" si="126"/>
        <v>1000</v>
      </c>
      <c r="AK404" s="4">
        <v>387</v>
      </c>
      <c r="AM404" s="2" t="str">
        <f t="shared" si="121"/>
        <v>0</v>
      </c>
      <c r="AN404" s="2" t="str">
        <f t="shared" si="127"/>
        <v>3E8</v>
      </c>
      <c r="AO404" s="2"/>
      <c r="AP404" s="2" t="str">
        <f t="shared" si="128"/>
        <v>03E8</v>
      </c>
    </row>
    <row r="405" spans="1:42" x14ac:dyDescent="0.2">
      <c r="A405">
        <v>388</v>
      </c>
      <c r="B405">
        <v>38.700000000000003</v>
      </c>
      <c r="C405" s="6">
        <v>0</v>
      </c>
      <c r="D405" s="6">
        <v>0</v>
      </c>
      <c r="E405" s="6">
        <v>0</v>
      </c>
      <c r="F405" s="7">
        <v>0</v>
      </c>
      <c r="G405" s="9">
        <v>100</v>
      </c>
      <c r="H405" s="10">
        <f t="shared" si="122"/>
        <v>0</v>
      </c>
      <c r="I405" s="12">
        <f t="shared" si="113"/>
        <v>639.30209199318563</v>
      </c>
      <c r="J405" s="11">
        <f t="shared" si="114"/>
        <v>21.729553476362859</v>
      </c>
      <c r="K405" s="6">
        <v>0</v>
      </c>
      <c r="L405" s="6">
        <v>0</v>
      </c>
      <c r="M405" s="6">
        <v>0</v>
      </c>
      <c r="N405" s="7">
        <v>0</v>
      </c>
      <c r="O405" s="9">
        <v>100</v>
      </c>
      <c r="P405" s="10">
        <f t="shared" si="123"/>
        <v>0</v>
      </c>
      <c r="Q405" s="12">
        <f t="shared" si="115"/>
        <v>639.30209199318563</v>
      </c>
      <c r="R405" s="11">
        <f t="shared" si="116"/>
        <v>21.729553476362859</v>
      </c>
      <c r="S405" s="6">
        <v>0</v>
      </c>
      <c r="T405" s="6">
        <v>0</v>
      </c>
      <c r="U405" s="6">
        <v>0</v>
      </c>
      <c r="V405" s="7">
        <v>0</v>
      </c>
      <c r="W405" s="9">
        <v>100</v>
      </c>
      <c r="X405" s="10">
        <f t="shared" si="124"/>
        <v>0</v>
      </c>
      <c r="Y405" s="12">
        <f t="shared" si="117"/>
        <v>639.30209199318563</v>
      </c>
      <c r="Z405" s="11">
        <f t="shared" si="118"/>
        <v>21.729553476362859</v>
      </c>
      <c r="AA405" s="6">
        <v>0</v>
      </c>
      <c r="AB405" s="6">
        <v>1</v>
      </c>
      <c r="AC405" s="6">
        <v>1</v>
      </c>
      <c r="AD405" s="7">
        <v>1</v>
      </c>
      <c r="AE405" s="9">
        <v>100</v>
      </c>
      <c r="AF405" s="10">
        <f t="shared" si="125"/>
        <v>14</v>
      </c>
      <c r="AG405" s="12">
        <f t="shared" si="119"/>
        <v>639.30209199318563</v>
      </c>
      <c r="AH405" s="11">
        <f t="shared" si="120"/>
        <v>21.729553476362859</v>
      </c>
      <c r="AJ405" s="6">
        <f t="shared" si="126"/>
        <v>1000</v>
      </c>
      <c r="AK405" s="4">
        <v>388</v>
      </c>
      <c r="AM405" s="2" t="str">
        <f t="shared" si="121"/>
        <v>0</v>
      </c>
      <c r="AN405" s="2" t="str">
        <f t="shared" si="127"/>
        <v>3E8</v>
      </c>
      <c r="AO405" s="2"/>
      <c r="AP405" s="2" t="str">
        <f t="shared" si="128"/>
        <v>03E8</v>
      </c>
    </row>
    <row r="406" spans="1:42" x14ac:dyDescent="0.2">
      <c r="A406">
        <v>389</v>
      </c>
      <c r="B406">
        <v>38.799999999999997</v>
      </c>
      <c r="C406" s="6">
        <v>0</v>
      </c>
      <c r="D406" s="6">
        <v>0</v>
      </c>
      <c r="E406" s="6">
        <v>0</v>
      </c>
      <c r="F406" s="7">
        <v>0</v>
      </c>
      <c r="G406" s="9">
        <v>100</v>
      </c>
      <c r="H406" s="10">
        <f t="shared" si="122"/>
        <v>0</v>
      </c>
      <c r="I406" s="12">
        <f t="shared" si="113"/>
        <v>639.30209199318563</v>
      </c>
      <c r="J406" s="11">
        <f t="shared" si="114"/>
        <v>21.729553476362859</v>
      </c>
      <c r="K406" s="6">
        <v>0</v>
      </c>
      <c r="L406" s="6">
        <v>0</v>
      </c>
      <c r="M406" s="6">
        <v>0</v>
      </c>
      <c r="N406" s="7">
        <v>0</v>
      </c>
      <c r="O406" s="9">
        <v>100</v>
      </c>
      <c r="P406" s="10">
        <f t="shared" si="123"/>
        <v>0</v>
      </c>
      <c r="Q406" s="12">
        <f t="shared" si="115"/>
        <v>639.30209199318563</v>
      </c>
      <c r="R406" s="11">
        <f t="shared" si="116"/>
        <v>21.729553476362859</v>
      </c>
      <c r="S406" s="6">
        <v>0</v>
      </c>
      <c r="T406" s="6">
        <v>0</v>
      </c>
      <c r="U406" s="6">
        <v>0</v>
      </c>
      <c r="V406" s="7">
        <v>0</v>
      </c>
      <c r="W406" s="9">
        <v>100</v>
      </c>
      <c r="X406" s="10">
        <f t="shared" si="124"/>
        <v>0</v>
      </c>
      <c r="Y406" s="12">
        <f t="shared" si="117"/>
        <v>639.30209199318563</v>
      </c>
      <c r="Z406" s="11">
        <f t="shared" si="118"/>
        <v>21.729553476362859</v>
      </c>
      <c r="AA406" s="6">
        <v>0</v>
      </c>
      <c r="AB406" s="6">
        <v>1</v>
      </c>
      <c r="AC406" s="6">
        <v>1</v>
      </c>
      <c r="AD406" s="7">
        <v>1</v>
      </c>
      <c r="AE406" s="9">
        <v>100</v>
      </c>
      <c r="AF406" s="10">
        <f t="shared" si="125"/>
        <v>14</v>
      </c>
      <c r="AG406" s="12">
        <f t="shared" si="119"/>
        <v>639.30209199318563</v>
      </c>
      <c r="AH406" s="11">
        <f t="shared" si="120"/>
        <v>21.729553476362859</v>
      </c>
      <c r="AJ406" s="6">
        <f t="shared" si="126"/>
        <v>1000</v>
      </c>
      <c r="AK406" s="4">
        <v>389</v>
      </c>
      <c r="AM406" s="2" t="str">
        <f t="shared" si="121"/>
        <v>0</v>
      </c>
      <c r="AN406" s="2" t="str">
        <f t="shared" si="127"/>
        <v>3E8</v>
      </c>
      <c r="AO406" s="2"/>
      <c r="AP406" s="2" t="str">
        <f t="shared" si="128"/>
        <v>03E8</v>
      </c>
    </row>
    <row r="407" spans="1:42" x14ac:dyDescent="0.2">
      <c r="A407">
        <v>390</v>
      </c>
      <c r="B407">
        <v>38.9</v>
      </c>
      <c r="C407" s="6">
        <v>0</v>
      </c>
      <c r="D407" s="6">
        <v>0</v>
      </c>
      <c r="E407" s="6">
        <v>0</v>
      </c>
      <c r="F407" s="7">
        <v>0</v>
      </c>
      <c r="G407" s="9">
        <v>100</v>
      </c>
      <c r="H407" s="10">
        <f t="shared" si="122"/>
        <v>0</v>
      </c>
      <c r="I407" s="12">
        <f t="shared" si="113"/>
        <v>639.30209199318563</v>
      </c>
      <c r="J407" s="11">
        <f t="shared" si="114"/>
        <v>21.729553476362859</v>
      </c>
      <c r="K407" s="6">
        <v>0</v>
      </c>
      <c r="L407" s="6">
        <v>0</v>
      </c>
      <c r="M407" s="6">
        <v>0</v>
      </c>
      <c r="N407" s="7">
        <v>0</v>
      </c>
      <c r="O407" s="9">
        <v>100</v>
      </c>
      <c r="P407" s="10">
        <f t="shared" si="123"/>
        <v>0</v>
      </c>
      <c r="Q407" s="12">
        <f t="shared" si="115"/>
        <v>639.30209199318563</v>
      </c>
      <c r="R407" s="11">
        <f t="shared" si="116"/>
        <v>21.729553476362859</v>
      </c>
      <c r="S407" s="6">
        <v>0</v>
      </c>
      <c r="T407" s="6">
        <v>0</v>
      </c>
      <c r="U407" s="6">
        <v>0</v>
      </c>
      <c r="V407" s="7">
        <v>0</v>
      </c>
      <c r="W407" s="9">
        <v>100</v>
      </c>
      <c r="X407" s="10">
        <f t="shared" si="124"/>
        <v>0</v>
      </c>
      <c r="Y407" s="12">
        <f t="shared" si="117"/>
        <v>639.30209199318563</v>
      </c>
      <c r="Z407" s="11">
        <f t="shared" si="118"/>
        <v>21.729553476362859</v>
      </c>
      <c r="AA407" s="6">
        <v>0</v>
      </c>
      <c r="AB407" s="6">
        <v>1</v>
      </c>
      <c r="AC407" s="6">
        <v>1</v>
      </c>
      <c r="AD407" s="7">
        <v>1</v>
      </c>
      <c r="AE407" s="9">
        <v>100</v>
      </c>
      <c r="AF407" s="10">
        <f t="shared" si="125"/>
        <v>14</v>
      </c>
      <c r="AG407" s="12">
        <f t="shared" si="119"/>
        <v>639.30209199318563</v>
      </c>
      <c r="AH407" s="11">
        <f t="shared" si="120"/>
        <v>21.729553476362859</v>
      </c>
      <c r="AJ407" s="6">
        <f t="shared" si="126"/>
        <v>1000</v>
      </c>
      <c r="AK407" s="4">
        <v>390</v>
      </c>
      <c r="AM407" s="2" t="str">
        <f t="shared" si="121"/>
        <v>0</v>
      </c>
      <c r="AN407" s="2" t="str">
        <f t="shared" si="127"/>
        <v>3E8</v>
      </c>
      <c r="AO407" s="2"/>
      <c r="AP407" s="2" t="str">
        <f t="shared" si="128"/>
        <v>03E8</v>
      </c>
    </row>
    <row r="408" spans="1:42" x14ac:dyDescent="0.2">
      <c r="A408">
        <v>391</v>
      </c>
      <c r="B408">
        <v>39</v>
      </c>
      <c r="C408" s="6">
        <v>0</v>
      </c>
      <c r="D408" s="6">
        <v>0</v>
      </c>
      <c r="E408" s="6">
        <v>0</v>
      </c>
      <c r="F408" s="7">
        <v>0</v>
      </c>
      <c r="G408" s="9">
        <v>100</v>
      </c>
      <c r="H408" s="10">
        <f t="shared" si="122"/>
        <v>0</v>
      </c>
      <c r="I408" s="12">
        <f t="shared" si="113"/>
        <v>639.30209199318563</v>
      </c>
      <c r="J408" s="11">
        <f t="shared" si="114"/>
        <v>21.729553476362859</v>
      </c>
      <c r="K408" s="6">
        <v>0</v>
      </c>
      <c r="L408" s="6">
        <v>0</v>
      </c>
      <c r="M408" s="6">
        <v>0</v>
      </c>
      <c r="N408" s="7">
        <v>0</v>
      </c>
      <c r="O408" s="9">
        <v>100</v>
      </c>
      <c r="P408" s="10">
        <f t="shared" si="123"/>
        <v>0</v>
      </c>
      <c r="Q408" s="12">
        <f t="shared" si="115"/>
        <v>639.30209199318563</v>
      </c>
      <c r="R408" s="11">
        <f t="shared" si="116"/>
        <v>21.729553476362859</v>
      </c>
      <c r="S408" s="6">
        <v>0</v>
      </c>
      <c r="T408" s="6">
        <v>0</v>
      </c>
      <c r="U408" s="6">
        <v>0</v>
      </c>
      <c r="V408" s="7">
        <v>0</v>
      </c>
      <c r="W408" s="9">
        <v>100</v>
      </c>
      <c r="X408" s="10">
        <f t="shared" si="124"/>
        <v>0</v>
      </c>
      <c r="Y408" s="12">
        <f t="shared" si="117"/>
        <v>639.30209199318563</v>
      </c>
      <c r="Z408" s="11">
        <f t="shared" si="118"/>
        <v>21.729553476362859</v>
      </c>
      <c r="AA408" s="6">
        <v>0</v>
      </c>
      <c r="AB408" s="6">
        <v>1</v>
      </c>
      <c r="AC408" s="6">
        <v>1</v>
      </c>
      <c r="AD408" s="7">
        <v>1</v>
      </c>
      <c r="AE408" s="9">
        <v>100</v>
      </c>
      <c r="AF408" s="10">
        <f t="shared" si="125"/>
        <v>14</v>
      </c>
      <c r="AG408" s="12">
        <f t="shared" si="119"/>
        <v>639.30209199318563</v>
      </c>
      <c r="AH408" s="11">
        <f t="shared" si="120"/>
        <v>21.729553476362859</v>
      </c>
      <c r="AJ408" s="6">
        <f t="shared" si="126"/>
        <v>1000</v>
      </c>
      <c r="AK408" s="4">
        <v>391</v>
      </c>
      <c r="AM408" s="2" t="str">
        <f t="shared" si="121"/>
        <v>0</v>
      </c>
      <c r="AN408" s="2" t="str">
        <f t="shared" si="127"/>
        <v>3E8</v>
      </c>
      <c r="AO408" s="2"/>
      <c r="AP408" s="2" t="str">
        <f t="shared" si="128"/>
        <v>03E8</v>
      </c>
    </row>
    <row r="409" spans="1:42" x14ac:dyDescent="0.2">
      <c r="A409">
        <v>392</v>
      </c>
      <c r="B409">
        <v>39.1</v>
      </c>
      <c r="C409" s="6">
        <v>0</v>
      </c>
      <c r="D409" s="6">
        <v>0</v>
      </c>
      <c r="E409" s="6">
        <v>0</v>
      </c>
      <c r="F409" s="7">
        <v>0</v>
      </c>
      <c r="G409" s="9">
        <v>100</v>
      </c>
      <c r="H409" s="10">
        <f t="shared" si="122"/>
        <v>0</v>
      </c>
      <c r="I409" s="12">
        <f t="shared" si="113"/>
        <v>639.30209199318563</v>
      </c>
      <c r="J409" s="11">
        <f t="shared" si="114"/>
        <v>21.729553476362859</v>
      </c>
      <c r="K409" s="6">
        <v>0</v>
      </c>
      <c r="L409" s="6">
        <v>0</v>
      </c>
      <c r="M409" s="6">
        <v>0</v>
      </c>
      <c r="N409" s="7">
        <v>0</v>
      </c>
      <c r="O409" s="9">
        <v>100</v>
      </c>
      <c r="P409" s="10">
        <f t="shared" si="123"/>
        <v>0</v>
      </c>
      <c r="Q409" s="12">
        <f t="shared" si="115"/>
        <v>639.30209199318563</v>
      </c>
      <c r="R409" s="11">
        <f t="shared" si="116"/>
        <v>21.729553476362859</v>
      </c>
      <c r="S409" s="6">
        <v>0</v>
      </c>
      <c r="T409" s="6">
        <v>0</v>
      </c>
      <c r="U409" s="6">
        <v>0</v>
      </c>
      <c r="V409" s="7">
        <v>0</v>
      </c>
      <c r="W409" s="9">
        <v>100</v>
      </c>
      <c r="X409" s="10">
        <f t="shared" si="124"/>
        <v>0</v>
      </c>
      <c r="Y409" s="12">
        <f t="shared" si="117"/>
        <v>639.30209199318563</v>
      </c>
      <c r="Z409" s="11">
        <f t="shared" si="118"/>
        <v>21.729553476362859</v>
      </c>
      <c r="AA409" s="6">
        <v>0</v>
      </c>
      <c r="AB409" s="6">
        <v>1</v>
      </c>
      <c r="AC409" s="6">
        <v>1</v>
      </c>
      <c r="AD409" s="7">
        <v>1</v>
      </c>
      <c r="AE409" s="9">
        <v>100</v>
      </c>
      <c r="AF409" s="10">
        <f t="shared" si="125"/>
        <v>14</v>
      </c>
      <c r="AG409" s="12">
        <f t="shared" si="119"/>
        <v>639.30209199318563</v>
      </c>
      <c r="AH409" s="11">
        <f t="shared" si="120"/>
        <v>21.729553476362859</v>
      </c>
      <c r="AJ409" s="6">
        <f t="shared" si="126"/>
        <v>1000</v>
      </c>
      <c r="AK409" s="4">
        <v>392</v>
      </c>
      <c r="AM409" s="2" t="str">
        <f t="shared" si="121"/>
        <v>0</v>
      </c>
      <c r="AN409" s="2" t="str">
        <f t="shared" si="127"/>
        <v>3E8</v>
      </c>
      <c r="AO409" s="2"/>
      <c r="AP409" s="2" t="str">
        <f t="shared" si="128"/>
        <v>03E8</v>
      </c>
    </row>
    <row r="410" spans="1:42" x14ac:dyDescent="0.2">
      <c r="A410">
        <v>393</v>
      </c>
      <c r="B410">
        <v>39.200000000000003</v>
      </c>
      <c r="C410" s="6">
        <v>0</v>
      </c>
      <c r="D410" s="6">
        <v>0</v>
      </c>
      <c r="E410" s="6">
        <v>0</v>
      </c>
      <c r="F410" s="7">
        <v>0</v>
      </c>
      <c r="G410" s="9">
        <v>100</v>
      </c>
      <c r="H410" s="10">
        <f t="shared" si="122"/>
        <v>0</v>
      </c>
      <c r="I410" s="12">
        <f t="shared" si="113"/>
        <v>639.30209199318563</v>
      </c>
      <c r="J410" s="11">
        <f t="shared" si="114"/>
        <v>21.729553476362859</v>
      </c>
      <c r="K410" s="6">
        <v>0</v>
      </c>
      <c r="L410" s="6">
        <v>0</v>
      </c>
      <c r="M410" s="6">
        <v>0</v>
      </c>
      <c r="N410" s="7">
        <v>0</v>
      </c>
      <c r="O410" s="9">
        <v>100</v>
      </c>
      <c r="P410" s="10">
        <f t="shared" si="123"/>
        <v>0</v>
      </c>
      <c r="Q410" s="12">
        <f t="shared" si="115"/>
        <v>639.30209199318563</v>
      </c>
      <c r="R410" s="11">
        <f t="shared" si="116"/>
        <v>21.729553476362859</v>
      </c>
      <c r="S410" s="6">
        <v>0</v>
      </c>
      <c r="T410" s="6">
        <v>0</v>
      </c>
      <c r="U410" s="6">
        <v>0</v>
      </c>
      <c r="V410" s="7">
        <v>0</v>
      </c>
      <c r="W410" s="9">
        <v>100</v>
      </c>
      <c r="X410" s="10">
        <f t="shared" si="124"/>
        <v>0</v>
      </c>
      <c r="Y410" s="12">
        <f t="shared" si="117"/>
        <v>639.30209199318563</v>
      </c>
      <c r="Z410" s="11">
        <f t="shared" si="118"/>
        <v>21.729553476362859</v>
      </c>
      <c r="AA410" s="6">
        <v>0</v>
      </c>
      <c r="AB410" s="6">
        <v>1</v>
      </c>
      <c r="AC410" s="6">
        <v>1</v>
      </c>
      <c r="AD410" s="7">
        <v>1</v>
      </c>
      <c r="AE410" s="9">
        <v>100</v>
      </c>
      <c r="AF410" s="10">
        <f t="shared" si="125"/>
        <v>14</v>
      </c>
      <c r="AG410" s="12">
        <f t="shared" si="119"/>
        <v>639.30209199318563</v>
      </c>
      <c r="AH410" s="11">
        <f t="shared" si="120"/>
        <v>21.729553476362859</v>
      </c>
      <c r="AJ410" s="6">
        <f t="shared" si="126"/>
        <v>1000</v>
      </c>
      <c r="AK410" s="4">
        <v>393</v>
      </c>
      <c r="AM410" s="2" t="str">
        <f t="shared" si="121"/>
        <v>0</v>
      </c>
      <c r="AN410" s="2" t="str">
        <f t="shared" si="127"/>
        <v>3E8</v>
      </c>
      <c r="AO410" s="2"/>
      <c r="AP410" s="2" t="str">
        <f t="shared" si="128"/>
        <v>03E8</v>
      </c>
    </row>
    <row r="411" spans="1:42" x14ac:dyDescent="0.2">
      <c r="A411">
        <v>394</v>
      </c>
      <c r="B411">
        <v>39.299999999999997</v>
      </c>
      <c r="C411" s="6">
        <v>0</v>
      </c>
      <c r="D411" s="6">
        <v>0</v>
      </c>
      <c r="E411" s="6">
        <v>0</v>
      </c>
      <c r="F411" s="7">
        <v>0</v>
      </c>
      <c r="G411" s="9">
        <v>100</v>
      </c>
      <c r="H411" s="10">
        <f t="shared" si="122"/>
        <v>0</v>
      </c>
      <c r="I411" s="12">
        <f t="shared" si="113"/>
        <v>639.30209199318563</v>
      </c>
      <c r="J411" s="11">
        <f t="shared" si="114"/>
        <v>21.729553476362859</v>
      </c>
      <c r="K411" s="6">
        <v>0</v>
      </c>
      <c r="L411" s="6">
        <v>0</v>
      </c>
      <c r="M411" s="6">
        <v>0</v>
      </c>
      <c r="N411" s="7">
        <v>0</v>
      </c>
      <c r="O411" s="9">
        <v>100</v>
      </c>
      <c r="P411" s="10">
        <f t="shared" si="123"/>
        <v>0</v>
      </c>
      <c r="Q411" s="12">
        <f t="shared" si="115"/>
        <v>639.30209199318563</v>
      </c>
      <c r="R411" s="11">
        <f t="shared" si="116"/>
        <v>21.729553476362859</v>
      </c>
      <c r="S411" s="6">
        <v>0</v>
      </c>
      <c r="T411" s="6">
        <v>0</v>
      </c>
      <c r="U411" s="6">
        <v>0</v>
      </c>
      <c r="V411" s="7">
        <v>0</v>
      </c>
      <c r="W411" s="9">
        <v>100</v>
      </c>
      <c r="X411" s="10">
        <f t="shared" si="124"/>
        <v>0</v>
      </c>
      <c r="Y411" s="12">
        <f t="shared" si="117"/>
        <v>639.30209199318563</v>
      </c>
      <c r="Z411" s="11">
        <f t="shared" si="118"/>
        <v>21.729553476362859</v>
      </c>
      <c r="AA411" s="6">
        <v>0</v>
      </c>
      <c r="AB411" s="6">
        <v>1</v>
      </c>
      <c r="AC411" s="6">
        <v>1</v>
      </c>
      <c r="AD411" s="7">
        <v>1</v>
      </c>
      <c r="AE411" s="9">
        <v>100</v>
      </c>
      <c r="AF411" s="10">
        <f t="shared" si="125"/>
        <v>14</v>
      </c>
      <c r="AG411" s="12">
        <f t="shared" si="119"/>
        <v>639.30209199318563</v>
      </c>
      <c r="AH411" s="11">
        <f t="shared" si="120"/>
        <v>21.729553476362859</v>
      </c>
      <c r="AJ411" s="6">
        <f t="shared" si="126"/>
        <v>1000</v>
      </c>
      <c r="AK411" s="4">
        <v>394</v>
      </c>
      <c r="AM411" s="2" t="str">
        <f t="shared" si="121"/>
        <v>0</v>
      </c>
      <c r="AN411" s="2" t="str">
        <f t="shared" si="127"/>
        <v>3E8</v>
      </c>
      <c r="AO411" s="2"/>
      <c r="AP411" s="2" t="str">
        <f t="shared" si="128"/>
        <v>03E8</v>
      </c>
    </row>
    <row r="412" spans="1:42" x14ac:dyDescent="0.2">
      <c r="A412">
        <v>395</v>
      </c>
      <c r="B412">
        <v>39.4</v>
      </c>
      <c r="C412" s="6">
        <v>0</v>
      </c>
      <c r="D412" s="6">
        <v>0</v>
      </c>
      <c r="E412" s="6">
        <v>0</v>
      </c>
      <c r="F412" s="7">
        <v>0</v>
      </c>
      <c r="G412" s="9">
        <v>100</v>
      </c>
      <c r="H412" s="10">
        <f t="shared" si="122"/>
        <v>0</v>
      </c>
      <c r="I412" s="12">
        <f t="shared" si="113"/>
        <v>639.30209199318563</v>
      </c>
      <c r="J412" s="11">
        <f t="shared" si="114"/>
        <v>21.729553476362859</v>
      </c>
      <c r="K412" s="6">
        <v>0</v>
      </c>
      <c r="L412" s="6">
        <v>0</v>
      </c>
      <c r="M412" s="6">
        <v>0</v>
      </c>
      <c r="N412" s="7">
        <v>0</v>
      </c>
      <c r="O412" s="9">
        <v>100</v>
      </c>
      <c r="P412" s="10">
        <f t="shared" si="123"/>
        <v>0</v>
      </c>
      <c r="Q412" s="12">
        <f t="shared" si="115"/>
        <v>639.30209199318563</v>
      </c>
      <c r="R412" s="11">
        <f t="shared" si="116"/>
        <v>21.729553476362859</v>
      </c>
      <c r="S412" s="6">
        <v>0</v>
      </c>
      <c r="T412" s="6">
        <v>0</v>
      </c>
      <c r="U412" s="6">
        <v>0</v>
      </c>
      <c r="V412" s="7">
        <v>0</v>
      </c>
      <c r="W412" s="9">
        <v>100</v>
      </c>
      <c r="X412" s="10">
        <f t="shared" si="124"/>
        <v>0</v>
      </c>
      <c r="Y412" s="12">
        <f t="shared" si="117"/>
        <v>639.30209199318563</v>
      </c>
      <c r="Z412" s="11">
        <f t="shared" si="118"/>
        <v>21.729553476362859</v>
      </c>
      <c r="AA412" s="6">
        <v>0</v>
      </c>
      <c r="AB412" s="6">
        <v>1</v>
      </c>
      <c r="AC412" s="6">
        <v>1</v>
      </c>
      <c r="AD412" s="7">
        <v>1</v>
      </c>
      <c r="AE412" s="9">
        <v>100</v>
      </c>
      <c r="AF412" s="10">
        <f t="shared" si="125"/>
        <v>14</v>
      </c>
      <c r="AG412" s="12">
        <f t="shared" si="119"/>
        <v>639.30209199318563</v>
      </c>
      <c r="AH412" s="11">
        <f t="shared" si="120"/>
        <v>21.729553476362859</v>
      </c>
      <c r="AJ412" s="6">
        <f t="shared" si="126"/>
        <v>1000</v>
      </c>
      <c r="AK412" s="4">
        <v>395</v>
      </c>
      <c r="AM412" s="2" t="str">
        <f t="shared" si="121"/>
        <v>0</v>
      </c>
      <c r="AN412" s="2" t="str">
        <f t="shared" si="127"/>
        <v>3E8</v>
      </c>
      <c r="AO412" s="2"/>
      <c r="AP412" s="2" t="str">
        <f t="shared" si="128"/>
        <v>03E8</v>
      </c>
    </row>
    <row r="413" spans="1:42" x14ac:dyDescent="0.2">
      <c r="A413">
        <v>396</v>
      </c>
      <c r="B413">
        <v>39.5</v>
      </c>
      <c r="C413" s="6">
        <v>0</v>
      </c>
      <c r="D413" s="6">
        <v>0</v>
      </c>
      <c r="E413" s="6">
        <v>0</v>
      </c>
      <c r="F413" s="7">
        <v>0</v>
      </c>
      <c r="G413" s="9">
        <v>100</v>
      </c>
      <c r="H413" s="10">
        <f t="shared" si="122"/>
        <v>0</v>
      </c>
      <c r="I413" s="12">
        <f t="shared" si="113"/>
        <v>639.30209199318563</v>
      </c>
      <c r="J413" s="11">
        <f t="shared" si="114"/>
        <v>21.729553476362859</v>
      </c>
      <c r="K413" s="6">
        <v>0</v>
      </c>
      <c r="L413" s="6">
        <v>0</v>
      </c>
      <c r="M413" s="6">
        <v>0</v>
      </c>
      <c r="N413" s="7">
        <v>0</v>
      </c>
      <c r="O413" s="9">
        <v>100</v>
      </c>
      <c r="P413" s="10">
        <f t="shared" si="123"/>
        <v>0</v>
      </c>
      <c r="Q413" s="12">
        <f t="shared" si="115"/>
        <v>639.30209199318563</v>
      </c>
      <c r="R413" s="11">
        <f t="shared" si="116"/>
        <v>21.729553476362859</v>
      </c>
      <c r="S413" s="6">
        <v>0</v>
      </c>
      <c r="T413" s="6">
        <v>0</v>
      </c>
      <c r="U413" s="6">
        <v>0</v>
      </c>
      <c r="V413" s="7">
        <v>0</v>
      </c>
      <c r="W413" s="9">
        <v>100</v>
      </c>
      <c r="X413" s="10">
        <f t="shared" si="124"/>
        <v>0</v>
      </c>
      <c r="Y413" s="12">
        <f t="shared" si="117"/>
        <v>639.30209199318563</v>
      </c>
      <c r="Z413" s="11">
        <f t="shared" si="118"/>
        <v>21.729553476362859</v>
      </c>
      <c r="AA413" s="6">
        <v>0</v>
      </c>
      <c r="AB413" s="6">
        <v>1</v>
      </c>
      <c r="AC413" s="6">
        <v>1</v>
      </c>
      <c r="AD413" s="7">
        <v>1</v>
      </c>
      <c r="AE413" s="9">
        <v>100</v>
      </c>
      <c r="AF413" s="10">
        <f t="shared" si="125"/>
        <v>14</v>
      </c>
      <c r="AG413" s="12">
        <f t="shared" si="119"/>
        <v>639.30209199318563</v>
      </c>
      <c r="AH413" s="11">
        <f t="shared" si="120"/>
        <v>21.729553476362859</v>
      </c>
      <c r="AJ413" s="6">
        <f t="shared" si="126"/>
        <v>1000</v>
      </c>
      <c r="AK413" s="4">
        <v>396</v>
      </c>
      <c r="AM413" s="2" t="str">
        <f t="shared" si="121"/>
        <v>0</v>
      </c>
      <c r="AN413" s="2" t="str">
        <f t="shared" si="127"/>
        <v>3E8</v>
      </c>
      <c r="AO413" s="2"/>
      <c r="AP413" s="2" t="str">
        <f t="shared" si="128"/>
        <v>03E8</v>
      </c>
    </row>
    <row r="414" spans="1:42" x14ac:dyDescent="0.2">
      <c r="A414">
        <v>397</v>
      </c>
      <c r="B414">
        <v>39.6</v>
      </c>
      <c r="C414" s="6">
        <v>0</v>
      </c>
      <c r="D414" s="6">
        <v>0</v>
      </c>
      <c r="E414" s="6">
        <v>0</v>
      </c>
      <c r="F414" s="7">
        <v>0</v>
      </c>
      <c r="G414" s="9">
        <v>100</v>
      </c>
      <c r="H414" s="10">
        <f t="shared" si="122"/>
        <v>0</v>
      </c>
      <c r="I414" s="12">
        <f t="shared" si="113"/>
        <v>639.30209199318563</v>
      </c>
      <c r="J414" s="11">
        <f t="shared" si="114"/>
        <v>21.729553476362859</v>
      </c>
      <c r="K414" s="6">
        <v>0</v>
      </c>
      <c r="L414" s="6">
        <v>0</v>
      </c>
      <c r="M414" s="6">
        <v>0</v>
      </c>
      <c r="N414" s="7">
        <v>0</v>
      </c>
      <c r="O414" s="9">
        <v>100</v>
      </c>
      <c r="P414" s="10">
        <f t="shared" si="123"/>
        <v>0</v>
      </c>
      <c r="Q414" s="12">
        <f t="shared" si="115"/>
        <v>639.30209199318563</v>
      </c>
      <c r="R414" s="11">
        <f t="shared" si="116"/>
        <v>21.729553476362859</v>
      </c>
      <c r="S414" s="6">
        <v>0</v>
      </c>
      <c r="T414" s="6">
        <v>0</v>
      </c>
      <c r="U414" s="6">
        <v>0</v>
      </c>
      <c r="V414" s="7">
        <v>0</v>
      </c>
      <c r="W414" s="9">
        <v>100</v>
      </c>
      <c r="X414" s="10">
        <f t="shared" si="124"/>
        <v>0</v>
      </c>
      <c r="Y414" s="12">
        <f t="shared" si="117"/>
        <v>639.30209199318563</v>
      </c>
      <c r="Z414" s="11">
        <f t="shared" si="118"/>
        <v>21.729553476362859</v>
      </c>
      <c r="AA414" s="6">
        <v>0</v>
      </c>
      <c r="AB414" s="6">
        <v>1</v>
      </c>
      <c r="AC414" s="6">
        <v>1</v>
      </c>
      <c r="AD414" s="7">
        <v>1</v>
      </c>
      <c r="AE414" s="9">
        <v>100</v>
      </c>
      <c r="AF414" s="10">
        <f t="shared" si="125"/>
        <v>14</v>
      </c>
      <c r="AG414" s="12">
        <f t="shared" si="119"/>
        <v>639.30209199318563</v>
      </c>
      <c r="AH414" s="11">
        <f t="shared" si="120"/>
        <v>21.729553476362859</v>
      </c>
      <c r="AJ414" s="6">
        <f t="shared" si="126"/>
        <v>1000</v>
      </c>
      <c r="AK414" s="4">
        <v>397</v>
      </c>
      <c r="AM414" s="2" t="str">
        <f t="shared" si="121"/>
        <v>0</v>
      </c>
      <c r="AN414" s="2" t="str">
        <f t="shared" si="127"/>
        <v>3E8</v>
      </c>
      <c r="AO414" s="2"/>
      <c r="AP414" s="2" t="str">
        <f t="shared" si="128"/>
        <v>03E8</v>
      </c>
    </row>
    <row r="415" spans="1:42" x14ac:dyDescent="0.2">
      <c r="A415">
        <v>398</v>
      </c>
      <c r="B415">
        <v>39.700000000000003</v>
      </c>
      <c r="C415" s="6">
        <v>0</v>
      </c>
      <c r="D415" s="6">
        <v>0</v>
      </c>
      <c r="E415" s="6">
        <v>0</v>
      </c>
      <c r="F415" s="7">
        <v>0</v>
      </c>
      <c r="G415" s="9">
        <v>100</v>
      </c>
      <c r="H415" s="10">
        <f t="shared" si="122"/>
        <v>0</v>
      </c>
      <c r="I415" s="12">
        <f t="shared" si="113"/>
        <v>639.30209199318563</v>
      </c>
      <c r="J415" s="11">
        <f t="shared" si="114"/>
        <v>21.729553476362859</v>
      </c>
      <c r="K415" s="6">
        <v>0</v>
      </c>
      <c r="L415" s="6">
        <v>0</v>
      </c>
      <c r="M415" s="6">
        <v>0</v>
      </c>
      <c r="N415" s="7">
        <v>0</v>
      </c>
      <c r="O415" s="9">
        <v>100</v>
      </c>
      <c r="P415" s="10">
        <f t="shared" si="123"/>
        <v>0</v>
      </c>
      <c r="Q415" s="12">
        <f t="shared" si="115"/>
        <v>639.30209199318563</v>
      </c>
      <c r="R415" s="11">
        <f t="shared" si="116"/>
        <v>21.729553476362859</v>
      </c>
      <c r="S415" s="6">
        <v>0</v>
      </c>
      <c r="T415" s="6">
        <v>0</v>
      </c>
      <c r="U415" s="6">
        <v>0</v>
      </c>
      <c r="V415" s="7">
        <v>0</v>
      </c>
      <c r="W415" s="9">
        <v>100</v>
      </c>
      <c r="X415" s="10">
        <f t="shared" si="124"/>
        <v>0</v>
      </c>
      <c r="Y415" s="12">
        <f t="shared" si="117"/>
        <v>639.30209199318563</v>
      </c>
      <c r="Z415" s="11">
        <f t="shared" si="118"/>
        <v>21.729553476362859</v>
      </c>
      <c r="AA415" s="6">
        <v>0</v>
      </c>
      <c r="AB415" s="6">
        <v>1</v>
      </c>
      <c r="AC415" s="6">
        <v>1</v>
      </c>
      <c r="AD415" s="7">
        <v>1</v>
      </c>
      <c r="AE415" s="9">
        <v>100</v>
      </c>
      <c r="AF415" s="10">
        <f t="shared" si="125"/>
        <v>14</v>
      </c>
      <c r="AG415" s="12">
        <f t="shared" si="119"/>
        <v>639.30209199318563</v>
      </c>
      <c r="AH415" s="11">
        <f t="shared" si="120"/>
        <v>21.729553476362859</v>
      </c>
      <c r="AJ415" s="6">
        <f t="shared" si="126"/>
        <v>1000</v>
      </c>
      <c r="AK415" s="4">
        <v>398</v>
      </c>
      <c r="AM415" s="2" t="str">
        <f t="shared" si="121"/>
        <v>0</v>
      </c>
      <c r="AN415" s="2" t="str">
        <f t="shared" si="127"/>
        <v>3E8</v>
      </c>
      <c r="AO415" s="2"/>
      <c r="AP415" s="2" t="str">
        <f t="shared" si="128"/>
        <v>03E8</v>
      </c>
    </row>
    <row r="416" spans="1:42" x14ac:dyDescent="0.2">
      <c r="A416">
        <v>399</v>
      </c>
      <c r="B416">
        <v>39.799999999999997</v>
      </c>
      <c r="C416" s="6">
        <v>0</v>
      </c>
      <c r="D416" s="6">
        <v>0</v>
      </c>
      <c r="E416" s="6">
        <v>0</v>
      </c>
      <c r="F416" s="7">
        <v>0</v>
      </c>
      <c r="G416" s="9">
        <v>100</v>
      </c>
      <c r="H416" s="10">
        <f t="shared" si="122"/>
        <v>0</v>
      </c>
      <c r="I416" s="12">
        <f t="shared" si="113"/>
        <v>639.30209199318563</v>
      </c>
      <c r="J416" s="11">
        <f t="shared" si="114"/>
        <v>21.729553476362859</v>
      </c>
      <c r="K416" s="6">
        <v>0</v>
      </c>
      <c r="L416" s="6">
        <v>0</v>
      </c>
      <c r="M416" s="6">
        <v>0</v>
      </c>
      <c r="N416" s="7">
        <v>0</v>
      </c>
      <c r="O416" s="9">
        <v>100</v>
      </c>
      <c r="P416" s="10">
        <f t="shared" si="123"/>
        <v>0</v>
      </c>
      <c r="Q416" s="12">
        <f t="shared" si="115"/>
        <v>639.30209199318563</v>
      </c>
      <c r="R416" s="11">
        <f t="shared" si="116"/>
        <v>21.729553476362859</v>
      </c>
      <c r="S416" s="6">
        <v>0</v>
      </c>
      <c r="T416" s="6">
        <v>0</v>
      </c>
      <c r="U416" s="6">
        <v>0</v>
      </c>
      <c r="V416" s="7">
        <v>0</v>
      </c>
      <c r="W416" s="9">
        <v>100</v>
      </c>
      <c r="X416" s="10">
        <f t="shared" si="124"/>
        <v>0</v>
      </c>
      <c r="Y416" s="12">
        <f t="shared" si="117"/>
        <v>639.30209199318563</v>
      </c>
      <c r="Z416" s="11">
        <f t="shared" si="118"/>
        <v>21.729553476362859</v>
      </c>
      <c r="AA416" s="6">
        <v>0</v>
      </c>
      <c r="AB416" s="6">
        <v>1</v>
      </c>
      <c r="AC416" s="6">
        <v>1</v>
      </c>
      <c r="AD416" s="7">
        <v>1</v>
      </c>
      <c r="AE416" s="9">
        <v>100</v>
      </c>
      <c r="AF416" s="10">
        <f t="shared" si="125"/>
        <v>14</v>
      </c>
      <c r="AG416" s="12">
        <f t="shared" si="119"/>
        <v>639.30209199318563</v>
      </c>
      <c r="AH416" s="11">
        <f t="shared" si="120"/>
        <v>21.729553476362859</v>
      </c>
      <c r="AJ416" s="6">
        <f t="shared" si="126"/>
        <v>1000</v>
      </c>
      <c r="AK416" s="4">
        <v>399</v>
      </c>
      <c r="AM416" s="2" t="str">
        <f t="shared" si="121"/>
        <v>0</v>
      </c>
      <c r="AN416" s="2" t="str">
        <f t="shared" si="127"/>
        <v>3E8</v>
      </c>
      <c r="AO416" s="2"/>
      <c r="AP416" s="2" t="str">
        <f t="shared" si="128"/>
        <v>03E8</v>
      </c>
    </row>
    <row r="417" spans="1:42" x14ac:dyDescent="0.2">
      <c r="A417">
        <v>400</v>
      </c>
      <c r="B417">
        <v>39.9</v>
      </c>
      <c r="C417" s="6">
        <v>0</v>
      </c>
      <c r="D417" s="6">
        <v>0</v>
      </c>
      <c r="E417" s="6">
        <v>0</v>
      </c>
      <c r="F417" s="7">
        <v>0</v>
      </c>
      <c r="G417" s="9">
        <v>100</v>
      </c>
      <c r="H417" s="10">
        <f t="shared" si="122"/>
        <v>0</v>
      </c>
      <c r="I417" s="12">
        <f t="shared" si="113"/>
        <v>639.30209199318563</v>
      </c>
      <c r="J417" s="11">
        <f t="shared" si="114"/>
        <v>21.729553476362859</v>
      </c>
      <c r="K417" s="6">
        <v>0</v>
      </c>
      <c r="L417" s="6">
        <v>0</v>
      </c>
      <c r="M417" s="6">
        <v>0</v>
      </c>
      <c r="N417" s="7">
        <v>0</v>
      </c>
      <c r="O417" s="9">
        <v>100</v>
      </c>
      <c r="P417" s="10">
        <f t="shared" si="123"/>
        <v>0</v>
      </c>
      <c r="Q417" s="12">
        <f t="shared" si="115"/>
        <v>639.30209199318563</v>
      </c>
      <c r="R417" s="11">
        <f t="shared" si="116"/>
        <v>21.729553476362859</v>
      </c>
      <c r="S417" s="6">
        <v>0</v>
      </c>
      <c r="T417" s="6">
        <v>0</v>
      </c>
      <c r="U417" s="6">
        <v>0</v>
      </c>
      <c r="V417" s="7">
        <v>0</v>
      </c>
      <c r="W417" s="9">
        <v>100</v>
      </c>
      <c r="X417" s="10">
        <f t="shared" si="124"/>
        <v>0</v>
      </c>
      <c r="Y417" s="12">
        <f t="shared" si="117"/>
        <v>639.30209199318563</v>
      </c>
      <c r="Z417" s="11">
        <f t="shared" si="118"/>
        <v>21.729553476362859</v>
      </c>
      <c r="AA417" s="6">
        <v>0</v>
      </c>
      <c r="AB417" s="6">
        <v>1</v>
      </c>
      <c r="AC417" s="6">
        <v>1</v>
      </c>
      <c r="AD417" s="7">
        <v>1</v>
      </c>
      <c r="AE417" s="9">
        <v>100</v>
      </c>
      <c r="AF417" s="10">
        <f t="shared" si="125"/>
        <v>14</v>
      </c>
      <c r="AG417" s="12">
        <f t="shared" si="119"/>
        <v>639.30209199318563</v>
      </c>
      <c r="AH417" s="11">
        <f t="shared" si="120"/>
        <v>21.729553476362859</v>
      </c>
      <c r="AJ417" s="6">
        <f t="shared" si="126"/>
        <v>1000</v>
      </c>
      <c r="AK417" s="4">
        <v>400</v>
      </c>
      <c r="AM417" s="2" t="str">
        <f t="shared" si="121"/>
        <v>0</v>
      </c>
      <c r="AN417" s="2" t="str">
        <f t="shared" si="127"/>
        <v>3E8</v>
      </c>
      <c r="AO417" s="2"/>
      <c r="AP417" s="2" t="str">
        <f t="shared" si="128"/>
        <v>03E8</v>
      </c>
    </row>
    <row r="418" spans="1:42" x14ac:dyDescent="0.2">
      <c r="A418">
        <v>401</v>
      </c>
      <c r="B418">
        <v>40</v>
      </c>
      <c r="C418" s="6">
        <v>0</v>
      </c>
      <c r="D418" s="6">
        <v>0</v>
      </c>
      <c r="E418" s="6">
        <v>0</v>
      </c>
      <c r="F418" s="7">
        <v>0</v>
      </c>
      <c r="G418" s="9">
        <v>100</v>
      </c>
      <c r="H418" s="10">
        <f t="shared" si="122"/>
        <v>0</v>
      </c>
      <c r="I418" s="12">
        <f t="shared" si="113"/>
        <v>639.30209199318563</v>
      </c>
      <c r="J418" s="11">
        <f t="shared" si="114"/>
        <v>21.729553476362859</v>
      </c>
      <c r="K418" s="6">
        <v>0</v>
      </c>
      <c r="L418" s="6">
        <v>0</v>
      </c>
      <c r="M418" s="6">
        <v>0</v>
      </c>
      <c r="N418" s="7">
        <v>0</v>
      </c>
      <c r="O418" s="9">
        <v>100</v>
      </c>
      <c r="P418" s="10">
        <f t="shared" si="123"/>
        <v>0</v>
      </c>
      <c r="Q418" s="12">
        <f t="shared" si="115"/>
        <v>639.30209199318563</v>
      </c>
      <c r="R418" s="11">
        <f t="shared" si="116"/>
        <v>21.729553476362859</v>
      </c>
      <c r="S418" s="6">
        <v>0</v>
      </c>
      <c r="T418" s="6">
        <v>0</v>
      </c>
      <c r="U418" s="6">
        <v>0</v>
      </c>
      <c r="V418" s="7">
        <v>0</v>
      </c>
      <c r="W418" s="9">
        <v>100</v>
      </c>
      <c r="X418" s="10">
        <f t="shared" si="124"/>
        <v>0</v>
      </c>
      <c r="Y418" s="12">
        <f t="shared" si="117"/>
        <v>639.30209199318563</v>
      </c>
      <c r="Z418" s="11">
        <f t="shared" si="118"/>
        <v>21.729553476362859</v>
      </c>
      <c r="AA418" s="6">
        <v>0</v>
      </c>
      <c r="AB418" s="6">
        <v>1</v>
      </c>
      <c r="AC418" s="6">
        <v>1</v>
      </c>
      <c r="AD418" s="7">
        <v>1</v>
      </c>
      <c r="AE418" s="9">
        <v>100</v>
      </c>
      <c r="AF418" s="10">
        <f t="shared" si="125"/>
        <v>14</v>
      </c>
      <c r="AG418" s="12">
        <f t="shared" si="119"/>
        <v>639.30209199318563</v>
      </c>
      <c r="AH418" s="11">
        <f t="shared" si="120"/>
        <v>21.729553476362859</v>
      </c>
      <c r="AJ418" s="6">
        <f t="shared" si="126"/>
        <v>1000</v>
      </c>
      <c r="AK418" s="4">
        <v>401</v>
      </c>
      <c r="AM418" s="2" t="str">
        <f t="shared" si="121"/>
        <v>0</v>
      </c>
      <c r="AN418" s="2" t="str">
        <f t="shared" si="127"/>
        <v>3E8</v>
      </c>
      <c r="AO418" s="2"/>
      <c r="AP418" s="2" t="str">
        <f t="shared" si="128"/>
        <v>03E8</v>
      </c>
    </row>
    <row r="419" spans="1:42" x14ac:dyDescent="0.2">
      <c r="A419">
        <v>402</v>
      </c>
      <c r="B419">
        <v>40.1</v>
      </c>
      <c r="C419" s="6">
        <v>0</v>
      </c>
      <c r="D419" s="6">
        <v>0</v>
      </c>
      <c r="E419" s="6">
        <v>0</v>
      </c>
      <c r="F419" s="7">
        <v>0</v>
      </c>
      <c r="G419" s="9">
        <v>100</v>
      </c>
      <c r="H419" s="10">
        <f t="shared" si="122"/>
        <v>0</v>
      </c>
      <c r="I419" s="12">
        <f t="shared" si="113"/>
        <v>639.30209199318563</v>
      </c>
      <c r="J419" s="11">
        <f t="shared" si="114"/>
        <v>21.729553476362859</v>
      </c>
      <c r="K419" s="6">
        <v>0</v>
      </c>
      <c r="L419" s="6">
        <v>0</v>
      </c>
      <c r="M419" s="6">
        <v>0</v>
      </c>
      <c r="N419" s="7">
        <v>0</v>
      </c>
      <c r="O419" s="9">
        <v>100</v>
      </c>
      <c r="P419" s="10">
        <f t="shared" si="123"/>
        <v>0</v>
      </c>
      <c r="Q419" s="12">
        <f t="shared" si="115"/>
        <v>639.30209199318563</v>
      </c>
      <c r="R419" s="11">
        <f t="shared" si="116"/>
        <v>21.729553476362859</v>
      </c>
      <c r="S419" s="6">
        <v>0</v>
      </c>
      <c r="T419" s="6">
        <v>0</v>
      </c>
      <c r="U419" s="6">
        <v>0</v>
      </c>
      <c r="V419" s="7">
        <v>0</v>
      </c>
      <c r="W419" s="9">
        <v>100</v>
      </c>
      <c r="X419" s="10">
        <f t="shared" si="124"/>
        <v>0</v>
      </c>
      <c r="Y419" s="12">
        <f t="shared" si="117"/>
        <v>639.30209199318563</v>
      </c>
      <c r="Z419" s="11">
        <f t="shared" si="118"/>
        <v>21.729553476362859</v>
      </c>
      <c r="AA419" s="6">
        <v>0</v>
      </c>
      <c r="AB419" s="6">
        <v>1</v>
      </c>
      <c r="AC419" s="6">
        <v>1</v>
      </c>
      <c r="AD419" s="7">
        <v>1</v>
      </c>
      <c r="AE419" s="9">
        <v>100</v>
      </c>
      <c r="AF419" s="10">
        <f t="shared" si="125"/>
        <v>14</v>
      </c>
      <c r="AG419" s="12">
        <f t="shared" si="119"/>
        <v>639.30209199318563</v>
      </c>
      <c r="AH419" s="11">
        <f t="shared" si="120"/>
        <v>21.729553476362859</v>
      </c>
      <c r="AJ419" s="6">
        <f t="shared" si="126"/>
        <v>1000</v>
      </c>
      <c r="AK419" s="4">
        <v>402</v>
      </c>
      <c r="AM419" s="2" t="str">
        <f t="shared" si="121"/>
        <v>0</v>
      </c>
      <c r="AN419" s="2" t="str">
        <f t="shared" si="127"/>
        <v>3E8</v>
      </c>
      <c r="AO419" s="2"/>
      <c r="AP419" s="2" t="str">
        <f t="shared" si="128"/>
        <v>03E8</v>
      </c>
    </row>
    <row r="420" spans="1:42" x14ac:dyDescent="0.2">
      <c r="A420">
        <v>403</v>
      </c>
      <c r="B420">
        <v>40.200000000000003</v>
      </c>
      <c r="C420" s="6">
        <v>0</v>
      </c>
      <c r="D420" s="6">
        <v>0</v>
      </c>
      <c r="E420" s="6">
        <v>0</v>
      </c>
      <c r="F420" s="7">
        <v>0</v>
      </c>
      <c r="G420" s="9">
        <v>100</v>
      </c>
      <c r="H420" s="10">
        <f t="shared" si="122"/>
        <v>0</v>
      </c>
      <c r="I420" s="12">
        <f t="shared" si="113"/>
        <v>639.30209199318563</v>
      </c>
      <c r="J420" s="11">
        <f t="shared" si="114"/>
        <v>21.729553476362859</v>
      </c>
      <c r="K420" s="6">
        <v>0</v>
      </c>
      <c r="L420" s="6">
        <v>0</v>
      </c>
      <c r="M420" s="6">
        <v>0</v>
      </c>
      <c r="N420" s="7">
        <v>0</v>
      </c>
      <c r="O420" s="9">
        <v>100</v>
      </c>
      <c r="P420" s="10">
        <f t="shared" si="123"/>
        <v>0</v>
      </c>
      <c r="Q420" s="12">
        <f t="shared" si="115"/>
        <v>639.30209199318563</v>
      </c>
      <c r="R420" s="11">
        <f t="shared" si="116"/>
        <v>21.729553476362859</v>
      </c>
      <c r="S420" s="6">
        <v>0</v>
      </c>
      <c r="T420" s="6">
        <v>0</v>
      </c>
      <c r="U420" s="6">
        <v>0</v>
      </c>
      <c r="V420" s="7">
        <v>0</v>
      </c>
      <c r="W420" s="9">
        <v>100</v>
      </c>
      <c r="X420" s="10">
        <f t="shared" si="124"/>
        <v>0</v>
      </c>
      <c r="Y420" s="12">
        <f t="shared" si="117"/>
        <v>639.30209199318563</v>
      </c>
      <c r="Z420" s="11">
        <f t="shared" si="118"/>
        <v>21.729553476362859</v>
      </c>
      <c r="AA420" s="6">
        <v>0</v>
      </c>
      <c r="AB420" s="6">
        <v>1</v>
      </c>
      <c r="AC420" s="6">
        <v>1</v>
      </c>
      <c r="AD420" s="7">
        <v>1</v>
      </c>
      <c r="AE420" s="9">
        <v>100</v>
      </c>
      <c r="AF420" s="10">
        <f t="shared" si="125"/>
        <v>14</v>
      </c>
      <c r="AG420" s="12">
        <f t="shared" si="119"/>
        <v>639.30209199318563</v>
      </c>
      <c r="AH420" s="11">
        <f t="shared" si="120"/>
        <v>21.729553476362859</v>
      </c>
      <c r="AJ420" s="6">
        <f t="shared" si="126"/>
        <v>1000</v>
      </c>
      <c r="AK420" s="4">
        <v>403</v>
      </c>
      <c r="AM420" s="2" t="str">
        <f t="shared" si="121"/>
        <v>0</v>
      </c>
      <c r="AN420" s="2" t="str">
        <f t="shared" si="127"/>
        <v>3E8</v>
      </c>
      <c r="AO420" s="2"/>
      <c r="AP420" s="2" t="str">
        <f t="shared" si="128"/>
        <v>03E8</v>
      </c>
    </row>
    <row r="421" spans="1:42" x14ac:dyDescent="0.2">
      <c r="A421">
        <v>404</v>
      </c>
      <c r="B421">
        <v>40.299999999999997</v>
      </c>
      <c r="C421" s="6">
        <v>0</v>
      </c>
      <c r="D421" s="6">
        <v>0</v>
      </c>
      <c r="E421" s="6">
        <v>0</v>
      </c>
      <c r="F421" s="7">
        <v>0</v>
      </c>
      <c r="G421" s="9">
        <v>100</v>
      </c>
      <c r="H421" s="10">
        <f t="shared" si="122"/>
        <v>0</v>
      </c>
      <c r="I421" s="12">
        <f t="shared" si="113"/>
        <v>639.30209199318563</v>
      </c>
      <c r="J421" s="11">
        <f t="shared" si="114"/>
        <v>21.729553476362859</v>
      </c>
      <c r="K421" s="6">
        <v>0</v>
      </c>
      <c r="L421" s="6">
        <v>0</v>
      </c>
      <c r="M421" s="6">
        <v>0</v>
      </c>
      <c r="N421" s="7">
        <v>0</v>
      </c>
      <c r="O421" s="9">
        <v>100</v>
      </c>
      <c r="P421" s="10">
        <f t="shared" si="123"/>
        <v>0</v>
      </c>
      <c r="Q421" s="12">
        <f t="shared" si="115"/>
        <v>639.30209199318563</v>
      </c>
      <c r="R421" s="11">
        <f t="shared" si="116"/>
        <v>21.729553476362859</v>
      </c>
      <c r="S421" s="6">
        <v>0</v>
      </c>
      <c r="T421" s="6">
        <v>0</v>
      </c>
      <c r="U421" s="6">
        <v>0</v>
      </c>
      <c r="V421" s="7">
        <v>0</v>
      </c>
      <c r="W421" s="9">
        <v>100</v>
      </c>
      <c r="X421" s="10">
        <f t="shared" si="124"/>
        <v>0</v>
      </c>
      <c r="Y421" s="12">
        <f t="shared" si="117"/>
        <v>639.30209199318563</v>
      </c>
      <c r="Z421" s="11">
        <f t="shared" si="118"/>
        <v>21.729553476362859</v>
      </c>
      <c r="AA421" s="6">
        <v>0</v>
      </c>
      <c r="AB421" s="6">
        <v>1</v>
      </c>
      <c r="AC421" s="6">
        <v>1</v>
      </c>
      <c r="AD421" s="7">
        <v>1</v>
      </c>
      <c r="AE421" s="9">
        <v>100</v>
      </c>
      <c r="AF421" s="10">
        <f t="shared" si="125"/>
        <v>14</v>
      </c>
      <c r="AG421" s="12">
        <f t="shared" si="119"/>
        <v>639.30209199318563</v>
      </c>
      <c r="AH421" s="11">
        <f t="shared" si="120"/>
        <v>21.729553476362859</v>
      </c>
      <c r="AJ421" s="6">
        <f t="shared" si="126"/>
        <v>1000</v>
      </c>
      <c r="AK421" s="4">
        <v>404</v>
      </c>
      <c r="AM421" s="2" t="str">
        <f t="shared" si="121"/>
        <v>0</v>
      </c>
      <c r="AN421" s="2" t="str">
        <f t="shared" si="127"/>
        <v>3E8</v>
      </c>
      <c r="AO421" s="2"/>
      <c r="AP421" s="2" t="str">
        <f t="shared" si="128"/>
        <v>03E8</v>
      </c>
    </row>
    <row r="422" spans="1:42" x14ac:dyDescent="0.2">
      <c r="A422">
        <v>405</v>
      </c>
      <c r="B422">
        <v>40.4</v>
      </c>
      <c r="C422" s="6">
        <v>0</v>
      </c>
      <c r="D422" s="6">
        <v>0</v>
      </c>
      <c r="E422" s="6">
        <v>0</v>
      </c>
      <c r="F422" s="7">
        <v>0</v>
      </c>
      <c r="G422" s="9">
        <v>100</v>
      </c>
      <c r="H422" s="10">
        <f t="shared" si="122"/>
        <v>0</v>
      </c>
      <c r="I422" s="12">
        <f t="shared" si="113"/>
        <v>639.30209199318563</v>
      </c>
      <c r="J422" s="11">
        <f t="shared" si="114"/>
        <v>21.729553476362859</v>
      </c>
      <c r="K422" s="6">
        <v>0</v>
      </c>
      <c r="L422" s="6">
        <v>0</v>
      </c>
      <c r="M422" s="6">
        <v>0</v>
      </c>
      <c r="N422" s="7">
        <v>0</v>
      </c>
      <c r="O422" s="9">
        <v>100</v>
      </c>
      <c r="P422" s="10">
        <f t="shared" si="123"/>
        <v>0</v>
      </c>
      <c r="Q422" s="12">
        <f t="shared" si="115"/>
        <v>639.30209199318563</v>
      </c>
      <c r="R422" s="11">
        <f t="shared" si="116"/>
        <v>21.729553476362859</v>
      </c>
      <c r="S422" s="6">
        <v>0</v>
      </c>
      <c r="T422" s="6">
        <v>0</v>
      </c>
      <c r="U422" s="6">
        <v>0</v>
      </c>
      <c r="V422" s="7">
        <v>0</v>
      </c>
      <c r="W422" s="9">
        <v>100</v>
      </c>
      <c r="X422" s="10">
        <f t="shared" si="124"/>
        <v>0</v>
      </c>
      <c r="Y422" s="12">
        <f t="shared" si="117"/>
        <v>639.30209199318563</v>
      </c>
      <c r="Z422" s="11">
        <f t="shared" si="118"/>
        <v>21.729553476362859</v>
      </c>
      <c r="AA422" s="6">
        <v>0</v>
      </c>
      <c r="AB422" s="6">
        <v>1</v>
      </c>
      <c r="AC422" s="6">
        <v>1</v>
      </c>
      <c r="AD422" s="7">
        <v>1</v>
      </c>
      <c r="AE422" s="9">
        <v>100</v>
      </c>
      <c r="AF422" s="10">
        <f t="shared" si="125"/>
        <v>14</v>
      </c>
      <c r="AG422" s="12">
        <f t="shared" si="119"/>
        <v>639.30209199318563</v>
      </c>
      <c r="AH422" s="11">
        <f t="shared" si="120"/>
        <v>21.729553476362859</v>
      </c>
      <c r="AJ422" s="6">
        <f t="shared" si="126"/>
        <v>1000</v>
      </c>
      <c r="AK422" s="4">
        <v>405</v>
      </c>
      <c r="AM422" s="2" t="str">
        <f t="shared" si="121"/>
        <v>0</v>
      </c>
      <c r="AN422" s="2" t="str">
        <f t="shared" si="127"/>
        <v>3E8</v>
      </c>
      <c r="AO422" s="2"/>
      <c r="AP422" s="2" t="str">
        <f t="shared" si="128"/>
        <v>03E8</v>
      </c>
    </row>
    <row r="423" spans="1:42" x14ac:dyDescent="0.2">
      <c r="A423">
        <v>406</v>
      </c>
      <c r="B423">
        <v>40.5</v>
      </c>
      <c r="C423" s="6">
        <v>0</v>
      </c>
      <c r="D423" s="6">
        <v>0</v>
      </c>
      <c r="E423" s="6">
        <v>0</v>
      </c>
      <c r="F423" s="7">
        <v>0</v>
      </c>
      <c r="G423" s="9">
        <v>100</v>
      </c>
      <c r="H423" s="10">
        <f t="shared" si="122"/>
        <v>0</v>
      </c>
      <c r="I423" s="12">
        <f t="shared" si="113"/>
        <v>639.30209199318563</v>
      </c>
      <c r="J423" s="11">
        <f t="shared" si="114"/>
        <v>21.729553476362859</v>
      </c>
      <c r="K423" s="6">
        <v>0</v>
      </c>
      <c r="L423" s="6">
        <v>0</v>
      </c>
      <c r="M423" s="6">
        <v>0</v>
      </c>
      <c r="N423" s="7">
        <v>0</v>
      </c>
      <c r="O423" s="9">
        <v>100</v>
      </c>
      <c r="P423" s="10">
        <f t="shared" si="123"/>
        <v>0</v>
      </c>
      <c r="Q423" s="12">
        <f t="shared" si="115"/>
        <v>639.30209199318563</v>
      </c>
      <c r="R423" s="11">
        <f t="shared" si="116"/>
        <v>21.729553476362859</v>
      </c>
      <c r="S423" s="6">
        <v>0</v>
      </c>
      <c r="T423" s="6">
        <v>0</v>
      </c>
      <c r="U423" s="6">
        <v>0</v>
      </c>
      <c r="V423" s="7">
        <v>0</v>
      </c>
      <c r="W423" s="9">
        <v>100</v>
      </c>
      <c r="X423" s="10">
        <f t="shared" si="124"/>
        <v>0</v>
      </c>
      <c r="Y423" s="12">
        <f t="shared" si="117"/>
        <v>639.30209199318563</v>
      </c>
      <c r="Z423" s="11">
        <f t="shared" si="118"/>
        <v>21.729553476362859</v>
      </c>
      <c r="AA423" s="6">
        <v>0</v>
      </c>
      <c r="AB423" s="6">
        <v>1</v>
      </c>
      <c r="AC423" s="6">
        <v>1</v>
      </c>
      <c r="AD423" s="7">
        <v>1</v>
      </c>
      <c r="AE423" s="9">
        <v>100</v>
      </c>
      <c r="AF423" s="10">
        <f t="shared" si="125"/>
        <v>14</v>
      </c>
      <c r="AG423" s="12">
        <f t="shared" si="119"/>
        <v>639.30209199318563</v>
      </c>
      <c r="AH423" s="11">
        <f t="shared" si="120"/>
        <v>21.729553476362859</v>
      </c>
      <c r="AJ423" s="6">
        <f t="shared" si="126"/>
        <v>1000</v>
      </c>
      <c r="AK423" s="4">
        <v>406</v>
      </c>
      <c r="AM423" s="2" t="str">
        <f t="shared" si="121"/>
        <v>0</v>
      </c>
      <c r="AN423" s="2" t="str">
        <f t="shared" si="127"/>
        <v>3E8</v>
      </c>
      <c r="AO423" s="2"/>
      <c r="AP423" s="2" t="str">
        <f t="shared" si="128"/>
        <v>03E8</v>
      </c>
    </row>
    <row r="424" spans="1:42" x14ac:dyDescent="0.2">
      <c r="A424">
        <v>407</v>
      </c>
      <c r="B424">
        <v>40.6</v>
      </c>
      <c r="C424" s="6">
        <v>0</v>
      </c>
      <c r="D424" s="6">
        <v>0</v>
      </c>
      <c r="E424" s="6">
        <v>0</v>
      </c>
      <c r="F424" s="7">
        <v>0</v>
      </c>
      <c r="G424" s="9">
        <v>100</v>
      </c>
      <c r="H424" s="10">
        <f t="shared" si="122"/>
        <v>0</v>
      </c>
      <c r="I424" s="12">
        <f t="shared" si="113"/>
        <v>639.30209199318563</v>
      </c>
      <c r="J424" s="11">
        <f t="shared" si="114"/>
        <v>21.729553476362859</v>
      </c>
      <c r="K424" s="6">
        <v>0</v>
      </c>
      <c r="L424" s="6">
        <v>0</v>
      </c>
      <c r="M424" s="6">
        <v>0</v>
      </c>
      <c r="N424" s="7">
        <v>0</v>
      </c>
      <c r="O424" s="9">
        <v>100</v>
      </c>
      <c r="P424" s="10">
        <f t="shared" si="123"/>
        <v>0</v>
      </c>
      <c r="Q424" s="12">
        <f t="shared" si="115"/>
        <v>639.30209199318563</v>
      </c>
      <c r="R424" s="11">
        <f t="shared" si="116"/>
        <v>21.729553476362859</v>
      </c>
      <c r="S424" s="6">
        <v>0</v>
      </c>
      <c r="T424" s="6">
        <v>0</v>
      </c>
      <c r="U424" s="6">
        <v>0</v>
      </c>
      <c r="V424" s="7">
        <v>0</v>
      </c>
      <c r="W424" s="9">
        <v>100</v>
      </c>
      <c r="X424" s="10">
        <f t="shared" si="124"/>
        <v>0</v>
      </c>
      <c r="Y424" s="12">
        <f t="shared" si="117"/>
        <v>639.30209199318563</v>
      </c>
      <c r="Z424" s="11">
        <f t="shared" si="118"/>
        <v>21.729553476362859</v>
      </c>
      <c r="AA424" s="6">
        <v>0</v>
      </c>
      <c r="AB424" s="6">
        <v>1</v>
      </c>
      <c r="AC424" s="6">
        <v>1</v>
      </c>
      <c r="AD424" s="7">
        <v>1</v>
      </c>
      <c r="AE424" s="9">
        <v>100</v>
      </c>
      <c r="AF424" s="10">
        <f t="shared" si="125"/>
        <v>14</v>
      </c>
      <c r="AG424" s="12">
        <f t="shared" si="119"/>
        <v>639.30209199318563</v>
      </c>
      <c r="AH424" s="11">
        <f t="shared" si="120"/>
        <v>21.729553476362859</v>
      </c>
      <c r="AJ424" s="6">
        <f t="shared" si="126"/>
        <v>1000</v>
      </c>
      <c r="AK424" s="4">
        <v>407</v>
      </c>
      <c r="AM424" s="2" t="str">
        <f t="shared" si="121"/>
        <v>0</v>
      </c>
      <c r="AN424" s="2" t="str">
        <f t="shared" si="127"/>
        <v>3E8</v>
      </c>
      <c r="AO424" s="2"/>
      <c r="AP424" s="2" t="str">
        <f t="shared" si="128"/>
        <v>03E8</v>
      </c>
    </row>
    <row r="425" spans="1:42" x14ac:dyDescent="0.2">
      <c r="A425">
        <v>408</v>
      </c>
      <c r="B425">
        <v>40.700000000000003</v>
      </c>
      <c r="C425" s="6">
        <v>0</v>
      </c>
      <c r="D425" s="6">
        <v>0</v>
      </c>
      <c r="E425" s="6">
        <v>0</v>
      </c>
      <c r="F425" s="7">
        <v>0</v>
      </c>
      <c r="G425" s="9">
        <v>100</v>
      </c>
      <c r="H425" s="10">
        <f t="shared" si="122"/>
        <v>0</v>
      </c>
      <c r="I425" s="12">
        <f t="shared" si="113"/>
        <v>639.30209199318563</v>
      </c>
      <c r="J425" s="11">
        <f t="shared" si="114"/>
        <v>21.729553476362859</v>
      </c>
      <c r="K425" s="6">
        <v>0</v>
      </c>
      <c r="L425" s="6">
        <v>0</v>
      </c>
      <c r="M425" s="6">
        <v>0</v>
      </c>
      <c r="N425" s="7">
        <v>0</v>
      </c>
      <c r="O425" s="9">
        <v>100</v>
      </c>
      <c r="P425" s="10">
        <f t="shared" si="123"/>
        <v>0</v>
      </c>
      <c r="Q425" s="12">
        <f t="shared" si="115"/>
        <v>639.30209199318563</v>
      </c>
      <c r="R425" s="11">
        <f t="shared" si="116"/>
        <v>21.729553476362859</v>
      </c>
      <c r="S425" s="6">
        <v>0</v>
      </c>
      <c r="T425" s="6">
        <v>0</v>
      </c>
      <c r="U425" s="6">
        <v>0</v>
      </c>
      <c r="V425" s="7">
        <v>0</v>
      </c>
      <c r="W425" s="9">
        <v>100</v>
      </c>
      <c r="X425" s="10">
        <f t="shared" si="124"/>
        <v>0</v>
      </c>
      <c r="Y425" s="12">
        <f t="shared" si="117"/>
        <v>639.30209199318563</v>
      </c>
      <c r="Z425" s="11">
        <f t="shared" si="118"/>
        <v>21.729553476362859</v>
      </c>
      <c r="AA425" s="6">
        <v>0</v>
      </c>
      <c r="AB425" s="6">
        <v>0</v>
      </c>
      <c r="AC425" s="6">
        <v>0</v>
      </c>
      <c r="AD425" s="7">
        <v>0</v>
      </c>
      <c r="AE425" s="9">
        <v>100</v>
      </c>
      <c r="AF425" s="10">
        <f t="shared" si="125"/>
        <v>0</v>
      </c>
      <c r="AG425" s="12">
        <f t="shared" si="119"/>
        <v>639.30209199318563</v>
      </c>
      <c r="AH425" s="11">
        <f t="shared" si="120"/>
        <v>21.729553476362859</v>
      </c>
      <c r="AJ425" s="6">
        <f t="shared" si="126"/>
        <v>1000</v>
      </c>
      <c r="AK425" s="4">
        <v>408</v>
      </c>
      <c r="AM425" s="2" t="str">
        <f t="shared" si="121"/>
        <v>0</v>
      </c>
      <c r="AN425" s="2" t="str">
        <f t="shared" si="127"/>
        <v>3E8</v>
      </c>
      <c r="AO425" s="2"/>
      <c r="AP425" s="2" t="str">
        <f t="shared" si="128"/>
        <v>03E8</v>
      </c>
    </row>
    <row r="426" spans="1:42" x14ac:dyDescent="0.2">
      <c r="A426">
        <v>409</v>
      </c>
      <c r="B426">
        <v>40.799999999999997</v>
      </c>
      <c r="C426" s="6">
        <v>0</v>
      </c>
      <c r="D426" s="6">
        <v>0</v>
      </c>
      <c r="E426" s="6">
        <v>0</v>
      </c>
      <c r="F426" s="7">
        <v>0</v>
      </c>
      <c r="G426" s="9">
        <v>100</v>
      </c>
      <c r="H426" s="10">
        <f t="shared" si="122"/>
        <v>0</v>
      </c>
      <c r="I426" s="12">
        <f t="shared" si="113"/>
        <v>639.30209199318563</v>
      </c>
      <c r="J426" s="11">
        <f t="shared" si="114"/>
        <v>21.729553476362859</v>
      </c>
      <c r="K426" s="6">
        <v>0</v>
      </c>
      <c r="L426" s="6">
        <v>0</v>
      </c>
      <c r="M426" s="6">
        <v>0</v>
      </c>
      <c r="N426" s="7">
        <v>0</v>
      </c>
      <c r="O426" s="9">
        <v>100</v>
      </c>
      <c r="P426" s="10">
        <f t="shared" si="123"/>
        <v>0</v>
      </c>
      <c r="Q426" s="12">
        <f t="shared" si="115"/>
        <v>639.30209199318563</v>
      </c>
      <c r="R426" s="11">
        <f t="shared" si="116"/>
        <v>21.729553476362859</v>
      </c>
      <c r="S426" s="6">
        <v>0</v>
      </c>
      <c r="T426" s="6">
        <v>0</v>
      </c>
      <c r="U426" s="6">
        <v>0</v>
      </c>
      <c r="V426" s="7">
        <v>0</v>
      </c>
      <c r="W426" s="9">
        <v>100</v>
      </c>
      <c r="X426" s="10">
        <f t="shared" si="124"/>
        <v>0</v>
      </c>
      <c r="Y426" s="12">
        <f t="shared" si="117"/>
        <v>639.30209199318563</v>
      </c>
      <c r="Z426" s="11">
        <f t="shared" si="118"/>
        <v>21.729553476362859</v>
      </c>
      <c r="AA426" s="6">
        <v>0</v>
      </c>
      <c r="AB426" s="6">
        <v>0</v>
      </c>
      <c r="AC426" s="6">
        <v>0</v>
      </c>
      <c r="AD426" s="7">
        <v>0</v>
      </c>
      <c r="AE426" s="9">
        <v>100</v>
      </c>
      <c r="AF426" s="10">
        <f t="shared" si="125"/>
        <v>0</v>
      </c>
      <c r="AG426" s="12">
        <f t="shared" si="119"/>
        <v>639.30209199318563</v>
      </c>
      <c r="AH426" s="11">
        <f t="shared" si="120"/>
        <v>21.729553476362859</v>
      </c>
      <c r="AJ426" s="6">
        <f t="shared" si="126"/>
        <v>1000</v>
      </c>
      <c r="AK426" s="4">
        <v>409</v>
      </c>
      <c r="AM426" s="2" t="str">
        <f t="shared" si="121"/>
        <v>0</v>
      </c>
      <c r="AN426" s="2" t="str">
        <f t="shared" si="127"/>
        <v>3E8</v>
      </c>
      <c r="AO426" s="2"/>
      <c r="AP426" s="2" t="str">
        <f t="shared" si="128"/>
        <v>03E8</v>
      </c>
    </row>
    <row r="427" spans="1:42" x14ac:dyDescent="0.2">
      <c r="A427">
        <v>410</v>
      </c>
      <c r="B427">
        <v>40.9</v>
      </c>
      <c r="C427" s="6">
        <v>0</v>
      </c>
      <c r="D427" s="6">
        <v>0</v>
      </c>
      <c r="E427" s="6">
        <v>0</v>
      </c>
      <c r="F427" s="7">
        <v>0</v>
      </c>
      <c r="G427" s="9">
        <v>100</v>
      </c>
      <c r="H427" s="10">
        <f t="shared" si="122"/>
        <v>0</v>
      </c>
      <c r="I427" s="12">
        <f t="shared" si="113"/>
        <v>639.30209199318563</v>
      </c>
      <c r="J427" s="11">
        <f t="shared" si="114"/>
        <v>21.729553476362859</v>
      </c>
      <c r="K427" s="6">
        <v>0</v>
      </c>
      <c r="L427" s="6">
        <v>0</v>
      </c>
      <c r="M427" s="6">
        <v>0</v>
      </c>
      <c r="N427" s="7">
        <v>0</v>
      </c>
      <c r="O427" s="9">
        <v>100</v>
      </c>
      <c r="P427" s="10">
        <f t="shared" si="123"/>
        <v>0</v>
      </c>
      <c r="Q427" s="12">
        <f t="shared" si="115"/>
        <v>639.30209199318563</v>
      </c>
      <c r="R427" s="11">
        <f t="shared" si="116"/>
        <v>21.729553476362859</v>
      </c>
      <c r="S427" s="6">
        <v>0</v>
      </c>
      <c r="T427" s="6">
        <v>0</v>
      </c>
      <c r="U427" s="6">
        <v>0</v>
      </c>
      <c r="V427" s="7">
        <v>0</v>
      </c>
      <c r="W427" s="9">
        <v>100</v>
      </c>
      <c r="X427" s="10">
        <f t="shared" si="124"/>
        <v>0</v>
      </c>
      <c r="Y427" s="12">
        <f t="shared" si="117"/>
        <v>639.30209199318563</v>
      </c>
      <c r="Z427" s="11">
        <f t="shared" si="118"/>
        <v>21.729553476362859</v>
      </c>
      <c r="AA427" s="6">
        <v>0</v>
      </c>
      <c r="AB427" s="6">
        <v>0</v>
      </c>
      <c r="AC427" s="6">
        <v>0</v>
      </c>
      <c r="AD427" s="7">
        <v>0</v>
      </c>
      <c r="AE427" s="9">
        <v>100</v>
      </c>
      <c r="AF427" s="10">
        <f t="shared" si="125"/>
        <v>0</v>
      </c>
      <c r="AG427" s="12">
        <f t="shared" si="119"/>
        <v>639.30209199318563</v>
      </c>
      <c r="AH427" s="11">
        <f t="shared" si="120"/>
        <v>21.729553476362859</v>
      </c>
      <c r="AJ427" s="6">
        <f t="shared" si="126"/>
        <v>1000</v>
      </c>
      <c r="AK427" s="4">
        <v>410</v>
      </c>
      <c r="AM427" s="2" t="str">
        <f t="shared" si="121"/>
        <v>0</v>
      </c>
      <c r="AN427" s="2" t="str">
        <f t="shared" si="127"/>
        <v>3E8</v>
      </c>
      <c r="AO427" s="2"/>
      <c r="AP427" s="2" t="str">
        <f t="shared" si="128"/>
        <v>03E8</v>
      </c>
    </row>
    <row r="428" spans="1:42" x14ac:dyDescent="0.2">
      <c r="A428">
        <v>411</v>
      </c>
      <c r="B428">
        <v>41</v>
      </c>
      <c r="C428" s="6">
        <v>0</v>
      </c>
      <c r="D428" s="6">
        <v>0</v>
      </c>
      <c r="E428" s="6">
        <v>0</v>
      </c>
      <c r="F428" s="7">
        <v>0</v>
      </c>
      <c r="G428" s="9">
        <v>100</v>
      </c>
      <c r="H428" s="10">
        <f t="shared" si="122"/>
        <v>0</v>
      </c>
      <c r="I428" s="12">
        <f t="shared" si="113"/>
        <v>639.30209199318563</v>
      </c>
      <c r="J428" s="11">
        <f t="shared" si="114"/>
        <v>21.729553476362859</v>
      </c>
      <c r="K428" s="6">
        <v>0</v>
      </c>
      <c r="L428" s="6">
        <v>0</v>
      </c>
      <c r="M428" s="6">
        <v>0</v>
      </c>
      <c r="N428" s="7">
        <v>0</v>
      </c>
      <c r="O428" s="9">
        <v>100</v>
      </c>
      <c r="P428" s="10">
        <f t="shared" si="123"/>
        <v>0</v>
      </c>
      <c r="Q428" s="12">
        <f t="shared" si="115"/>
        <v>639.30209199318563</v>
      </c>
      <c r="R428" s="11">
        <f t="shared" si="116"/>
        <v>21.729553476362859</v>
      </c>
      <c r="S428" s="6">
        <v>0</v>
      </c>
      <c r="T428" s="6">
        <v>0</v>
      </c>
      <c r="U428" s="6">
        <v>0</v>
      </c>
      <c r="V428" s="7">
        <v>0</v>
      </c>
      <c r="W428" s="9">
        <v>100</v>
      </c>
      <c r="X428" s="10">
        <f t="shared" si="124"/>
        <v>0</v>
      </c>
      <c r="Y428" s="12">
        <f t="shared" si="117"/>
        <v>639.30209199318563</v>
      </c>
      <c r="Z428" s="11">
        <f t="shared" si="118"/>
        <v>21.729553476362859</v>
      </c>
      <c r="AA428" s="6">
        <v>0</v>
      </c>
      <c r="AB428" s="6">
        <v>0</v>
      </c>
      <c r="AC428" s="6">
        <v>0</v>
      </c>
      <c r="AD428" s="7">
        <v>0</v>
      </c>
      <c r="AE428" s="9">
        <v>100</v>
      </c>
      <c r="AF428" s="10">
        <f t="shared" si="125"/>
        <v>0</v>
      </c>
      <c r="AG428" s="12">
        <f t="shared" si="119"/>
        <v>639.30209199318563</v>
      </c>
      <c r="AH428" s="11">
        <f t="shared" si="120"/>
        <v>21.729553476362859</v>
      </c>
      <c r="AJ428" s="6">
        <f t="shared" si="126"/>
        <v>1000</v>
      </c>
      <c r="AK428" s="4">
        <v>411</v>
      </c>
      <c r="AM428" s="2" t="str">
        <f t="shared" si="121"/>
        <v>0</v>
      </c>
      <c r="AN428" s="2" t="str">
        <f t="shared" si="127"/>
        <v>3E8</v>
      </c>
      <c r="AO428" s="2"/>
      <c r="AP428" s="2" t="str">
        <f t="shared" si="128"/>
        <v>03E8</v>
      </c>
    </row>
    <row r="429" spans="1:42" x14ac:dyDescent="0.2">
      <c r="A429">
        <v>412</v>
      </c>
      <c r="B429">
        <v>41.1</v>
      </c>
      <c r="C429" s="6">
        <v>0</v>
      </c>
      <c r="D429" s="6">
        <v>0</v>
      </c>
      <c r="E429" s="6">
        <v>0</v>
      </c>
      <c r="F429" s="7">
        <v>0</v>
      </c>
      <c r="G429" s="9">
        <v>100</v>
      </c>
      <c r="H429" s="10">
        <f t="shared" si="122"/>
        <v>0</v>
      </c>
      <c r="I429" s="12">
        <f t="shared" si="113"/>
        <v>639.30209199318563</v>
      </c>
      <c r="J429" s="11">
        <f t="shared" si="114"/>
        <v>21.729553476362859</v>
      </c>
      <c r="K429" s="6">
        <v>0</v>
      </c>
      <c r="L429" s="6">
        <v>0</v>
      </c>
      <c r="M429" s="6">
        <v>0</v>
      </c>
      <c r="N429" s="7">
        <v>0</v>
      </c>
      <c r="O429" s="9">
        <v>100</v>
      </c>
      <c r="P429" s="10">
        <f t="shared" si="123"/>
        <v>0</v>
      </c>
      <c r="Q429" s="12">
        <f t="shared" si="115"/>
        <v>639.30209199318563</v>
      </c>
      <c r="R429" s="11">
        <f t="shared" si="116"/>
        <v>21.729553476362859</v>
      </c>
      <c r="S429" s="6">
        <v>0</v>
      </c>
      <c r="T429" s="6">
        <v>0</v>
      </c>
      <c r="U429" s="6">
        <v>0</v>
      </c>
      <c r="V429" s="7">
        <v>0</v>
      </c>
      <c r="W429" s="9">
        <v>100</v>
      </c>
      <c r="X429" s="10">
        <f t="shared" si="124"/>
        <v>0</v>
      </c>
      <c r="Y429" s="12">
        <f t="shared" si="117"/>
        <v>639.30209199318563</v>
      </c>
      <c r="Z429" s="11">
        <f t="shared" si="118"/>
        <v>21.729553476362859</v>
      </c>
      <c r="AA429" s="6">
        <v>0</v>
      </c>
      <c r="AB429" s="6">
        <v>0</v>
      </c>
      <c r="AC429" s="6">
        <v>0</v>
      </c>
      <c r="AD429" s="7">
        <v>0</v>
      </c>
      <c r="AE429" s="9">
        <v>100</v>
      </c>
      <c r="AF429" s="10">
        <f t="shared" si="125"/>
        <v>0</v>
      </c>
      <c r="AG429" s="12">
        <f t="shared" si="119"/>
        <v>639.30209199318563</v>
      </c>
      <c r="AH429" s="11">
        <f t="shared" si="120"/>
        <v>21.729553476362859</v>
      </c>
      <c r="AJ429" s="6">
        <f t="shared" si="126"/>
        <v>1000</v>
      </c>
      <c r="AK429" s="4">
        <v>412</v>
      </c>
      <c r="AM429" s="2" t="str">
        <f t="shared" si="121"/>
        <v>0</v>
      </c>
      <c r="AN429" s="2" t="str">
        <f t="shared" si="127"/>
        <v>3E8</v>
      </c>
      <c r="AO429" s="2"/>
      <c r="AP429" s="2" t="str">
        <f t="shared" si="128"/>
        <v>03E8</v>
      </c>
    </row>
    <row r="430" spans="1:42" x14ac:dyDescent="0.2">
      <c r="A430">
        <v>413</v>
      </c>
      <c r="B430">
        <v>41.2</v>
      </c>
      <c r="C430" s="6">
        <v>0</v>
      </c>
      <c r="D430" s="6">
        <v>0</v>
      </c>
      <c r="E430" s="6">
        <v>0</v>
      </c>
      <c r="F430" s="7">
        <v>0</v>
      </c>
      <c r="G430" s="9">
        <v>100</v>
      </c>
      <c r="H430" s="10">
        <f t="shared" si="122"/>
        <v>0</v>
      </c>
      <c r="I430" s="12">
        <f t="shared" si="113"/>
        <v>639.30209199318563</v>
      </c>
      <c r="J430" s="11">
        <f t="shared" si="114"/>
        <v>21.729553476362859</v>
      </c>
      <c r="K430" s="6">
        <v>0</v>
      </c>
      <c r="L430" s="6">
        <v>0</v>
      </c>
      <c r="M430" s="6">
        <v>0</v>
      </c>
      <c r="N430" s="7">
        <v>0</v>
      </c>
      <c r="O430" s="9">
        <v>100</v>
      </c>
      <c r="P430" s="10">
        <f t="shared" si="123"/>
        <v>0</v>
      </c>
      <c r="Q430" s="12">
        <f t="shared" si="115"/>
        <v>639.30209199318563</v>
      </c>
      <c r="R430" s="11">
        <f t="shared" si="116"/>
        <v>21.729553476362859</v>
      </c>
      <c r="S430" s="6">
        <v>0</v>
      </c>
      <c r="T430" s="6">
        <v>0</v>
      </c>
      <c r="U430" s="6">
        <v>0</v>
      </c>
      <c r="V430" s="7">
        <v>0</v>
      </c>
      <c r="W430" s="9">
        <v>100</v>
      </c>
      <c r="X430" s="10">
        <f t="shared" si="124"/>
        <v>0</v>
      </c>
      <c r="Y430" s="12">
        <f t="shared" si="117"/>
        <v>639.30209199318563</v>
      </c>
      <c r="Z430" s="11">
        <f t="shared" si="118"/>
        <v>21.729553476362859</v>
      </c>
      <c r="AA430" s="6">
        <v>0</v>
      </c>
      <c r="AB430" s="6">
        <v>0</v>
      </c>
      <c r="AC430" s="6">
        <v>0</v>
      </c>
      <c r="AD430" s="7">
        <v>0</v>
      </c>
      <c r="AE430" s="9">
        <v>100</v>
      </c>
      <c r="AF430" s="10">
        <f t="shared" si="125"/>
        <v>0</v>
      </c>
      <c r="AG430" s="12">
        <f t="shared" si="119"/>
        <v>639.30209199318563</v>
      </c>
      <c r="AH430" s="11">
        <f t="shared" si="120"/>
        <v>21.729553476362859</v>
      </c>
      <c r="AJ430" s="6">
        <f t="shared" si="126"/>
        <v>1000</v>
      </c>
      <c r="AK430" s="4">
        <v>413</v>
      </c>
      <c r="AM430" s="2" t="str">
        <f t="shared" si="121"/>
        <v>0</v>
      </c>
      <c r="AN430" s="2" t="str">
        <f t="shared" si="127"/>
        <v>3E8</v>
      </c>
      <c r="AO430" s="2"/>
      <c r="AP430" s="2" t="str">
        <f t="shared" si="128"/>
        <v>03E8</v>
      </c>
    </row>
    <row r="431" spans="1:42" x14ac:dyDescent="0.2">
      <c r="A431">
        <v>414</v>
      </c>
      <c r="B431">
        <v>41.3</v>
      </c>
      <c r="C431" s="6">
        <v>0</v>
      </c>
      <c r="D431" s="6">
        <v>0</v>
      </c>
      <c r="E431" s="6">
        <v>0</v>
      </c>
      <c r="F431" s="7">
        <v>0</v>
      </c>
      <c r="G431" s="9">
        <v>100</v>
      </c>
      <c r="H431" s="10">
        <f t="shared" si="122"/>
        <v>0</v>
      </c>
      <c r="I431" s="12">
        <f t="shared" si="113"/>
        <v>639.30209199318563</v>
      </c>
      <c r="J431" s="11">
        <f t="shared" si="114"/>
        <v>21.729553476362859</v>
      </c>
      <c r="K431" s="6">
        <v>0</v>
      </c>
      <c r="L431" s="6">
        <v>0</v>
      </c>
      <c r="M431" s="6">
        <v>0</v>
      </c>
      <c r="N431" s="7">
        <v>0</v>
      </c>
      <c r="O431" s="9">
        <v>100</v>
      </c>
      <c r="P431" s="10">
        <f t="shared" si="123"/>
        <v>0</v>
      </c>
      <c r="Q431" s="12">
        <f t="shared" si="115"/>
        <v>639.30209199318563</v>
      </c>
      <c r="R431" s="11">
        <f t="shared" si="116"/>
        <v>21.729553476362859</v>
      </c>
      <c r="S431" s="6">
        <v>0</v>
      </c>
      <c r="T431" s="6">
        <v>0</v>
      </c>
      <c r="U431" s="6">
        <v>0</v>
      </c>
      <c r="V431" s="7">
        <v>0</v>
      </c>
      <c r="W431" s="9">
        <v>100</v>
      </c>
      <c r="X431" s="10">
        <f t="shared" si="124"/>
        <v>0</v>
      </c>
      <c r="Y431" s="12">
        <f t="shared" si="117"/>
        <v>639.30209199318563</v>
      </c>
      <c r="Z431" s="11">
        <f t="shared" si="118"/>
        <v>21.729553476362859</v>
      </c>
      <c r="AA431" s="6">
        <v>0</v>
      </c>
      <c r="AB431" s="6">
        <v>0</v>
      </c>
      <c r="AC431" s="6">
        <v>0</v>
      </c>
      <c r="AD431" s="7">
        <v>0</v>
      </c>
      <c r="AE431" s="9">
        <v>100</v>
      </c>
      <c r="AF431" s="10">
        <f t="shared" si="125"/>
        <v>0</v>
      </c>
      <c r="AG431" s="12">
        <f t="shared" si="119"/>
        <v>639.30209199318563</v>
      </c>
      <c r="AH431" s="11">
        <f t="shared" si="120"/>
        <v>21.729553476362859</v>
      </c>
      <c r="AJ431" s="6">
        <f t="shared" si="126"/>
        <v>1000</v>
      </c>
      <c r="AK431" s="4">
        <v>414</v>
      </c>
      <c r="AM431" s="2" t="str">
        <f t="shared" si="121"/>
        <v>0</v>
      </c>
      <c r="AN431" s="2" t="str">
        <f t="shared" si="127"/>
        <v>3E8</v>
      </c>
      <c r="AO431" s="2"/>
      <c r="AP431" s="2" t="str">
        <f t="shared" si="128"/>
        <v>03E8</v>
      </c>
    </row>
    <row r="432" spans="1:42" x14ac:dyDescent="0.2">
      <c r="A432">
        <v>415</v>
      </c>
      <c r="B432">
        <v>41.4</v>
      </c>
      <c r="C432" s="6">
        <v>0</v>
      </c>
      <c r="D432" s="6">
        <v>0</v>
      </c>
      <c r="E432" s="6">
        <v>0</v>
      </c>
      <c r="F432" s="7">
        <v>0</v>
      </c>
      <c r="G432" s="9">
        <v>100</v>
      </c>
      <c r="H432" s="10">
        <f t="shared" si="122"/>
        <v>0</v>
      </c>
      <c r="I432" s="12">
        <f t="shared" si="113"/>
        <v>639.30209199318563</v>
      </c>
      <c r="J432" s="11">
        <f t="shared" si="114"/>
        <v>21.729553476362859</v>
      </c>
      <c r="K432" s="6">
        <v>0</v>
      </c>
      <c r="L432" s="6">
        <v>0</v>
      </c>
      <c r="M432" s="6">
        <v>0</v>
      </c>
      <c r="N432" s="7">
        <v>0</v>
      </c>
      <c r="O432" s="9">
        <v>100</v>
      </c>
      <c r="P432" s="10">
        <f t="shared" si="123"/>
        <v>0</v>
      </c>
      <c r="Q432" s="12">
        <f t="shared" si="115"/>
        <v>639.30209199318563</v>
      </c>
      <c r="R432" s="11">
        <f t="shared" si="116"/>
        <v>21.729553476362859</v>
      </c>
      <c r="S432" s="6">
        <v>0</v>
      </c>
      <c r="T432" s="6">
        <v>0</v>
      </c>
      <c r="U432" s="6">
        <v>0</v>
      </c>
      <c r="V432" s="7">
        <v>0</v>
      </c>
      <c r="W432" s="9">
        <v>100</v>
      </c>
      <c r="X432" s="10">
        <f t="shared" si="124"/>
        <v>0</v>
      </c>
      <c r="Y432" s="12">
        <f t="shared" si="117"/>
        <v>639.30209199318563</v>
      </c>
      <c r="Z432" s="11">
        <f t="shared" si="118"/>
        <v>21.729553476362859</v>
      </c>
      <c r="AA432" s="6">
        <v>0</v>
      </c>
      <c r="AB432" s="6">
        <v>0</v>
      </c>
      <c r="AC432" s="6">
        <v>0</v>
      </c>
      <c r="AD432" s="7">
        <v>0</v>
      </c>
      <c r="AE432" s="9">
        <v>100</v>
      </c>
      <c r="AF432" s="10">
        <f t="shared" si="125"/>
        <v>0</v>
      </c>
      <c r="AG432" s="12">
        <f t="shared" si="119"/>
        <v>639.30209199318563</v>
      </c>
      <c r="AH432" s="11">
        <f t="shared" si="120"/>
        <v>21.729553476362859</v>
      </c>
      <c r="AJ432" s="6">
        <f t="shared" si="126"/>
        <v>1000</v>
      </c>
      <c r="AK432" s="4">
        <v>415</v>
      </c>
      <c r="AM432" s="2" t="str">
        <f t="shared" si="121"/>
        <v>0</v>
      </c>
      <c r="AN432" s="2" t="str">
        <f t="shared" si="127"/>
        <v>3E8</v>
      </c>
      <c r="AO432" s="2"/>
      <c r="AP432" s="2" t="str">
        <f t="shared" si="128"/>
        <v>03E8</v>
      </c>
    </row>
    <row r="433" spans="1:42" x14ac:dyDescent="0.2">
      <c r="A433">
        <v>416</v>
      </c>
      <c r="B433">
        <v>41.5</v>
      </c>
      <c r="C433" s="6">
        <v>0</v>
      </c>
      <c r="D433" s="6">
        <v>0</v>
      </c>
      <c r="E433" s="6">
        <v>0</v>
      </c>
      <c r="F433" s="7">
        <v>0</v>
      </c>
      <c r="G433" s="9">
        <v>100</v>
      </c>
      <c r="H433" s="10">
        <f t="shared" si="122"/>
        <v>0</v>
      </c>
      <c r="I433" s="12">
        <f t="shared" si="113"/>
        <v>639.30209199318563</v>
      </c>
      <c r="J433" s="11">
        <f t="shared" si="114"/>
        <v>21.729553476362859</v>
      </c>
      <c r="K433" s="6">
        <v>0</v>
      </c>
      <c r="L433" s="6">
        <v>0</v>
      </c>
      <c r="M433" s="6">
        <v>0</v>
      </c>
      <c r="N433" s="7">
        <v>0</v>
      </c>
      <c r="O433" s="9">
        <v>100</v>
      </c>
      <c r="P433" s="10">
        <f t="shared" si="123"/>
        <v>0</v>
      </c>
      <c r="Q433" s="12">
        <f t="shared" si="115"/>
        <v>639.30209199318563</v>
      </c>
      <c r="R433" s="11">
        <f t="shared" si="116"/>
        <v>21.729553476362859</v>
      </c>
      <c r="S433" s="6">
        <v>0</v>
      </c>
      <c r="T433" s="6">
        <v>0</v>
      </c>
      <c r="U433" s="6">
        <v>0</v>
      </c>
      <c r="V433" s="7">
        <v>0</v>
      </c>
      <c r="W433" s="9">
        <v>100</v>
      </c>
      <c r="X433" s="10">
        <f t="shared" si="124"/>
        <v>0</v>
      </c>
      <c r="Y433" s="12">
        <f t="shared" si="117"/>
        <v>639.30209199318563</v>
      </c>
      <c r="Z433" s="11">
        <f t="shared" si="118"/>
        <v>21.729553476362859</v>
      </c>
      <c r="AA433" s="6">
        <v>0</v>
      </c>
      <c r="AB433" s="6">
        <v>0</v>
      </c>
      <c r="AC433" s="6">
        <v>0</v>
      </c>
      <c r="AD433" s="7">
        <v>0</v>
      </c>
      <c r="AE433" s="9">
        <v>100</v>
      </c>
      <c r="AF433" s="10">
        <f t="shared" si="125"/>
        <v>0</v>
      </c>
      <c r="AG433" s="12">
        <f t="shared" si="119"/>
        <v>639.30209199318563</v>
      </c>
      <c r="AH433" s="11">
        <f t="shared" si="120"/>
        <v>21.729553476362859</v>
      </c>
      <c r="AJ433" s="6">
        <f t="shared" si="126"/>
        <v>1000</v>
      </c>
      <c r="AK433" s="4">
        <v>416</v>
      </c>
      <c r="AM433" s="2" t="str">
        <f t="shared" si="121"/>
        <v>0</v>
      </c>
      <c r="AN433" s="2" t="str">
        <f t="shared" si="127"/>
        <v>3E8</v>
      </c>
      <c r="AO433" s="2"/>
      <c r="AP433" s="2" t="str">
        <f t="shared" si="128"/>
        <v>03E8</v>
      </c>
    </row>
    <row r="434" spans="1:42" x14ac:dyDescent="0.2">
      <c r="A434">
        <v>417</v>
      </c>
      <c r="B434">
        <v>41.6</v>
      </c>
      <c r="C434" s="6">
        <v>0</v>
      </c>
      <c r="D434" s="6">
        <v>0</v>
      </c>
      <c r="E434" s="6">
        <v>0</v>
      </c>
      <c r="F434" s="7">
        <v>0</v>
      </c>
      <c r="G434" s="9">
        <v>100</v>
      </c>
      <c r="H434" s="10">
        <f t="shared" si="122"/>
        <v>0</v>
      </c>
      <c r="I434" s="12">
        <f t="shared" si="113"/>
        <v>639.30209199318563</v>
      </c>
      <c r="J434" s="11">
        <f t="shared" si="114"/>
        <v>21.729553476362859</v>
      </c>
      <c r="K434" s="6">
        <v>0</v>
      </c>
      <c r="L434" s="6">
        <v>0</v>
      </c>
      <c r="M434" s="6">
        <v>0</v>
      </c>
      <c r="N434" s="7">
        <v>0</v>
      </c>
      <c r="O434" s="9">
        <v>100</v>
      </c>
      <c r="P434" s="10">
        <f t="shared" si="123"/>
        <v>0</v>
      </c>
      <c r="Q434" s="12">
        <f t="shared" si="115"/>
        <v>639.30209199318563</v>
      </c>
      <c r="R434" s="11">
        <f t="shared" si="116"/>
        <v>21.729553476362859</v>
      </c>
      <c r="S434" s="6">
        <v>0</v>
      </c>
      <c r="T434" s="6">
        <v>0</v>
      </c>
      <c r="U434" s="6">
        <v>0</v>
      </c>
      <c r="V434" s="7">
        <v>0</v>
      </c>
      <c r="W434" s="9">
        <v>100</v>
      </c>
      <c r="X434" s="10">
        <f t="shared" si="124"/>
        <v>0</v>
      </c>
      <c r="Y434" s="12">
        <f t="shared" si="117"/>
        <v>639.30209199318563</v>
      </c>
      <c r="Z434" s="11">
        <f t="shared" si="118"/>
        <v>21.729553476362859</v>
      </c>
      <c r="AA434" s="6">
        <v>0</v>
      </c>
      <c r="AB434" s="6">
        <v>0</v>
      </c>
      <c r="AC434" s="6">
        <v>0</v>
      </c>
      <c r="AD434" s="7">
        <v>0</v>
      </c>
      <c r="AE434" s="9">
        <v>100</v>
      </c>
      <c r="AF434" s="10">
        <f t="shared" si="125"/>
        <v>0</v>
      </c>
      <c r="AG434" s="12">
        <f t="shared" si="119"/>
        <v>639.30209199318563</v>
      </c>
      <c r="AH434" s="11">
        <f t="shared" si="120"/>
        <v>21.729553476362859</v>
      </c>
      <c r="AJ434" s="6">
        <f t="shared" si="126"/>
        <v>1000</v>
      </c>
      <c r="AK434" s="4">
        <v>417</v>
      </c>
      <c r="AM434" s="2" t="str">
        <f t="shared" si="121"/>
        <v>0</v>
      </c>
      <c r="AN434" s="2" t="str">
        <f t="shared" si="127"/>
        <v>3E8</v>
      </c>
      <c r="AO434" s="2"/>
      <c r="AP434" s="2" t="str">
        <f t="shared" si="128"/>
        <v>03E8</v>
      </c>
    </row>
    <row r="435" spans="1:42" x14ac:dyDescent="0.2">
      <c r="A435">
        <v>418</v>
      </c>
      <c r="B435">
        <v>41.7</v>
      </c>
      <c r="C435" s="6">
        <v>0</v>
      </c>
      <c r="D435" s="6">
        <v>0</v>
      </c>
      <c r="E435" s="6">
        <v>0</v>
      </c>
      <c r="F435" s="7">
        <v>0</v>
      </c>
      <c r="G435" s="9">
        <v>100</v>
      </c>
      <c r="H435" s="10">
        <f t="shared" si="122"/>
        <v>0</v>
      </c>
      <c r="I435" s="12">
        <f t="shared" si="113"/>
        <v>639.30209199318563</v>
      </c>
      <c r="J435" s="11">
        <f t="shared" si="114"/>
        <v>21.729553476362859</v>
      </c>
      <c r="K435" s="6">
        <v>0</v>
      </c>
      <c r="L435" s="6">
        <v>0</v>
      </c>
      <c r="M435" s="6">
        <v>0</v>
      </c>
      <c r="N435" s="7">
        <v>0</v>
      </c>
      <c r="O435" s="9">
        <v>100</v>
      </c>
      <c r="P435" s="10">
        <f t="shared" si="123"/>
        <v>0</v>
      </c>
      <c r="Q435" s="12">
        <f t="shared" si="115"/>
        <v>639.30209199318563</v>
      </c>
      <c r="R435" s="11">
        <f t="shared" si="116"/>
        <v>21.729553476362859</v>
      </c>
      <c r="S435" s="6">
        <v>0</v>
      </c>
      <c r="T435" s="6">
        <v>0</v>
      </c>
      <c r="U435" s="6">
        <v>0</v>
      </c>
      <c r="V435" s="7">
        <v>0</v>
      </c>
      <c r="W435" s="9">
        <v>100</v>
      </c>
      <c r="X435" s="10">
        <f t="shared" si="124"/>
        <v>0</v>
      </c>
      <c r="Y435" s="12">
        <f t="shared" si="117"/>
        <v>639.30209199318563</v>
      </c>
      <c r="Z435" s="11">
        <f t="shared" si="118"/>
        <v>21.729553476362859</v>
      </c>
      <c r="AA435" s="6">
        <v>0</v>
      </c>
      <c r="AB435" s="6">
        <v>0</v>
      </c>
      <c r="AC435" s="6">
        <v>0</v>
      </c>
      <c r="AD435" s="7">
        <v>0</v>
      </c>
      <c r="AE435" s="9">
        <v>100</v>
      </c>
      <c r="AF435" s="10">
        <f t="shared" si="125"/>
        <v>0</v>
      </c>
      <c r="AG435" s="12">
        <f t="shared" si="119"/>
        <v>639.30209199318563</v>
      </c>
      <c r="AH435" s="11">
        <f t="shared" si="120"/>
        <v>21.729553476362859</v>
      </c>
      <c r="AJ435" s="6">
        <f t="shared" si="126"/>
        <v>1000</v>
      </c>
      <c r="AK435" s="4">
        <v>418</v>
      </c>
      <c r="AM435" s="2" t="str">
        <f t="shared" si="121"/>
        <v>0</v>
      </c>
      <c r="AN435" s="2" t="str">
        <f t="shared" si="127"/>
        <v>3E8</v>
      </c>
      <c r="AO435" s="2"/>
      <c r="AP435" s="2" t="str">
        <f t="shared" si="128"/>
        <v>03E8</v>
      </c>
    </row>
    <row r="436" spans="1:42" x14ac:dyDescent="0.2">
      <c r="A436">
        <v>419</v>
      </c>
      <c r="B436">
        <v>41.8</v>
      </c>
      <c r="C436" s="6">
        <v>0</v>
      </c>
      <c r="D436" s="6">
        <v>0</v>
      </c>
      <c r="E436" s="6">
        <v>0</v>
      </c>
      <c r="F436" s="7">
        <v>0</v>
      </c>
      <c r="G436" s="9">
        <v>100</v>
      </c>
      <c r="H436" s="10">
        <f t="shared" si="122"/>
        <v>0</v>
      </c>
      <c r="I436" s="12">
        <f t="shared" si="113"/>
        <v>639.30209199318563</v>
      </c>
      <c r="J436" s="11">
        <f t="shared" si="114"/>
        <v>21.729553476362859</v>
      </c>
      <c r="K436" s="6">
        <v>0</v>
      </c>
      <c r="L436" s="6">
        <v>0</v>
      </c>
      <c r="M436" s="6">
        <v>0</v>
      </c>
      <c r="N436" s="7">
        <v>0</v>
      </c>
      <c r="O436" s="9">
        <v>100</v>
      </c>
      <c r="P436" s="10">
        <f t="shared" si="123"/>
        <v>0</v>
      </c>
      <c r="Q436" s="12">
        <f t="shared" si="115"/>
        <v>639.30209199318563</v>
      </c>
      <c r="R436" s="11">
        <f t="shared" si="116"/>
        <v>21.729553476362859</v>
      </c>
      <c r="S436" s="6">
        <v>0</v>
      </c>
      <c r="T436" s="6">
        <v>0</v>
      </c>
      <c r="U436" s="6">
        <v>0</v>
      </c>
      <c r="V436" s="7">
        <v>0</v>
      </c>
      <c r="W436" s="9">
        <v>100</v>
      </c>
      <c r="X436" s="10">
        <f t="shared" si="124"/>
        <v>0</v>
      </c>
      <c r="Y436" s="12">
        <f t="shared" si="117"/>
        <v>639.30209199318563</v>
      </c>
      <c r="Z436" s="11">
        <f t="shared" si="118"/>
        <v>21.729553476362859</v>
      </c>
      <c r="AA436" s="6">
        <v>0</v>
      </c>
      <c r="AB436" s="6">
        <v>0</v>
      </c>
      <c r="AC436" s="6">
        <v>0</v>
      </c>
      <c r="AD436" s="7">
        <v>0</v>
      </c>
      <c r="AE436" s="9">
        <v>100</v>
      </c>
      <c r="AF436" s="10">
        <f t="shared" si="125"/>
        <v>0</v>
      </c>
      <c r="AG436" s="12">
        <f t="shared" si="119"/>
        <v>639.30209199318563</v>
      </c>
      <c r="AH436" s="11">
        <f t="shared" si="120"/>
        <v>21.729553476362859</v>
      </c>
      <c r="AJ436" s="6">
        <f t="shared" si="126"/>
        <v>1000</v>
      </c>
      <c r="AK436" s="4">
        <v>419</v>
      </c>
      <c r="AM436" s="2" t="str">
        <f t="shared" si="121"/>
        <v>0</v>
      </c>
      <c r="AN436" s="2" t="str">
        <f t="shared" si="127"/>
        <v>3E8</v>
      </c>
      <c r="AO436" s="2"/>
      <c r="AP436" s="2" t="str">
        <f t="shared" si="128"/>
        <v>03E8</v>
      </c>
    </row>
    <row r="437" spans="1:42" x14ac:dyDescent="0.2">
      <c r="A437">
        <v>420</v>
      </c>
      <c r="B437">
        <v>41.9</v>
      </c>
      <c r="C437" s="6">
        <v>0</v>
      </c>
      <c r="D437" s="6">
        <v>0</v>
      </c>
      <c r="E437" s="6">
        <v>0</v>
      </c>
      <c r="F437" s="7">
        <v>0</v>
      </c>
      <c r="G437" s="9">
        <v>100</v>
      </c>
      <c r="H437" s="10">
        <f t="shared" si="122"/>
        <v>0</v>
      </c>
      <c r="I437" s="12">
        <f t="shared" si="113"/>
        <v>639.30209199318563</v>
      </c>
      <c r="J437" s="11">
        <f t="shared" si="114"/>
        <v>21.729553476362859</v>
      </c>
      <c r="K437" s="6">
        <v>0</v>
      </c>
      <c r="L437" s="6">
        <v>0</v>
      </c>
      <c r="M437" s="6">
        <v>0</v>
      </c>
      <c r="N437" s="7">
        <v>0</v>
      </c>
      <c r="O437" s="9">
        <v>100</v>
      </c>
      <c r="P437" s="10">
        <f t="shared" si="123"/>
        <v>0</v>
      </c>
      <c r="Q437" s="12">
        <f t="shared" si="115"/>
        <v>639.30209199318563</v>
      </c>
      <c r="R437" s="11">
        <f t="shared" si="116"/>
        <v>21.729553476362859</v>
      </c>
      <c r="S437" s="6">
        <v>0</v>
      </c>
      <c r="T437" s="6">
        <v>0</v>
      </c>
      <c r="U437" s="6">
        <v>0</v>
      </c>
      <c r="V437" s="7">
        <v>0</v>
      </c>
      <c r="W437" s="9">
        <v>100</v>
      </c>
      <c r="X437" s="10">
        <f t="shared" si="124"/>
        <v>0</v>
      </c>
      <c r="Y437" s="12">
        <f t="shared" si="117"/>
        <v>639.30209199318563</v>
      </c>
      <c r="Z437" s="11">
        <f t="shared" si="118"/>
        <v>21.729553476362859</v>
      </c>
      <c r="AA437" s="6">
        <v>0</v>
      </c>
      <c r="AB437" s="6">
        <v>0</v>
      </c>
      <c r="AC437" s="6">
        <v>0</v>
      </c>
      <c r="AD437" s="7">
        <v>0</v>
      </c>
      <c r="AE437" s="9">
        <v>100</v>
      </c>
      <c r="AF437" s="10">
        <f t="shared" si="125"/>
        <v>0</v>
      </c>
      <c r="AG437" s="12">
        <f t="shared" si="119"/>
        <v>639.30209199318563</v>
      </c>
      <c r="AH437" s="11">
        <f t="shared" si="120"/>
        <v>21.729553476362859</v>
      </c>
      <c r="AJ437" s="6">
        <f t="shared" si="126"/>
        <v>1000</v>
      </c>
      <c r="AK437" s="4">
        <v>420</v>
      </c>
      <c r="AM437" s="2" t="str">
        <f t="shared" si="121"/>
        <v>0</v>
      </c>
      <c r="AN437" s="2" t="str">
        <f t="shared" si="127"/>
        <v>3E8</v>
      </c>
      <c r="AO437" s="2"/>
      <c r="AP437" s="2" t="str">
        <f t="shared" si="128"/>
        <v>03E8</v>
      </c>
    </row>
    <row r="438" spans="1:42" x14ac:dyDescent="0.2">
      <c r="A438">
        <v>421</v>
      </c>
      <c r="B438">
        <v>42</v>
      </c>
      <c r="C438" s="6">
        <v>0</v>
      </c>
      <c r="D438" s="6">
        <v>0</v>
      </c>
      <c r="E438" s="6">
        <v>0</v>
      </c>
      <c r="F438" s="7">
        <v>0</v>
      </c>
      <c r="G438" s="9">
        <v>100</v>
      </c>
      <c r="H438" s="10">
        <f t="shared" si="122"/>
        <v>0</v>
      </c>
      <c r="I438" s="12">
        <f t="shared" si="113"/>
        <v>639.30209199318563</v>
      </c>
      <c r="J438" s="11">
        <f t="shared" si="114"/>
        <v>21.729553476362859</v>
      </c>
      <c r="K438" s="6">
        <v>0</v>
      </c>
      <c r="L438" s="6">
        <v>0</v>
      </c>
      <c r="M438" s="6">
        <v>0</v>
      </c>
      <c r="N438" s="7">
        <v>0</v>
      </c>
      <c r="O438" s="9">
        <v>100</v>
      </c>
      <c r="P438" s="10">
        <f t="shared" si="123"/>
        <v>0</v>
      </c>
      <c r="Q438" s="12">
        <f t="shared" si="115"/>
        <v>639.30209199318563</v>
      </c>
      <c r="R438" s="11">
        <f t="shared" si="116"/>
        <v>21.729553476362859</v>
      </c>
      <c r="S438" s="6">
        <v>0</v>
      </c>
      <c r="T438" s="6">
        <v>0</v>
      </c>
      <c r="U438" s="6">
        <v>0</v>
      </c>
      <c r="V438" s="7">
        <v>0</v>
      </c>
      <c r="W438" s="9">
        <v>100</v>
      </c>
      <c r="X438" s="10">
        <f t="shared" si="124"/>
        <v>0</v>
      </c>
      <c r="Y438" s="12">
        <f t="shared" si="117"/>
        <v>639.30209199318563</v>
      </c>
      <c r="Z438" s="11">
        <f t="shared" si="118"/>
        <v>21.729553476362859</v>
      </c>
      <c r="AA438" s="6">
        <v>0</v>
      </c>
      <c r="AB438" s="6">
        <v>0</v>
      </c>
      <c r="AC438" s="6">
        <v>0</v>
      </c>
      <c r="AD438" s="7">
        <v>0</v>
      </c>
      <c r="AE438" s="9">
        <v>100</v>
      </c>
      <c r="AF438" s="10">
        <f t="shared" si="125"/>
        <v>0</v>
      </c>
      <c r="AG438" s="12">
        <f t="shared" si="119"/>
        <v>639.30209199318563</v>
      </c>
      <c r="AH438" s="11">
        <f t="shared" si="120"/>
        <v>21.729553476362859</v>
      </c>
      <c r="AJ438" s="6">
        <f t="shared" si="126"/>
        <v>1000</v>
      </c>
      <c r="AK438" s="4">
        <v>421</v>
      </c>
      <c r="AM438" s="2" t="str">
        <f t="shared" si="121"/>
        <v>0</v>
      </c>
      <c r="AN438" s="2" t="str">
        <f t="shared" si="127"/>
        <v>3E8</v>
      </c>
      <c r="AO438" s="2"/>
      <c r="AP438" s="2" t="str">
        <f t="shared" si="128"/>
        <v>03E8</v>
      </c>
    </row>
    <row r="439" spans="1:42" x14ac:dyDescent="0.2">
      <c r="A439">
        <v>422</v>
      </c>
      <c r="B439">
        <v>42.1</v>
      </c>
      <c r="C439" s="6">
        <v>0</v>
      </c>
      <c r="D439" s="6">
        <v>0</v>
      </c>
      <c r="E439" s="6">
        <v>0</v>
      </c>
      <c r="F439" s="7">
        <v>0</v>
      </c>
      <c r="G439" s="9">
        <v>100</v>
      </c>
      <c r="H439" s="10">
        <f t="shared" si="122"/>
        <v>0</v>
      </c>
      <c r="I439" s="12">
        <f t="shared" si="113"/>
        <v>639.30209199318563</v>
      </c>
      <c r="J439" s="11">
        <f t="shared" si="114"/>
        <v>21.729553476362859</v>
      </c>
      <c r="K439" s="6">
        <v>0</v>
      </c>
      <c r="L439" s="6">
        <v>0</v>
      </c>
      <c r="M439" s="6">
        <v>0</v>
      </c>
      <c r="N439" s="7">
        <v>0</v>
      </c>
      <c r="O439" s="9">
        <v>100</v>
      </c>
      <c r="P439" s="10">
        <f t="shared" si="123"/>
        <v>0</v>
      </c>
      <c r="Q439" s="12">
        <f t="shared" si="115"/>
        <v>639.30209199318563</v>
      </c>
      <c r="R439" s="11">
        <f t="shared" si="116"/>
        <v>21.729553476362859</v>
      </c>
      <c r="S439" s="6">
        <v>0</v>
      </c>
      <c r="T439" s="6">
        <v>0</v>
      </c>
      <c r="U439" s="6">
        <v>0</v>
      </c>
      <c r="V439" s="7">
        <v>0</v>
      </c>
      <c r="W439" s="9">
        <v>100</v>
      </c>
      <c r="X439" s="10">
        <f t="shared" si="124"/>
        <v>0</v>
      </c>
      <c r="Y439" s="12">
        <f t="shared" si="117"/>
        <v>639.30209199318563</v>
      </c>
      <c r="Z439" s="11">
        <f t="shared" si="118"/>
        <v>21.729553476362859</v>
      </c>
      <c r="AA439" s="6">
        <v>0</v>
      </c>
      <c r="AB439" s="6">
        <v>0</v>
      </c>
      <c r="AC439" s="6">
        <v>0</v>
      </c>
      <c r="AD439" s="7">
        <v>0</v>
      </c>
      <c r="AE439" s="9">
        <v>100</v>
      </c>
      <c r="AF439" s="10">
        <f t="shared" si="125"/>
        <v>0</v>
      </c>
      <c r="AG439" s="12">
        <f t="shared" si="119"/>
        <v>639.30209199318563</v>
      </c>
      <c r="AH439" s="11">
        <f t="shared" si="120"/>
        <v>21.729553476362859</v>
      </c>
      <c r="AJ439" s="6">
        <f t="shared" si="126"/>
        <v>1000</v>
      </c>
      <c r="AK439" s="4">
        <v>422</v>
      </c>
      <c r="AM439" s="2" t="str">
        <f t="shared" si="121"/>
        <v>0</v>
      </c>
      <c r="AN439" s="2" t="str">
        <f t="shared" si="127"/>
        <v>3E8</v>
      </c>
      <c r="AO439" s="2"/>
      <c r="AP439" s="2" t="str">
        <f t="shared" si="128"/>
        <v>03E8</v>
      </c>
    </row>
    <row r="440" spans="1:42" x14ac:dyDescent="0.2">
      <c r="A440">
        <v>423</v>
      </c>
      <c r="B440">
        <v>42.2</v>
      </c>
      <c r="C440" s="6">
        <v>0</v>
      </c>
      <c r="D440" s="6">
        <v>0</v>
      </c>
      <c r="E440" s="6">
        <v>0</v>
      </c>
      <c r="F440" s="7">
        <v>0</v>
      </c>
      <c r="G440" s="9">
        <v>100</v>
      </c>
      <c r="H440" s="10">
        <f t="shared" si="122"/>
        <v>0</v>
      </c>
      <c r="I440" s="12">
        <f t="shared" si="113"/>
        <v>639.30209199318563</v>
      </c>
      <c r="J440" s="11">
        <f t="shared" si="114"/>
        <v>21.729553476362859</v>
      </c>
      <c r="K440" s="6">
        <v>0</v>
      </c>
      <c r="L440" s="6">
        <v>0</v>
      </c>
      <c r="M440" s="6">
        <v>0</v>
      </c>
      <c r="N440" s="7">
        <v>0</v>
      </c>
      <c r="O440" s="9">
        <v>100</v>
      </c>
      <c r="P440" s="10">
        <f t="shared" si="123"/>
        <v>0</v>
      </c>
      <c r="Q440" s="12">
        <f t="shared" si="115"/>
        <v>639.30209199318563</v>
      </c>
      <c r="R440" s="11">
        <f t="shared" si="116"/>
        <v>21.729553476362859</v>
      </c>
      <c r="S440" s="6">
        <v>0</v>
      </c>
      <c r="T440" s="6">
        <v>0</v>
      </c>
      <c r="U440" s="6">
        <v>0</v>
      </c>
      <c r="V440" s="7">
        <v>0</v>
      </c>
      <c r="W440" s="9">
        <v>100</v>
      </c>
      <c r="X440" s="10">
        <f t="shared" si="124"/>
        <v>0</v>
      </c>
      <c r="Y440" s="12">
        <f t="shared" si="117"/>
        <v>639.30209199318563</v>
      </c>
      <c r="Z440" s="11">
        <f t="shared" si="118"/>
        <v>21.729553476362859</v>
      </c>
      <c r="AA440" s="6">
        <v>0</v>
      </c>
      <c r="AB440" s="6">
        <v>0</v>
      </c>
      <c r="AC440" s="6">
        <v>0</v>
      </c>
      <c r="AD440" s="7">
        <v>0</v>
      </c>
      <c r="AE440" s="9">
        <v>100</v>
      </c>
      <c r="AF440" s="10">
        <f t="shared" si="125"/>
        <v>0</v>
      </c>
      <c r="AG440" s="12">
        <f t="shared" si="119"/>
        <v>639.30209199318563</v>
      </c>
      <c r="AH440" s="11">
        <f t="shared" si="120"/>
        <v>21.729553476362859</v>
      </c>
      <c r="AJ440" s="6">
        <f t="shared" si="126"/>
        <v>1000</v>
      </c>
      <c r="AK440" s="4">
        <v>423</v>
      </c>
      <c r="AM440" s="2" t="str">
        <f t="shared" si="121"/>
        <v>0</v>
      </c>
      <c r="AN440" s="2" t="str">
        <f t="shared" si="127"/>
        <v>3E8</v>
      </c>
      <c r="AO440" s="2"/>
      <c r="AP440" s="2" t="str">
        <f t="shared" si="128"/>
        <v>03E8</v>
      </c>
    </row>
    <row r="441" spans="1:42" x14ac:dyDescent="0.2">
      <c r="A441">
        <v>424</v>
      </c>
      <c r="B441">
        <v>42.3</v>
      </c>
      <c r="C441" s="6">
        <v>0</v>
      </c>
      <c r="D441" s="6">
        <v>0</v>
      </c>
      <c r="E441" s="6">
        <v>0</v>
      </c>
      <c r="F441" s="7">
        <v>0</v>
      </c>
      <c r="G441" s="9">
        <v>100</v>
      </c>
      <c r="H441" s="10">
        <f t="shared" si="122"/>
        <v>0</v>
      </c>
      <c r="I441" s="12">
        <f t="shared" si="113"/>
        <v>639.30209199318563</v>
      </c>
      <c r="J441" s="11">
        <f t="shared" si="114"/>
        <v>21.729553476362859</v>
      </c>
      <c r="K441" s="6">
        <v>0</v>
      </c>
      <c r="L441" s="6">
        <v>0</v>
      </c>
      <c r="M441" s="6">
        <v>0</v>
      </c>
      <c r="N441" s="7">
        <v>0</v>
      </c>
      <c r="O441" s="9">
        <v>100</v>
      </c>
      <c r="P441" s="10">
        <f t="shared" si="123"/>
        <v>0</v>
      </c>
      <c r="Q441" s="12">
        <f t="shared" si="115"/>
        <v>639.30209199318563</v>
      </c>
      <c r="R441" s="11">
        <f t="shared" si="116"/>
        <v>21.729553476362859</v>
      </c>
      <c r="S441" s="6">
        <v>0</v>
      </c>
      <c r="T441" s="6">
        <v>0</v>
      </c>
      <c r="U441" s="6">
        <v>0</v>
      </c>
      <c r="V441" s="7">
        <v>0</v>
      </c>
      <c r="W441" s="9">
        <v>100</v>
      </c>
      <c r="X441" s="10">
        <f t="shared" si="124"/>
        <v>0</v>
      </c>
      <c r="Y441" s="12">
        <f t="shared" si="117"/>
        <v>639.30209199318563</v>
      </c>
      <c r="Z441" s="11">
        <f t="shared" si="118"/>
        <v>21.729553476362859</v>
      </c>
      <c r="AA441" s="6">
        <v>0</v>
      </c>
      <c r="AB441" s="6">
        <v>0</v>
      </c>
      <c r="AC441" s="6">
        <v>0</v>
      </c>
      <c r="AD441" s="7">
        <v>0</v>
      </c>
      <c r="AE441" s="9">
        <v>100</v>
      </c>
      <c r="AF441" s="10">
        <f t="shared" si="125"/>
        <v>0</v>
      </c>
      <c r="AG441" s="12">
        <f t="shared" si="119"/>
        <v>639.30209199318563</v>
      </c>
      <c r="AH441" s="11">
        <f t="shared" si="120"/>
        <v>21.729553476362859</v>
      </c>
      <c r="AJ441" s="6">
        <f t="shared" si="126"/>
        <v>1000</v>
      </c>
      <c r="AK441" s="4">
        <v>424</v>
      </c>
      <c r="AM441" s="2" t="str">
        <f t="shared" si="121"/>
        <v>0</v>
      </c>
      <c r="AN441" s="2" t="str">
        <f t="shared" si="127"/>
        <v>3E8</v>
      </c>
      <c r="AO441" s="2"/>
      <c r="AP441" s="2" t="str">
        <f t="shared" si="128"/>
        <v>03E8</v>
      </c>
    </row>
    <row r="442" spans="1:42" x14ac:dyDescent="0.2">
      <c r="A442">
        <v>425</v>
      </c>
      <c r="B442">
        <v>42.4</v>
      </c>
      <c r="C442" s="6">
        <v>0</v>
      </c>
      <c r="D442" s="6">
        <v>0</v>
      </c>
      <c r="E442" s="6">
        <v>0</v>
      </c>
      <c r="F442" s="7">
        <v>0</v>
      </c>
      <c r="G442" s="9">
        <v>100</v>
      </c>
      <c r="H442" s="10">
        <f t="shared" si="122"/>
        <v>0</v>
      </c>
      <c r="I442" s="12">
        <f t="shared" si="113"/>
        <v>639.30209199318563</v>
      </c>
      <c r="J442" s="11">
        <f t="shared" si="114"/>
        <v>21.729553476362859</v>
      </c>
      <c r="K442" s="6">
        <v>0</v>
      </c>
      <c r="L442" s="6">
        <v>0</v>
      </c>
      <c r="M442" s="6">
        <v>0</v>
      </c>
      <c r="N442" s="7">
        <v>0</v>
      </c>
      <c r="O442" s="9">
        <v>100</v>
      </c>
      <c r="P442" s="10">
        <f t="shared" si="123"/>
        <v>0</v>
      </c>
      <c r="Q442" s="12">
        <f t="shared" si="115"/>
        <v>639.30209199318563</v>
      </c>
      <c r="R442" s="11">
        <f t="shared" si="116"/>
        <v>21.729553476362859</v>
      </c>
      <c r="S442" s="6">
        <v>0</v>
      </c>
      <c r="T442" s="6">
        <v>0</v>
      </c>
      <c r="U442" s="6">
        <v>0</v>
      </c>
      <c r="V442" s="7">
        <v>0</v>
      </c>
      <c r="W442" s="9">
        <v>100</v>
      </c>
      <c r="X442" s="10">
        <f t="shared" si="124"/>
        <v>0</v>
      </c>
      <c r="Y442" s="12">
        <f t="shared" si="117"/>
        <v>639.30209199318563</v>
      </c>
      <c r="Z442" s="11">
        <f t="shared" si="118"/>
        <v>21.729553476362859</v>
      </c>
      <c r="AA442" s="6">
        <v>0</v>
      </c>
      <c r="AB442" s="6">
        <v>0</v>
      </c>
      <c r="AC442" s="6">
        <v>0</v>
      </c>
      <c r="AD442" s="7">
        <v>0</v>
      </c>
      <c r="AE442" s="9">
        <v>100</v>
      </c>
      <c r="AF442" s="10">
        <f t="shared" si="125"/>
        <v>0</v>
      </c>
      <c r="AG442" s="12">
        <f t="shared" si="119"/>
        <v>639.30209199318563</v>
      </c>
      <c r="AH442" s="11">
        <f t="shared" si="120"/>
        <v>21.729553476362859</v>
      </c>
      <c r="AJ442" s="6">
        <f t="shared" si="126"/>
        <v>1000</v>
      </c>
      <c r="AK442" s="4">
        <v>425</v>
      </c>
      <c r="AM442" s="2" t="str">
        <f t="shared" si="121"/>
        <v>0</v>
      </c>
      <c r="AN442" s="2" t="str">
        <f t="shared" si="127"/>
        <v>3E8</v>
      </c>
      <c r="AO442" s="2"/>
      <c r="AP442" s="2" t="str">
        <f t="shared" si="128"/>
        <v>03E8</v>
      </c>
    </row>
    <row r="443" spans="1:42" x14ac:dyDescent="0.2">
      <c r="A443">
        <v>426</v>
      </c>
      <c r="B443">
        <v>42.5</v>
      </c>
      <c r="C443" s="6">
        <v>0</v>
      </c>
      <c r="D443" s="6">
        <v>0</v>
      </c>
      <c r="E443" s="6">
        <v>0</v>
      </c>
      <c r="F443" s="7">
        <v>0</v>
      </c>
      <c r="G443" s="9">
        <v>100</v>
      </c>
      <c r="H443" s="10">
        <f t="shared" si="122"/>
        <v>0</v>
      </c>
      <c r="I443" s="12">
        <f t="shared" si="113"/>
        <v>639.30209199318563</v>
      </c>
      <c r="J443" s="11">
        <f t="shared" si="114"/>
        <v>21.729553476362859</v>
      </c>
      <c r="K443" s="6">
        <v>0</v>
      </c>
      <c r="L443" s="6">
        <v>0</v>
      </c>
      <c r="M443" s="6">
        <v>0</v>
      </c>
      <c r="N443" s="7">
        <v>0</v>
      </c>
      <c r="O443" s="9">
        <v>100</v>
      </c>
      <c r="P443" s="10">
        <f t="shared" si="123"/>
        <v>0</v>
      </c>
      <c r="Q443" s="12">
        <f t="shared" si="115"/>
        <v>639.30209199318563</v>
      </c>
      <c r="R443" s="11">
        <f t="shared" si="116"/>
        <v>21.729553476362859</v>
      </c>
      <c r="S443" s="6">
        <v>0</v>
      </c>
      <c r="T443" s="6">
        <v>0</v>
      </c>
      <c r="U443" s="6">
        <v>0</v>
      </c>
      <c r="V443" s="7">
        <v>0</v>
      </c>
      <c r="W443" s="9">
        <v>100</v>
      </c>
      <c r="X443" s="10">
        <f t="shared" si="124"/>
        <v>0</v>
      </c>
      <c r="Y443" s="12">
        <f t="shared" si="117"/>
        <v>639.30209199318563</v>
      </c>
      <c r="Z443" s="11">
        <f t="shared" si="118"/>
        <v>21.729553476362859</v>
      </c>
      <c r="AA443" s="6">
        <v>0</v>
      </c>
      <c r="AB443" s="6">
        <v>0</v>
      </c>
      <c r="AC443" s="6">
        <v>0</v>
      </c>
      <c r="AD443" s="7">
        <v>0</v>
      </c>
      <c r="AE443" s="9">
        <v>100</v>
      </c>
      <c r="AF443" s="10">
        <f t="shared" si="125"/>
        <v>0</v>
      </c>
      <c r="AG443" s="12">
        <f t="shared" si="119"/>
        <v>639.30209199318563</v>
      </c>
      <c r="AH443" s="11">
        <f t="shared" si="120"/>
        <v>21.729553476362859</v>
      </c>
      <c r="AJ443" s="6">
        <f t="shared" si="126"/>
        <v>1000</v>
      </c>
      <c r="AK443" s="4">
        <v>426</v>
      </c>
      <c r="AM443" s="2" t="str">
        <f t="shared" si="121"/>
        <v>0</v>
      </c>
      <c r="AN443" s="2" t="str">
        <f t="shared" si="127"/>
        <v>3E8</v>
      </c>
      <c r="AO443" s="2"/>
      <c r="AP443" s="2" t="str">
        <f t="shared" si="128"/>
        <v>03E8</v>
      </c>
    </row>
    <row r="444" spans="1:42" x14ac:dyDescent="0.2">
      <c r="A444">
        <v>427</v>
      </c>
      <c r="B444">
        <v>42.6</v>
      </c>
      <c r="C444" s="6">
        <v>0</v>
      </c>
      <c r="D444" s="6">
        <v>0</v>
      </c>
      <c r="E444" s="6">
        <v>0</v>
      </c>
      <c r="F444" s="7">
        <v>0</v>
      </c>
      <c r="G444" s="9">
        <v>100</v>
      </c>
      <c r="H444" s="10">
        <f t="shared" si="122"/>
        <v>0</v>
      </c>
      <c r="I444" s="12">
        <f t="shared" si="113"/>
        <v>639.30209199318563</v>
      </c>
      <c r="J444" s="11">
        <f t="shared" si="114"/>
        <v>21.729553476362859</v>
      </c>
      <c r="K444" s="6">
        <v>0</v>
      </c>
      <c r="L444" s="6">
        <v>0</v>
      </c>
      <c r="M444" s="6">
        <v>0</v>
      </c>
      <c r="N444" s="7">
        <v>0</v>
      </c>
      <c r="O444" s="9">
        <v>100</v>
      </c>
      <c r="P444" s="10">
        <f t="shared" si="123"/>
        <v>0</v>
      </c>
      <c r="Q444" s="12">
        <f t="shared" si="115"/>
        <v>639.30209199318563</v>
      </c>
      <c r="R444" s="11">
        <f t="shared" si="116"/>
        <v>21.729553476362859</v>
      </c>
      <c r="S444" s="6">
        <v>0</v>
      </c>
      <c r="T444" s="6">
        <v>0</v>
      </c>
      <c r="U444" s="6">
        <v>0</v>
      </c>
      <c r="V444" s="7">
        <v>0</v>
      </c>
      <c r="W444" s="9">
        <v>100</v>
      </c>
      <c r="X444" s="10">
        <f t="shared" si="124"/>
        <v>0</v>
      </c>
      <c r="Y444" s="12">
        <f t="shared" si="117"/>
        <v>639.30209199318563</v>
      </c>
      <c r="Z444" s="11">
        <f t="shared" si="118"/>
        <v>21.729553476362859</v>
      </c>
      <c r="AA444" s="6">
        <v>0</v>
      </c>
      <c r="AB444" s="6">
        <v>0</v>
      </c>
      <c r="AC444" s="6">
        <v>0</v>
      </c>
      <c r="AD444" s="7">
        <v>0</v>
      </c>
      <c r="AE444" s="9">
        <v>100</v>
      </c>
      <c r="AF444" s="10">
        <f t="shared" si="125"/>
        <v>0</v>
      </c>
      <c r="AG444" s="12">
        <f t="shared" si="119"/>
        <v>639.30209199318563</v>
      </c>
      <c r="AH444" s="11">
        <f t="shared" si="120"/>
        <v>21.729553476362859</v>
      </c>
      <c r="AJ444" s="6">
        <f t="shared" si="126"/>
        <v>1000</v>
      </c>
      <c r="AK444" s="4">
        <v>427</v>
      </c>
      <c r="AM444" s="2" t="str">
        <f t="shared" si="121"/>
        <v>0</v>
      </c>
      <c r="AN444" s="2" t="str">
        <f t="shared" si="127"/>
        <v>3E8</v>
      </c>
      <c r="AO444" s="2"/>
      <c r="AP444" s="2" t="str">
        <f t="shared" si="128"/>
        <v>03E8</v>
      </c>
    </row>
    <row r="445" spans="1:42" x14ac:dyDescent="0.2">
      <c r="A445">
        <v>428</v>
      </c>
      <c r="B445">
        <v>42.7</v>
      </c>
      <c r="C445" s="6">
        <v>0</v>
      </c>
      <c r="D445" s="6">
        <v>0</v>
      </c>
      <c r="E445" s="6">
        <v>0</v>
      </c>
      <c r="F445" s="7">
        <v>0</v>
      </c>
      <c r="G445" s="9">
        <v>100</v>
      </c>
      <c r="H445" s="10">
        <f t="shared" si="122"/>
        <v>0</v>
      </c>
      <c r="I445" s="12">
        <f t="shared" si="113"/>
        <v>639.30209199318563</v>
      </c>
      <c r="J445" s="11">
        <f t="shared" si="114"/>
        <v>21.729553476362859</v>
      </c>
      <c r="K445" s="6">
        <v>0</v>
      </c>
      <c r="L445" s="6">
        <v>0</v>
      </c>
      <c r="M445" s="6">
        <v>0</v>
      </c>
      <c r="N445" s="7">
        <v>0</v>
      </c>
      <c r="O445" s="9">
        <v>100</v>
      </c>
      <c r="P445" s="10">
        <f t="shared" si="123"/>
        <v>0</v>
      </c>
      <c r="Q445" s="12">
        <f t="shared" si="115"/>
        <v>639.30209199318563</v>
      </c>
      <c r="R445" s="11">
        <f t="shared" si="116"/>
        <v>21.729553476362859</v>
      </c>
      <c r="S445" s="6">
        <v>0</v>
      </c>
      <c r="T445" s="6">
        <v>0</v>
      </c>
      <c r="U445" s="6">
        <v>0</v>
      </c>
      <c r="V445" s="7">
        <v>0</v>
      </c>
      <c r="W445" s="9">
        <v>100</v>
      </c>
      <c r="X445" s="10">
        <f t="shared" si="124"/>
        <v>0</v>
      </c>
      <c r="Y445" s="12">
        <f t="shared" si="117"/>
        <v>639.30209199318563</v>
      </c>
      <c r="Z445" s="11">
        <f t="shared" si="118"/>
        <v>21.729553476362859</v>
      </c>
      <c r="AA445" s="6">
        <v>0</v>
      </c>
      <c r="AB445" s="6">
        <v>0</v>
      </c>
      <c r="AC445" s="6">
        <v>0</v>
      </c>
      <c r="AD445" s="7">
        <v>0</v>
      </c>
      <c r="AE445" s="9">
        <v>100</v>
      </c>
      <c r="AF445" s="10">
        <f t="shared" si="125"/>
        <v>0</v>
      </c>
      <c r="AG445" s="12">
        <f t="shared" si="119"/>
        <v>639.30209199318563</v>
      </c>
      <c r="AH445" s="11">
        <f t="shared" si="120"/>
        <v>21.729553476362859</v>
      </c>
      <c r="AJ445" s="6">
        <f t="shared" si="126"/>
        <v>1000</v>
      </c>
      <c r="AK445" s="4">
        <v>428</v>
      </c>
      <c r="AM445" s="2" t="str">
        <f t="shared" si="121"/>
        <v>0</v>
      </c>
      <c r="AN445" s="2" t="str">
        <f t="shared" si="127"/>
        <v>3E8</v>
      </c>
      <c r="AO445" s="2"/>
      <c r="AP445" s="2" t="str">
        <f t="shared" si="128"/>
        <v>03E8</v>
      </c>
    </row>
    <row r="446" spans="1:42" x14ac:dyDescent="0.2">
      <c r="A446">
        <v>429</v>
      </c>
      <c r="B446">
        <v>42.8</v>
      </c>
      <c r="C446" s="6">
        <v>0</v>
      </c>
      <c r="D446" s="6">
        <v>0</v>
      </c>
      <c r="E446" s="6">
        <v>0</v>
      </c>
      <c r="F446" s="7">
        <v>0</v>
      </c>
      <c r="G446" s="9">
        <v>100</v>
      </c>
      <c r="H446" s="10">
        <f t="shared" si="122"/>
        <v>0</v>
      </c>
      <c r="I446" s="12">
        <f t="shared" si="113"/>
        <v>639.30209199318563</v>
      </c>
      <c r="J446" s="11">
        <f t="shared" si="114"/>
        <v>21.729553476362859</v>
      </c>
      <c r="K446" s="6">
        <v>0</v>
      </c>
      <c r="L446" s="6">
        <v>0</v>
      </c>
      <c r="M446" s="6">
        <v>0</v>
      </c>
      <c r="N446" s="7">
        <v>0</v>
      </c>
      <c r="O446" s="9">
        <v>100</v>
      </c>
      <c r="P446" s="10">
        <f t="shared" si="123"/>
        <v>0</v>
      </c>
      <c r="Q446" s="12">
        <f t="shared" si="115"/>
        <v>639.30209199318563</v>
      </c>
      <c r="R446" s="11">
        <f t="shared" si="116"/>
        <v>21.729553476362859</v>
      </c>
      <c r="S446" s="6">
        <v>0</v>
      </c>
      <c r="T446" s="6">
        <v>0</v>
      </c>
      <c r="U446" s="6">
        <v>0</v>
      </c>
      <c r="V446" s="7">
        <v>0</v>
      </c>
      <c r="W446" s="9">
        <v>100</v>
      </c>
      <c r="X446" s="10">
        <f t="shared" si="124"/>
        <v>0</v>
      </c>
      <c r="Y446" s="12">
        <f t="shared" si="117"/>
        <v>639.30209199318563</v>
      </c>
      <c r="Z446" s="11">
        <f t="shared" si="118"/>
        <v>21.729553476362859</v>
      </c>
      <c r="AA446" s="6">
        <v>0</v>
      </c>
      <c r="AB446" s="6">
        <v>0</v>
      </c>
      <c r="AC446" s="6">
        <v>0</v>
      </c>
      <c r="AD446" s="7">
        <v>0</v>
      </c>
      <c r="AE446" s="9">
        <v>100</v>
      </c>
      <c r="AF446" s="10">
        <f t="shared" si="125"/>
        <v>0</v>
      </c>
      <c r="AG446" s="12">
        <f t="shared" si="119"/>
        <v>639.30209199318563</v>
      </c>
      <c r="AH446" s="11">
        <f t="shared" si="120"/>
        <v>21.729553476362859</v>
      </c>
      <c r="AJ446" s="6">
        <f t="shared" si="126"/>
        <v>1000</v>
      </c>
      <c r="AK446" s="4">
        <v>429</v>
      </c>
      <c r="AM446" s="2" t="str">
        <f t="shared" si="121"/>
        <v>0</v>
      </c>
      <c r="AN446" s="2" t="str">
        <f t="shared" si="127"/>
        <v>3E8</v>
      </c>
      <c r="AO446" s="2"/>
      <c r="AP446" s="2" t="str">
        <f t="shared" si="128"/>
        <v>03E8</v>
      </c>
    </row>
    <row r="447" spans="1:42" x14ac:dyDescent="0.2">
      <c r="A447">
        <v>430</v>
      </c>
      <c r="B447">
        <v>42.9</v>
      </c>
      <c r="C447" s="6">
        <v>0</v>
      </c>
      <c r="D447" s="6">
        <v>0</v>
      </c>
      <c r="E447" s="6">
        <v>0</v>
      </c>
      <c r="F447" s="7">
        <v>0</v>
      </c>
      <c r="G447" s="9">
        <v>100</v>
      </c>
      <c r="H447" s="10">
        <f t="shared" si="122"/>
        <v>0</v>
      </c>
      <c r="I447" s="12">
        <f t="shared" si="113"/>
        <v>639.30209199318563</v>
      </c>
      <c r="J447" s="11">
        <f t="shared" si="114"/>
        <v>21.729553476362859</v>
      </c>
      <c r="K447" s="6">
        <v>0</v>
      </c>
      <c r="L447" s="6">
        <v>0</v>
      </c>
      <c r="M447" s="6">
        <v>0</v>
      </c>
      <c r="N447" s="7">
        <v>0</v>
      </c>
      <c r="O447" s="9">
        <v>100</v>
      </c>
      <c r="P447" s="10">
        <f t="shared" si="123"/>
        <v>0</v>
      </c>
      <c r="Q447" s="12">
        <f t="shared" si="115"/>
        <v>639.30209199318563</v>
      </c>
      <c r="R447" s="11">
        <f t="shared" si="116"/>
        <v>21.729553476362859</v>
      </c>
      <c r="S447" s="6">
        <v>0</v>
      </c>
      <c r="T447" s="6">
        <v>0</v>
      </c>
      <c r="U447" s="6">
        <v>0</v>
      </c>
      <c r="V447" s="7">
        <v>0</v>
      </c>
      <c r="W447" s="9">
        <v>100</v>
      </c>
      <c r="X447" s="10">
        <f t="shared" si="124"/>
        <v>0</v>
      </c>
      <c r="Y447" s="12">
        <f t="shared" si="117"/>
        <v>639.30209199318563</v>
      </c>
      <c r="Z447" s="11">
        <f t="shared" si="118"/>
        <v>21.729553476362859</v>
      </c>
      <c r="AA447" s="6">
        <v>0</v>
      </c>
      <c r="AB447" s="6">
        <v>0</v>
      </c>
      <c r="AC447" s="6">
        <v>0</v>
      </c>
      <c r="AD447" s="7">
        <v>0</v>
      </c>
      <c r="AE447" s="9">
        <v>100</v>
      </c>
      <c r="AF447" s="10">
        <f t="shared" si="125"/>
        <v>0</v>
      </c>
      <c r="AG447" s="12">
        <f t="shared" si="119"/>
        <v>639.30209199318563</v>
      </c>
      <c r="AH447" s="11">
        <f t="shared" si="120"/>
        <v>21.729553476362859</v>
      </c>
      <c r="AJ447" s="6">
        <f t="shared" si="126"/>
        <v>1000</v>
      </c>
      <c r="AK447" s="4">
        <v>430</v>
      </c>
      <c r="AM447" s="2" t="str">
        <f t="shared" si="121"/>
        <v>0</v>
      </c>
      <c r="AN447" s="2" t="str">
        <f t="shared" si="127"/>
        <v>3E8</v>
      </c>
      <c r="AO447" s="2"/>
      <c r="AP447" s="2" t="str">
        <f t="shared" si="128"/>
        <v>03E8</v>
      </c>
    </row>
    <row r="448" spans="1:42" x14ac:dyDescent="0.2">
      <c r="A448">
        <v>431</v>
      </c>
      <c r="B448">
        <v>43</v>
      </c>
      <c r="C448" s="6">
        <v>0</v>
      </c>
      <c r="D448" s="6">
        <v>0</v>
      </c>
      <c r="E448" s="6">
        <v>0</v>
      </c>
      <c r="F448" s="7">
        <v>0</v>
      </c>
      <c r="G448" s="9">
        <v>100</v>
      </c>
      <c r="H448" s="10">
        <f t="shared" si="122"/>
        <v>0</v>
      </c>
      <c r="I448" s="12">
        <f t="shared" si="113"/>
        <v>639.30209199318563</v>
      </c>
      <c r="J448" s="11">
        <f t="shared" si="114"/>
        <v>21.729553476362859</v>
      </c>
      <c r="K448" s="6">
        <v>0</v>
      </c>
      <c r="L448" s="6">
        <v>0</v>
      </c>
      <c r="M448" s="6">
        <v>0</v>
      </c>
      <c r="N448" s="7">
        <v>0</v>
      </c>
      <c r="O448" s="9">
        <v>100</v>
      </c>
      <c r="P448" s="10">
        <f t="shared" si="123"/>
        <v>0</v>
      </c>
      <c r="Q448" s="12">
        <f t="shared" si="115"/>
        <v>639.30209199318563</v>
      </c>
      <c r="R448" s="11">
        <f t="shared" si="116"/>
        <v>21.729553476362859</v>
      </c>
      <c r="S448" s="6">
        <v>0</v>
      </c>
      <c r="T448" s="6">
        <v>0</v>
      </c>
      <c r="U448" s="6">
        <v>0</v>
      </c>
      <c r="V448" s="7">
        <v>0</v>
      </c>
      <c r="W448" s="9">
        <v>100</v>
      </c>
      <c r="X448" s="10">
        <f t="shared" si="124"/>
        <v>0</v>
      </c>
      <c r="Y448" s="12">
        <f t="shared" si="117"/>
        <v>639.30209199318563</v>
      </c>
      <c r="Z448" s="11">
        <f t="shared" si="118"/>
        <v>21.729553476362859</v>
      </c>
      <c r="AA448" s="6">
        <v>0</v>
      </c>
      <c r="AB448" s="6">
        <v>0</v>
      </c>
      <c r="AC448" s="6">
        <v>0</v>
      </c>
      <c r="AD448" s="7">
        <v>0</v>
      </c>
      <c r="AE448" s="9">
        <v>100</v>
      </c>
      <c r="AF448" s="10">
        <f t="shared" si="125"/>
        <v>0</v>
      </c>
      <c r="AG448" s="12">
        <f t="shared" si="119"/>
        <v>639.30209199318563</v>
      </c>
      <c r="AH448" s="11">
        <f t="shared" si="120"/>
        <v>21.729553476362859</v>
      </c>
      <c r="AJ448" s="6">
        <f t="shared" si="126"/>
        <v>1000</v>
      </c>
      <c r="AK448" s="4">
        <v>431</v>
      </c>
      <c r="AM448" s="2" t="str">
        <f t="shared" si="121"/>
        <v>0</v>
      </c>
      <c r="AN448" s="2" t="str">
        <f t="shared" si="127"/>
        <v>3E8</v>
      </c>
      <c r="AO448" s="2"/>
      <c r="AP448" s="2" t="str">
        <f t="shared" si="128"/>
        <v>03E8</v>
      </c>
    </row>
    <row r="449" spans="1:42" x14ac:dyDescent="0.2">
      <c r="A449">
        <v>432</v>
      </c>
      <c r="B449">
        <v>43.1</v>
      </c>
      <c r="C449" s="6">
        <v>0</v>
      </c>
      <c r="D449" s="6">
        <v>0</v>
      </c>
      <c r="E449" s="6">
        <v>0</v>
      </c>
      <c r="F449" s="7">
        <v>0</v>
      </c>
      <c r="G449" s="9">
        <v>100</v>
      </c>
      <c r="H449" s="10">
        <f t="shared" si="122"/>
        <v>0</v>
      </c>
      <c r="I449" s="12">
        <f t="shared" si="113"/>
        <v>639.30209199318563</v>
      </c>
      <c r="J449" s="11">
        <f t="shared" si="114"/>
        <v>21.729553476362859</v>
      </c>
      <c r="K449" s="6">
        <v>0</v>
      </c>
      <c r="L449" s="6">
        <v>0</v>
      </c>
      <c r="M449" s="6">
        <v>0</v>
      </c>
      <c r="N449" s="7">
        <v>0</v>
      </c>
      <c r="O449" s="9">
        <v>100</v>
      </c>
      <c r="P449" s="10">
        <f t="shared" si="123"/>
        <v>0</v>
      </c>
      <c r="Q449" s="12">
        <f t="shared" si="115"/>
        <v>639.30209199318563</v>
      </c>
      <c r="R449" s="11">
        <f t="shared" si="116"/>
        <v>21.729553476362859</v>
      </c>
      <c r="S449" s="6">
        <v>0</v>
      </c>
      <c r="T449" s="6">
        <v>0</v>
      </c>
      <c r="U449" s="6">
        <v>0</v>
      </c>
      <c r="V449" s="7">
        <v>0</v>
      </c>
      <c r="W449" s="9">
        <v>100</v>
      </c>
      <c r="X449" s="10">
        <f t="shared" si="124"/>
        <v>0</v>
      </c>
      <c r="Y449" s="12">
        <f t="shared" si="117"/>
        <v>639.30209199318563</v>
      </c>
      <c r="Z449" s="11">
        <f t="shared" si="118"/>
        <v>21.729553476362859</v>
      </c>
      <c r="AA449" s="6">
        <v>0</v>
      </c>
      <c r="AB449" s="6">
        <v>0</v>
      </c>
      <c r="AC449" s="6">
        <v>0</v>
      </c>
      <c r="AD449" s="7">
        <v>0</v>
      </c>
      <c r="AE449" s="9">
        <v>100</v>
      </c>
      <c r="AF449" s="10">
        <f t="shared" si="125"/>
        <v>0</v>
      </c>
      <c r="AG449" s="12">
        <f t="shared" si="119"/>
        <v>639.30209199318563</v>
      </c>
      <c r="AH449" s="11">
        <f t="shared" si="120"/>
        <v>21.729553476362859</v>
      </c>
      <c r="AJ449" s="6">
        <f t="shared" si="126"/>
        <v>1000</v>
      </c>
      <c r="AK449" s="4">
        <v>432</v>
      </c>
      <c r="AM449" s="2" t="str">
        <f t="shared" si="121"/>
        <v>0</v>
      </c>
      <c r="AN449" s="2" t="str">
        <f t="shared" si="127"/>
        <v>3E8</v>
      </c>
      <c r="AO449" s="2"/>
      <c r="AP449" s="2" t="str">
        <f t="shared" si="128"/>
        <v>03E8</v>
      </c>
    </row>
    <row r="450" spans="1:42" x14ac:dyDescent="0.2">
      <c r="A450">
        <v>433</v>
      </c>
      <c r="B450">
        <v>43.2</v>
      </c>
      <c r="C450" s="6">
        <v>0</v>
      </c>
      <c r="D450" s="6">
        <v>0</v>
      </c>
      <c r="E450" s="6">
        <v>0</v>
      </c>
      <c r="F450" s="7">
        <v>0</v>
      </c>
      <c r="G450" s="9">
        <v>100</v>
      </c>
      <c r="H450" s="10">
        <f t="shared" si="122"/>
        <v>0</v>
      </c>
      <c r="I450" s="12">
        <f t="shared" si="113"/>
        <v>639.30209199318563</v>
      </c>
      <c r="J450" s="11">
        <f t="shared" si="114"/>
        <v>21.729553476362859</v>
      </c>
      <c r="K450" s="6">
        <v>0</v>
      </c>
      <c r="L450" s="6">
        <v>0</v>
      </c>
      <c r="M450" s="6">
        <v>0</v>
      </c>
      <c r="N450" s="7">
        <v>0</v>
      </c>
      <c r="O450" s="9">
        <v>100</v>
      </c>
      <c r="P450" s="10">
        <f t="shared" si="123"/>
        <v>0</v>
      </c>
      <c r="Q450" s="12">
        <f t="shared" si="115"/>
        <v>639.30209199318563</v>
      </c>
      <c r="R450" s="11">
        <f t="shared" si="116"/>
        <v>21.729553476362859</v>
      </c>
      <c r="S450" s="6">
        <v>0</v>
      </c>
      <c r="T450" s="6">
        <v>0</v>
      </c>
      <c r="U450" s="6">
        <v>0</v>
      </c>
      <c r="V450" s="7">
        <v>0</v>
      </c>
      <c r="W450" s="9">
        <v>100</v>
      </c>
      <c r="X450" s="10">
        <f t="shared" si="124"/>
        <v>0</v>
      </c>
      <c r="Y450" s="12">
        <f t="shared" si="117"/>
        <v>639.30209199318563</v>
      </c>
      <c r="Z450" s="11">
        <f t="shared" si="118"/>
        <v>21.729553476362859</v>
      </c>
      <c r="AA450" s="6">
        <v>0</v>
      </c>
      <c r="AB450" s="6">
        <v>0</v>
      </c>
      <c r="AC450" s="6">
        <v>0</v>
      </c>
      <c r="AD450" s="7">
        <v>0</v>
      </c>
      <c r="AE450" s="9">
        <v>100</v>
      </c>
      <c r="AF450" s="10">
        <f t="shared" si="125"/>
        <v>0</v>
      </c>
      <c r="AG450" s="12">
        <f t="shared" si="119"/>
        <v>639.30209199318563</v>
      </c>
      <c r="AH450" s="11">
        <f t="shared" si="120"/>
        <v>21.729553476362859</v>
      </c>
      <c r="AJ450" s="6">
        <f t="shared" si="126"/>
        <v>1000</v>
      </c>
      <c r="AK450" s="4">
        <v>433</v>
      </c>
      <c r="AM450" s="2" t="str">
        <f t="shared" si="121"/>
        <v>0</v>
      </c>
      <c r="AN450" s="2" t="str">
        <f t="shared" si="127"/>
        <v>3E8</v>
      </c>
      <c r="AO450" s="2"/>
      <c r="AP450" s="2" t="str">
        <f t="shared" si="128"/>
        <v>03E8</v>
      </c>
    </row>
    <row r="451" spans="1:42" x14ac:dyDescent="0.2">
      <c r="A451">
        <v>434</v>
      </c>
      <c r="B451">
        <v>43.3</v>
      </c>
      <c r="C451" s="6">
        <v>0</v>
      </c>
      <c r="D451" s="6">
        <v>0</v>
      </c>
      <c r="E451" s="6">
        <v>0</v>
      </c>
      <c r="F451" s="7">
        <v>0</v>
      </c>
      <c r="G451" s="9">
        <v>100</v>
      </c>
      <c r="H451" s="10">
        <f t="shared" si="122"/>
        <v>0</v>
      </c>
      <c r="I451" s="12">
        <f t="shared" si="113"/>
        <v>639.30209199318563</v>
      </c>
      <c r="J451" s="11">
        <f t="shared" si="114"/>
        <v>21.729553476362859</v>
      </c>
      <c r="K451" s="6">
        <v>0</v>
      </c>
      <c r="L451" s="6">
        <v>0</v>
      </c>
      <c r="M451" s="6">
        <v>0</v>
      </c>
      <c r="N451" s="7">
        <v>0</v>
      </c>
      <c r="O451" s="9">
        <v>100</v>
      </c>
      <c r="P451" s="10">
        <f t="shared" si="123"/>
        <v>0</v>
      </c>
      <c r="Q451" s="12">
        <f t="shared" si="115"/>
        <v>639.30209199318563</v>
      </c>
      <c r="R451" s="11">
        <f t="shared" si="116"/>
        <v>21.729553476362859</v>
      </c>
      <c r="S451" s="6">
        <v>0</v>
      </c>
      <c r="T451" s="6">
        <v>0</v>
      </c>
      <c r="U451" s="6">
        <v>0</v>
      </c>
      <c r="V451" s="7">
        <v>0</v>
      </c>
      <c r="W451" s="9">
        <v>100</v>
      </c>
      <c r="X451" s="10">
        <f t="shared" si="124"/>
        <v>0</v>
      </c>
      <c r="Y451" s="12">
        <f t="shared" si="117"/>
        <v>639.30209199318563</v>
      </c>
      <c r="Z451" s="11">
        <f t="shared" si="118"/>
        <v>21.729553476362859</v>
      </c>
      <c r="AA451" s="6">
        <v>0</v>
      </c>
      <c r="AB451" s="6">
        <v>0</v>
      </c>
      <c r="AC451" s="6">
        <v>0</v>
      </c>
      <c r="AD451" s="7">
        <v>0</v>
      </c>
      <c r="AE451" s="9">
        <v>100</v>
      </c>
      <c r="AF451" s="10">
        <f t="shared" si="125"/>
        <v>0</v>
      </c>
      <c r="AG451" s="12">
        <f t="shared" si="119"/>
        <v>639.30209199318563</v>
      </c>
      <c r="AH451" s="11">
        <f t="shared" si="120"/>
        <v>21.729553476362859</v>
      </c>
      <c r="AJ451" s="6">
        <f t="shared" si="126"/>
        <v>1000</v>
      </c>
      <c r="AK451" s="4">
        <v>434</v>
      </c>
      <c r="AM451" s="2" t="str">
        <f t="shared" si="121"/>
        <v>0</v>
      </c>
      <c r="AN451" s="2" t="str">
        <f t="shared" si="127"/>
        <v>3E8</v>
      </c>
      <c r="AO451" s="2"/>
      <c r="AP451" s="2" t="str">
        <f t="shared" si="128"/>
        <v>03E8</v>
      </c>
    </row>
    <row r="452" spans="1:42" x14ac:dyDescent="0.2">
      <c r="A452">
        <v>435</v>
      </c>
      <c r="B452">
        <v>43.4</v>
      </c>
      <c r="C452" s="6">
        <v>0</v>
      </c>
      <c r="D452" s="6">
        <v>0</v>
      </c>
      <c r="E452" s="6">
        <v>0</v>
      </c>
      <c r="F452" s="7">
        <v>0</v>
      </c>
      <c r="G452" s="9">
        <v>100</v>
      </c>
      <c r="H452" s="10">
        <f t="shared" si="122"/>
        <v>0</v>
      </c>
      <c r="I452" s="12">
        <f t="shared" si="113"/>
        <v>639.30209199318563</v>
      </c>
      <c r="J452" s="11">
        <f t="shared" si="114"/>
        <v>21.729553476362859</v>
      </c>
      <c r="K452" s="6">
        <v>0</v>
      </c>
      <c r="L452" s="6">
        <v>0</v>
      </c>
      <c r="M452" s="6">
        <v>0</v>
      </c>
      <c r="N452" s="7">
        <v>0</v>
      </c>
      <c r="O452" s="9">
        <v>100</v>
      </c>
      <c r="P452" s="10">
        <f t="shared" si="123"/>
        <v>0</v>
      </c>
      <c r="Q452" s="12">
        <f t="shared" si="115"/>
        <v>639.30209199318563</v>
      </c>
      <c r="R452" s="11">
        <f t="shared" si="116"/>
        <v>21.729553476362859</v>
      </c>
      <c r="S452" s="6">
        <v>0</v>
      </c>
      <c r="T452" s="6">
        <v>0</v>
      </c>
      <c r="U452" s="6">
        <v>0</v>
      </c>
      <c r="V452" s="7">
        <v>0</v>
      </c>
      <c r="W452" s="9">
        <v>100</v>
      </c>
      <c r="X452" s="10">
        <f t="shared" si="124"/>
        <v>0</v>
      </c>
      <c r="Y452" s="12">
        <f t="shared" si="117"/>
        <v>639.30209199318563</v>
      </c>
      <c r="Z452" s="11">
        <f t="shared" si="118"/>
        <v>21.729553476362859</v>
      </c>
      <c r="AA452" s="6">
        <v>0</v>
      </c>
      <c r="AB452" s="6">
        <v>0</v>
      </c>
      <c r="AC452" s="6">
        <v>0</v>
      </c>
      <c r="AD452" s="7">
        <v>0</v>
      </c>
      <c r="AE452" s="9">
        <v>100</v>
      </c>
      <c r="AF452" s="10">
        <f t="shared" si="125"/>
        <v>0</v>
      </c>
      <c r="AG452" s="12">
        <f t="shared" si="119"/>
        <v>639.30209199318563</v>
      </c>
      <c r="AH452" s="11">
        <f t="shared" si="120"/>
        <v>21.729553476362859</v>
      </c>
      <c r="AJ452" s="6">
        <f t="shared" si="126"/>
        <v>1000</v>
      </c>
      <c r="AK452" s="4">
        <v>435</v>
      </c>
      <c r="AM452" s="2" t="str">
        <f t="shared" si="121"/>
        <v>0</v>
      </c>
      <c r="AN452" s="2" t="str">
        <f t="shared" si="127"/>
        <v>3E8</v>
      </c>
      <c r="AO452" s="2"/>
      <c r="AP452" s="2" t="str">
        <f t="shared" si="128"/>
        <v>03E8</v>
      </c>
    </row>
    <row r="453" spans="1:42" x14ac:dyDescent="0.2">
      <c r="A453">
        <v>436</v>
      </c>
      <c r="B453">
        <v>43.5</v>
      </c>
      <c r="C453" s="6">
        <v>0</v>
      </c>
      <c r="D453" s="6">
        <v>0</v>
      </c>
      <c r="E453" s="6">
        <v>0</v>
      </c>
      <c r="F453" s="7">
        <v>0</v>
      </c>
      <c r="G453" s="9">
        <v>100</v>
      </c>
      <c r="H453" s="10">
        <f t="shared" si="122"/>
        <v>0</v>
      </c>
      <c r="I453" s="12">
        <f t="shared" si="113"/>
        <v>639.30209199318563</v>
      </c>
      <c r="J453" s="11">
        <f t="shared" si="114"/>
        <v>21.729553476362859</v>
      </c>
      <c r="K453" s="6">
        <v>0</v>
      </c>
      <c r="L453" s="6">
        <v>0</v>
      </c>
      <c r="M453" s="6">
        <v>0</v>
      </c>
      <c r="N453" s="7">
        <v>0</v>
      </c>
      <c r="O453" s="9">
        <v>100</v>
      </c>
      <c r="P453" s="10">
        <f t="shared" si="123"/>
        <v>0</v>
      </c>
      <c r="Q453" s="12">
        <f t="shared" si="115"/>
        <v>639.30209199318563</v>
      </c>
      <c r="R453" s="11">
        <f t="shared" si="116"/>
        <v>21.729553476362859</v>
      </c>
      <c r="S453" s="6">
        <v>0</v>
      </c>
      <c r="T453" s="6">
        <v>0</v>
      </c>
      <c r="U453" s="6">
        <v>0</v>
      </c>
      <c r="V453" s="7">
        <v>0</v>
      </c>
      <c r="W453" s="9">
        <v>100</v>
      </c>
      <c r="X453" s="10">
        <f t="shared" si="124"/>
        <v>0</v>
      </c>
      <c r="Y453" s="12">
        <f t="shared" si="117"/>
        <v>639.30209199318563</v>
      </c>
      <c r="Z453" s="11">
        <f t="shared" si="118"/>
        <v>21.729553476362859</v>
      </c>
      <c r="AA453" s="6">
        <v>0</v>
      </c>
      <c r="AB453" s="6">
        <v>0</v>
      </c>
      <c r="AC453" s="6">
        <v>0</v>
      </c>
      <c r="AD453" s="7">
        <v>0</v>
      </c>
      <c r="AE453" s="9">
        <v>100</v>
      </c>
      <c r="AF453" s="10">
        <f t="shared" si="125"/>
        <v>0</v>
      </c>
      <c r="AG453" s="12">
        <f t="shared" si="119"/>
        <v>639.30209199318563</v>
      </c>
      <c r="AH453" s="11">
        <f t="shared" si="120"/>
        <v>21.729553476362859</v>
      </c>
      <c r="AJ453" s="6">
        <f t="shared" si="126"/>
        <v>1000</v>
      </c>
      <c r="AK453" s="4">
        <v>436</v>
      </c>
      <c r="AM453" s="2" t="str">
        <f t="shared" si="121"/>
        <v>0</v>
      </c>
      <c r="AN453" s="2" t="str">
        <f t="shared" si="127"/>
        <v>3E8</v>
      </c>
      <c r="AO453" s="2"/>
      <c r="AP453" s="2" t="str">
        <f t="shared" si="128"/>
        <v>03E8</v>
      </c>
    </row>
    <row r="454" spans="1:42" x14ac:dyDescent="0.2">
      <c r="A454">
        <v>437</v>
      </c>
      <c r="B454">
        <v>43.6</v>
      </c>
      <c r="C454" s="6">
        <v>0</v>
      </c>
      <c r="D454" s="6">
        <v>0</v>
      </c>
      <c r="E454" s="6">
        <v>0</v>
      </c>
      <c r="F454" s="7">
        <v>0</v>
      </c>
      <c r="G454" s="9">
        <v>100</v>
      </c>
      <c r="H454" s="10">
        <f t="shared" si="122"/>
        <v>0</v>
      </c>
      <c r="I454" s="12">
        <f t="shared" si="113"/>
        <v>639.30209199318563</v>
      </c>
      <c r="J454" s="11">
        <f t="shared" si="114"/>
        <v>21.729553476362859</v>
      </c>
      <c r="K454" s="6">
        <v>0</v>
      </c>
      <c r="L454" s="6">
        <v>0</v>
      </c>
      <c r="M454" s="6">
        <v>0</v>
      </c>
      <c r="N454" s="7">
        <v>0</v>
      </c>
      <c r="O454" s="9">
        <v>100</v>
      </c>
      <c r="P454" s="10">
        <f t="shared" si="123"/>
        <v>0</v>
      </c>
      <c r="Q454" s="12">
        <f t="shared" si="115"/>
        <v>639.30209199318563</v>
      </c>
      <c r="R454" s="11">
        <f t="shared" si="116"/>
        <v>21.729553476362859</v>
      </c>
      <c r="S454" s="6">
        <v>0</v>
      </c>
      <c r="T454" s="6">
        <v>0</v>
      </c>
      <c r="U454" s="6">
        <v>0</v>
      </c>
      <c r="V454" s="7">
        <v>0</v>
      </c>
      <c r="W454" s="9">
        <v>100</v>
      </c>
      <c r="X454" s="10">
        <f t="shared" si="124"/>
        <v>0</v>
      </c>
      <c r="Y454" s="12">
        <f t="shared" si="117"/>
        <v>639.30209199318563</v>
      </c>
      <c r="Z454" s="11">
        <f t="shared" si="118"/>
        <v>21.729553476362859</v>
      </c>
      <c r="AA454" s="6">
        <v>0</v>
      </c>
      <c r="AB454" s="6">
        <v>0</v>
      </c>
      <c r="AC454" s="6">
        <v>0</v>
      </c>
      <c r="AD454" s="7">
        <v>0</v>
      </c>
      <c r="AE454" s="9">
        <v>100</v>
      </c>
      <c r="AF454" s="10">
        <f t="shared" si="125"/>
        <v>0</v>
      </c>
      <c r="AG454" s="12">
        <f t="shared" si="119"/>
        <v>639.30209199318563</v>
      </c>
      <c r="AH454" s="11">
        <f t="shared" si="120"/>
        <v>21.729553476362859</v>
      </c>
      <c r="AJ454" s="6">
        <f t="shared" si="126"/>
        <v>1000</v>
      </c>
      <c r="AK454" s="4">
        <v>437</v>
      </c>
      <c r="AM454" s="2" t="str">
        <f t="shared" si="121"/>
        <v>0</v>
      </c>
      <c r="AN454" s="2" t="str">
        <f t="shared" si="127"/>
        <v>3E8</v>
      </c>
      <c r="AO454" s="2"/>
      <c r="AP454" s="2" t="str">
        <f t="shared" si="128"/>
        <v>03E8</v>
      </c>
    </row>
    <row r="455" spans="1:42" x14ac:dyDescent="0.2">
      <c r="A455">
        <v>438</v>
      </c>
      <c r="B455">
        <v>43.7</v>
      </c>
      <c r="C455" s="6">
        <v>0</v>
      </c>
      <c r="D455" s="6">
        <v>0</v>
      </c>
      <c r="E455" s="6">
        <v>0</v>
      </c>
      <c r="F455" s="7">
        <v>0</v>
      </c>
      <c r="G455" s="9">
        <v>100</v>
      </c>
      <c r="H455" s="10">
        <f t="shared" si="122"/>
        <v>0</v>
      </c>
      <c r="I455" s="12">
        <f t="shared" si="113"/>
        <v>639.30209199318563</v>
      </c>
      <c r="J455" s="11">
        <f t="shared" si="114"/>
        <v>21.729553476362859</v>
      </c>
      <c r="K455" s="6">
        <v>0</v>
      </c>
      <c r="L455" s="6">
        <v>0</v>
      </c>
      <c r="M455" s="6">
        <v>0</v>
      </c>
      <c r="N455" s="7">
        <v>0</v>
      </c>
      <c r="O455" s="9">
        <v>100</v>
      </c>
      <c r="P455" s="10">
        <f t="shared" si="123"/>
        <v>0</v>
      </c>
      <c r="Q455" s="12">
        <f t="shared" si="115"/>
        <v>639.30209199318563</v>
      </c>
      <c r="R455" s="11">
        <f t="shared" si="116"/>
        <v>21.729553476362859</v>
      </c>
      <c r="S455" s="6">
        <v>0</v>
      </c>
      <c r="T455" s="6">
        <v>0</v>
      </c>
      <c r="U455" s="6">
        <v>0</v>
      </c>
      <c r="V455" s="7">
        <v>0</v>
      </c>
      <c r="W455" s="9">
        <v>100</v>
      </c>
      <c r="X455" s="10">
        <f t="shared" si="124"/>
        <v>0</v>
      </c>
      <c r="Y455" s="12">
        <f t="shared" si="117"/>
        <v>639.30209199318563</v>
      </c>
      <c r="Z455" s="11">
        <f t="shared" si="118"/>
        <v>21.729553476362859</v>
      </c>
      <c r="AA455" s="6">
        <v>0</v>
      </c>
      <c r="AB455" s="6">
        <v>0</v>
      </c>
      <c r="AC455" s="6">
        <v>0</v>
      </c>
      <c r="AD455" s="7">
        <v>0</v>
      </c>
      <c r="AE455" s="9">
        <v>100</v>
      </c>
      <c r="AF455" s="10">
        <f t="shared" si="125"/>
        <v>0</v>
      </c>
      <c r="AG455" s="12">
        <f t="shared" si="119"/>
        <v>639.30209199318563</v>
      </c>
      <c r="AH455" s="11">
        <f t="shared" si="120"/>
        <v>21.729553476362859</v>
      </c>
      <c r="AJ455" s="6">
        <f t="shared" si="126"/>
        <v>1000</v>
      </c>
      <c r="AK455" s="4">
        <v>438</v>
      </c>
      <c r="AM455" s="2" t="str">
        <f t="shared" si="121"/>
        <v>0</v>
      </c>
      <c r="AN455" s="2" t="str">
        <f t="shared" si="127"/>
        <v>3E8</v>
      </c>
      <c r="AO455" s="2"/>
      <c r="AP455" s="2" t="str">
        <f t="shared" si="128"/>
        <v>03E8</v>
      </c>
    </row>
    <row r="456" spans="1:42" x14ac:dyDescent="0.2">
      <c r="A456">
        <v>439</v>
      </c>
      <c r="B456">
        <v>43.8</v>
      </c>
      <c r="C456" s="6">
        <v>0</v>
      </c>
      <c r="D456" s="6">
        <v>0</v>
      </c>
      <c r="E456" s="6">
        <v>0</v>
      </c>
      <c r="F456" s="7">
        <v>0</v>
      </c>
      <c r="G456" s="9">
        <v>100</v>
      </c>
      <c r="H456" s="10">
        <f t="shared" si="122"/>
        <v>0</v>
      </c>
      <c r="I456" s="12">
        <f t="shared" si="113"/>
        <v>639.30209199318563</v>
      </c>
      <c r="J456" s="11">
        <f t="shared" si="114"/>
        <v>21.729553476362859</v>
      </c>
      <c r="K456" s="6">
        <v>0</v>
      </c>
      <c r="L456" s="6">
        <v>0</v>
      </c>
      <c r="M456" s="6">
        <v>0</v>
      </c>
      <c r="N456" s="7">
        <v>0</v>
      </c>
      <c r="O456" s="9">
        <v>100</v>
      </c>
      <c r="P456" s="10">
        <f t="shared" si="123"/>
        <v>0</v>
      </c>
      <c r="Q456" s="12">
        <f t="shared" si="115"/>
        <v>639.30209199318563</v>
      </c>
      <c r="R456" s="11">
        <f t="shared" si="116"/>
        <v>21.729553476362859</v>
      </c>
      <c r="S456" s="6">
        <v>0</v>
      </c>
      <c r="T456" s="6">
        <v>0</v>
      </c>
      <c r="U456" s="6">
        <v>0</v>
      </c>
      <c r="V456" s="7">
        <v>0</v>
      </c>
      <c r="W456" s="9">
        <v>100</v>
      </c>
      <c r="X456" s="10">
        <f t="shared" si="124"/>
        <v>0</v>
      </c>
      <c r="Y456" s="12">
        <f t="shared" si="117"/>
        <v>639.30209199318563</v>
      </c>
      <c r="Z456" s="11">
        <f t="shared" si="118"/>
        <v>21.729553476362859</v>
      </c>
      <c r="AA456" s="6">
        <v>0</v>
      </c>
      <c r="AB456" s="6">
        <v>0</v>
      </c>
      <c r="AC456" s="6">
        <v>0</v>
      </c>
      <c r="AD456" s="7">
        <v>0</v>
      </c>
      <c r="AE456" s="9">
        <v>100</v>
      </c>
      <c r="AF456" s="10">
        <f t="shared" si="125"/>
        <v>0</v>
      </c>
      <c r="AG456" s="12">
        <f t="shared" si="119"/>
        <v>639.30209199318563</v>
      </c>
      <c r="AH456" s="11">
        <f t="shared" si="120"/>
        <v>21.729553476362859</v>
      </c>
      <c r="AJ456" s="6">
        <f t="shared" si="126"/>
        <v>1000</v>
      </c>
      <c r="AK456" s="4">
        <v>439</v>
      </c>
      <c r="AM456" s="2" t="str">
        <f t="shared" si="121"/>
        <v>0</v>
      </c>
      <c r="AN456" s="2" t="str">
        <f t="shared" si="127"/>
        <v>3E8</v>
      </c>
      <c r="AO456" s="2"/>
      <c r="AP456" s="2" t="str">
        <f t="shared" si="128"/>
        <v>03E8</v>
      </c>
    </row>
    <row r="457" spans="1:42" x14ac:dyDescent="0.2">
      <c r="A457">
        <v>440</v>
      </c>
      <c r="B457">
        <v>43.9</v>
      </c>
      <c r="C457" s="6">
        <v>0</v>
      </c>
      <c r="D457" s="6">
        <v>0</v>
      </c>
      <c r="E457" s="6">
        <v>0</v>
      </c>
      <c r="F457" s="7">
        <v>0</v>
      </c>
      <c r="G457" s="9">
        <v>100</v>
      </c>
      <c r="H457" s="10">
        <f t="shared" si="122"/>
        <v>0</v>
      </c>
      <c r="I457" s="12">
        <f t="shared" si="113"/>
        <v>639.30209199318563</v>
      </c>
      <c r="J457" s="11">
        <f t="shared" si="114"/>
        <v>21.729553476362859</v>
      </c>
      <c r="K457" s="6">
        <v>0</v>
      </c>
      <c r="L457" s="6">
        <v>0</v>
      </c>
      <c r="M457" s="6">
        <v>0</v>
      </c>
      <c r="N457" s="7">
        <v>0</v>
      </c>
      <c r="O457" s="9">
        <v>100</v>
      </c>
      <c r="P457" s="10">
        <f t="shared" si="123"/>
        <v>0</v>
      </c>
      <c r="Q457" s="12">
        <f t="shared" si="115"/>
        <v>639.30209199318563</v>
      </c>
      <c r="R457" s="11">
        <f t="shared" si="116"/>
        <v>21.729553476362859</v>
      </c>
      <c r="S457" s="6">
        <v>0</v>
      </c>
      <c r="T457" s="6">
        <v>0</v>
      </c>
      <c r="U457" s="6">
        <v>0</v>
      </c>
      <c r="V457" s="7">
        <v>0</v>
      </c>
      <c r="W457" s="9">
        <v>100</v>
      </c>
      <c r="X457" s="10">
        <f t="shared" si="124"/>
        <v>0</v>
      </c>
      <c r="Y457" s="12">
        <f t="shared" si="117"/>
        <v>639.30209199318563</v>
      </c>
      <c r="Z457" s="11">
        <f t="shared" si="118"/>
        <v>21.729553476362859</v>
      </c>
      <c r="AA457" s="6">
        <v>0</v>
      </c>
      <c r="AB457" s="6">
        <v>0</v>
      </c>
      <c r="AC457" s="6">
        <v>0</v>
      </c>
      <c r="AD457" s="7">
        <v>0</v>
      </c>
      <c r="AE457" s="9">
        <v>100</v>
      </c>
      <c r="AF457" s="10">
        <f t="shared" si="125"/>
        <v>0</v>
      </c>
      <c r="AG457" s="12">
        <f t="shared" si="119"/>
        <v>639.30209199318563</v>
      </c>
      <c r="AH457" s="11">
        <f t="shared" si="120"/>
        <v>21.729553476362859</v>
      </c>
      <c r="AJ457" s="6">
        <f t="shared" si="126"/>
        <v>1000</v>
      </c>
      <c r="AK457" s="4">
        <v>440</v>
      </c>
      <c r="AM457" s="2" t="str">
        <f t="shared" si="121"/>
        <v>0</v>
      </c>
      <c r="AN457" s="2" t="str">
        <f t="shared" si="127"/>
        <v>3E8</v>
      </c>
      <c r="AO457" s="2"/>
      <c r="AP457" s="2" t="str">
        <f t="shared" si="128"/>
        <v>03E8</v>
      </c>
    </row>
    <row r="458" spans="1:42" x14ac:dyDescent="0.2">
      <c r="A458">
        <v>441</v>
      </c>
      <c r="B458">
        <v>44</v>
      </c>
      <c r="C458" s="6">
        <v>0</v>
      </c>
      <c r="D458" s="6">
        <v>0</v>
      </c>
      <c r="E458" s="6">
        <v>0</v>
      </c>
      <c r="F458" s="7">
        <v>0</v>
      </c>
      <c r="G458" s="9">
        <v>100</v>
      </c>
      <c r="H458" s="10">
        <f t="shared" si="122"/>
        <v>0</v>
      </c>
      <c r="I458" s="12">
        <f t="shared" si="113"/>
        <v>639.30209199318563</v>
      </c>
      <c r="J458" s="11">
        <f t="shared" si="114"/>
        <v>21.729553476362859</v>
      </c>
      <c r="K458" s="6">
        <v>0</v>
      </c>
      <c r="L458" s="6">
        <v>0</v>
      </c>
      <c r="M458" s="6">
        <v>0</v>
      </c>
      <c r="N458" s="7">
        <v>0</v>
      </c>
      <c r="O458" s="9">
        <v>100</v>
      </c>
      <c r="P458" s="10">
        <f t="shared" si="123"/>
        <v>0</v>
      </c>
      <c r="Q458" s="12">
        <f t="shared" si="115"/>
        <v>639.30209199318563</v>
      </c>
      <c r="R458" s="11">
        <f t="shared" si="116"/>
        <v>21.729553476362859</v>
      </c>
      <c r="S458" s="6">
        <v>0</v>
      </c>
      <c r="T458" s="6">
        <v>0</v>
      </c>
      <c r="U458" s="6">
        <v>0</v>
      </c>
      <c r="V458" s="7">
        <v>0</v>
      </c>
      <c r="W458" s="9">
        <v>100</v>
      </c>
      <c r="X458" s="10">
        <f t="shared" si="124"/>
        <v>0</v>
      </c>
      <c r="Y458" s="12">
        <f t="shared" si="117"/>
        <v>639.30209199318563</v>
      </c>
      <c r="Z458" s="11">
        <f t="shared" si="118"/>
        <v>21.729553476362859</v>
      </c>
      <c r="AA458" s="6">
        <v>0</v>
      </c>
      <c r="AB458" s="6">
        <v>0</v>
      </c>
      <c r="AC458" s="6">
        <v>0</v>
      </c>
      <c r="AD458" s="7">
        <v>0</v>
      </c>
      <c r="AE458" s="9">
        <v>100</v>
      </c>
      <c r="AF458" s="10">
        <f t="shared" si="125"/>
        <v>0</v>
      </c>
      <c r="AG458" s="12">
        <f t="shared" si="119"/>
        <v>639.30209199318563</v>
      </c>
      <c r="AH458" s="11">
        <f t="shared" si="120"/>
        <v>21.729553476362859</v>
      </c>
      <c r="AJ458" s="6">
        <f t="shared" si="126"/>
        <v>1000</v>
      </c>
      <c r="AK458" s="4">
        <v>441</v>
      </c>
      <c r="AM458" s="2" t="str">
        <f t="shared" si="121"/>
        <v>0</v>
      </c>
      <c r="AN458" s="2" t="str">
        <f t="shared" si="127"/>
        <v>3E8</v>
      </c>
      <c r="AO458" s="2"/>
      <c r="AP458" s="2" t="str">
        <f t="shared" si="128"/>
        <v>03E8</v>
      </c>
    </row>
    <row r="459" spans="1:42" x14ac:dyDescent="0.2">
      <c r="A459">
        <v>442</v>
      </c>
      <c r="B459">
        <v>44.1</v>
      </c>
      <c r="C459" s="6">
        <v>0</v>
      </c>
      <c r="D459" s="6">
        <v>0</v>
      </c>
      <c r="E459" s="6">
        <v>0</v>
      </c>
      <c r="F459" s="7">
        <v>0</v>
      </c>
      <c r="G459" s="9">
        <v>100</v>
      </c>
      <c r="H459" s="10">
        <f t="shared" si="122"/>
        <v>0</v>
      </c>
      <c r="I459" s="12">
        <f t="shared" si="113"/>
        <v>639.30209199318563</v>
      </c>
      <c r="J459" s="11">
        <f t="shared" si="114"/>
        <v>21.729553476362859</v>
      </c>
      <c r="K459" s="6">
        <v>0</v>
      </c>
      <c r="L459" s="6">
        <v>0</v>
      </c>
      <c r="M459" s="6">
        <v>0</v>
      </c>
      <c r="N459" s="7">
        <v>0</v>
      </c>
      <c r="O459" s="9">
        <v>100</v>
      </c>
      <c r="P459" s="10">
        <f t="shared" si="123"/>
        <v>0</v>
      </c>
      <c r="Q459" s="12">
        <f t="shared" si="115"/>
        <v>639.30209199318563</v>
      </c>
      <c r="R459" s="11">
        <f t="shared" si="116"/>
        <v>21.729553476362859</v>
      </c>
      <c r="S459" s="6">
        <v>0</v>
      </c>
      <c r="T459" s="6">
        <v>0</v>
      </c>
      <c r="U459" s="6">
        <v>0</v>
      </c>
      <c r="V459" s="7">
        <v>0</v>
      </c>
      <c r="W459" s="9">
        <v>100</v>
      </c>
      <c r="X459" s="10">
        <f t="shared" si="124"/>
        <v>0</v>
      </c>
      <c r="Y459" s="12">
        <f t="shared" si="117"/>
        <v>639.30209199318563</v>
      </c>
      <c r="Z459" s="11">
        <f t="shared" si="118"/>
        <v>21.729553476362859</v>
      </c>
      <c r="AA459" s="6">
        <v>0</v>
      </c>
      <c r="AB459" s="6">
        <v>0</v>
      </c>
      <c r="AC459" s="6">
        <v>0</v>
      </c>
      <c r="AD459" s="7">
        <v>0</v>
      </c>
      <c r="AE459" s="9">
        <v>100</v>
      </c>
      <c r="AF459" s="10">
        <f t="shared" si="125"/>
        <v>0</v>
      </c>
      <c r="AG459" s="12">
        <f t="shared" si="119"/>
        <v>639.30209199318563</v>
      </c>
      <c r="AH459" s="11">
        <f t="shared" si="120"/>
        <v>21.729553476362859</v>
      </c>
      <c r="AJ459" s="6">
        <f t="shared" si="126"/>
        <v>1000</v>
      </c>
      <c r="AK459" s="4">
        <v>442</v>
      </c>
      <c r="AM459" s="2" t="str">
        <f t="shared" si="121"/>
        <v>0</v>
      </c>
      <c r="AN459" s="2" t="str">
        <f t="shared" si="127"/>
        <v>3E8</v>
      </c>
      <c r="AO459" s="2"/>
      <c r="AP459" s="2" t="str">
        <f t="shared" si="128"/>
        <v>03E8</v>
      </c>
    </row>
    <row r="460" spans="1:42" x14ac:dyDescent="0.2">
      <c r="A460">
        <v>443</v>
      </c>
      <c r="B460">
        <v>44.2</v>
      </c>
      <c r="C460" s="6">
        <v>0</v>
      </c>
      <c r="D460" s="6">
        <v>0</v>
      </c>
      <c r="E460" s="6">
        <v>0</v>
      </c>
      <c r="F460" s="7">
        <v>0</v>
      </c>
      <c r="G460" s="9">
        <v>100</v>
      </c>
      <c r="H460" s="10">
        <f t="shared" si="122"/>
        <v>0</v>
      </c>
      <c r="I460" s="12">
        <f t="shared" si="113"/>
        <v>639.30209199318563</v>
      </c>
      <c r="J460" s="11">
        <f t="shared" si="114"/>
        <v>21.729553476362859</v>
      </c>
      <c r="K460" s="6">
        <v>0</v>
      </c>
      <c r="L460" s="6">
        <v>0</v>
      </c>
      <c r="M460" s="6">
        <v>0</v>
      </c>
      <c r="N460" s="7">
        <v>0</v>
      </c>
      <c r="O460" s="9">
        <v>100</v>
      </c>
      <c r="P460" s="10">
        <f t="shared" si="123"/>
        <v>0</v>
      </c>
      <c r="Q460" s="12">
        <f t="shared" si="115"/>
        <v>639.30209199318563</v>
      </c>
      <c r="R460" s="11">
        <f t="shared" si="116"/>
        <v>21.729553476362859</v>
      </c>
      <c r="S460" s="6">
        <v>0</v>
      </c>
      <c r="T460" s="6">
        <v>0</v>
      </c>
      <c r="U460" s="6">
        <v>0</v>
      </c>
      <c r="V460" s="7">
        <v>0</v>
      </c>
      <c r="W460" s="9">
        <v>100</v>
      </c>
      <c r="X460" s="10">
        <f t="shared" si="124"/>
        <v>0</v>
      </c>
      <c r="Y460" s="12">
        <f t="shared" si="117"/>
        <v>639.30209199318563</v>
      </c>
      <c r="Z460" s="11">
        <f t="shared" si="118"/>
        <v>21.729553476362859</v>
      </c>
      <c r="AA460" s="6">
        <v>0</v>
      </c>
      <c r="AB460" s="6">
        <v>0</v>
      </c>
      <c r="AC460" s="6">
        <v>0</v>
      </c>
      <c r="AD460" s="7">
        <v>0</v>
      </c>
      <c r="AE460" s="9">
        <v>100</v>
      </c>
      <c r="AF460" s="10">
        <f t="shared" si="125"/>
        <v>0</v>
      </c>
      <c r="AG460" s="12">
        <f t="shared" si="119"/>
        <v>639.30209199318563</v>
      </c>
      <c r="AH460" s="11">
        <f t="shared" si="120"/>
        <v>21.729553476362859</v>
      </c>
      <c r="AJ460" s="6">
        <f t="shared" si="126"/>
        <v>1000</v>
      </c>
      <c r="AK460" s="4">
        <v>443</v>
      </c>
      <c r="AM460" s="2" t="str">
        <f t="shared" si="121"/>
        <v>0</v>
      </c>
      <c r="AN460" s="2" t="str">
        <f t="shared" si="127"/>
        <v>3E8</v>
      </c>
      <c r="AO460" s="2"/>
      <c r="AP460" s="2" t="str">
        <f t="shared" si="128"/>
        <v>03E8</v>
      </c>
    </row>
    <row r="461" spans="1:42" x14ac:dyDescent="0.2">
      <c r="A461">
        <v>444</v>
      </c>
      <c r="B461">
        <v>44.3</v>
      </c>
      <c r="C461" s="6">
        <v>0</v>
      </c>
      <c r="D461" s="6">
        <v>0</v>
      </c>
      <c r="E461" s="6">
        <v>0</v>
      </c>
      <c r="F461" s="7">
        <v>0</v>
      </c>
      <c r="G461" s="9">
        <v>100</v>
      </c>
      <c r="H461" s="10">
        <f t="shared" si="122"/>
        <v>0</v>
      </c>
      <c r="I461" s="12">
        <f t="shared" si="113"/>
        <v>639.30209199318563</v>
      </c>
      <c r="J461" s="11">
        <f t="shared" si="114"/>
        <v>21.729553476362859</v>
      </c>
      <c r="K461" s="6">
        <v>0</v>
      </c>
      <c r="L461" s="6">
        <v>0</v>
      </c>
      <c r="M461" s="6">
        <v>0</v>
      </c>
      <c r="N461" s="7">
        <v>0</v>
      </c>
      <c r="O461" s="9">
        <v>100</v>
      </c>
      <c r="P461" s="10">
        <f t="shared" si="123"/>
        <v>0</v>
      </c>
      <c r="Q461" s="12">
        <f t="shared" si="115"/>
        <v>639.30209199318563</v>
      </c>
      <c r="R461" s="11">
        <f t="shared" si="116"/>
        <v>21.729553476362859</v>
      </c>
      <c r="S461" s="6">
        <v>0</v>
      </c>
      <c r="T461" s="6">
        <v>0</v>
      </c>
      <c r="U461" s="6">
        <v>0</v>
      </c>
      <c r="V461" s="7">
        <v>0</v>
      </c>
      <c r="W461" s="9">
        <v>100</v>
      </c>
      <c r="X461" s="10">
        <f t="shared" si="124"/>
        <v>0</v>
      </c>
      <c r="Y461" s="12">
        <f t="shared" si="117"/>
        <v>639.30209199318563</v>
      </c>
      <c r="Z461" s="11">
        <f t="shared" si="118"/>
        <v>21.729553476362859</v>
      </c>
      <c r="AA461" s="6">
        <v>0</v>
      </c>
      <c r="AB461" s="6">
        <v>0</v>
      </c>
      <c r="AC461" s="6">
        <v>0</v>
      </c>
      <c r="AD461" s="7">
        <v>0</v>
      </c>
      <c r="AE461" s="9">
        <v>100</v>
      </c>
      <c r="AF461" s="10">
        <f t="shared" si="125"/>
        <v>0</v>
      </c>
      <c r="AG461" s="12">
        <f t="shared" si="119"/>
        <v>639.30209199318563</v>
      </c>
      <c r="AH461" s="11">
        <f t="shared" si="120"/>
        <v>21.729553476362859</v>
      </c>
      <c r="AJ461" s="6">
        <f t="shared" si="126"/>
        <v>1000</v>
      </c>
      <c r="AK461" s="4">
        <v>444</v>
      </c>
      <c r="AM461" s="2" t="str">
        <f t="shared" si="121"/>
        <v>0</v>
      </c>
      <c r="AN461" s="2" t="str">
        <f t="shared" si="127"/>
        <v>3E8</v>
      </c>
      <c r="AO461" s="2"/>
      <c r="AP461" s="2" t="str">
        <f t="shared" si="128"/>
        <v>03E8</v>
      </c>
    </row>
    <row r="462" spans="1:42" x14ac:dyDescent="0.2">
      <c r="A462">
        <v>445</v>
      </c>
      <c r="B462">
        <v>44.4</v>
      </c>
      <c r="C462" s="6">
        <v>0</v>
      </c>
      <c r="D462" s="6">
        <v>0</v>
      </c>
      <c r="E462" s="6">
        <v>0</v>
      </c>
      <c r="F462" s="7">
        <v>0</v>
      </c>
      <c r="G462" s="9">
        <v>100</v>
      </c>
      <c r="H462" s="10">
        <f t="shared" si="122"/>
        <v>0</v>
      </c>
      <c r="I462" s="12">
        <f t="shared" si="113"/>
        <v>639.30209199318563</v>
      </c>
      <c r="J462" s="11">
        <f t="shared" si="114"/>
        <v>21.729553476362859</v>
      </c>
      <c r="K462" s="6">
        <v>0</v>
      </c>
      <c r="L462" s="6">
        <v>0</v>
      </c>
      <c r="M462" s="6">
        <v>0</v>
      </c>
      <c r="N462" s="7">
        <v>0</v>
      </c>
      <c r="O462" s="9">
        <v>100</v>
      </c>
      <c r="P462" s="10">
        <f t="shared" si="123"/>
        <v>0</v>
      </c>
      <c r="Q462" s="12">
        <f t="shared" si="115"/>
        <v>639.30209199318563</v>
      </c>
      <c r="R462" s="11">
        <f t="shared" si="116"/>
        <v>21.729553476362859</v>
      </c>
      <c r="S462" s="6">
        <v>0</v>
      </c>
      <c r="T462" s="6">
        <v>0</v>
      </c>
      <c r="U462" s="6">
        <v>0</v>
      </c>
      <c r="V462" s="7">
        <v>0</v>
      </c>
      <c r="W462" s="9">
        <v>100</v>
      </c>
      <c r="X462" s="10">
        <f t="shared" si="124"/>
        <v>0</v>
      </c>
      <c r="Y462" s="12">
        <f t="shared" si="117"/>
        <v>639.30209199318563</v>
      </c>
      <c r="Z462" s="11">
        <f t="shared" si="118"/>
        <v>21.729553476362859</v>
      </c>
      <c r="AA462" s="6">
        <v>0</v>
      </c>
      <c r="AB462" s="6">
        <v>0</v>
      </c>
      <c r="AC462" s="6">
        <v>0</v>
      </c>
      <c r="AD462" s="7">
        <v>0</v>
      </c>
      <c r="AE462" s="9">
        <v>100</v>
      </c>
      <c r="AF462" s="10">
        <f t="shared" si="125"/>
        <v>0</v>
      </c>
      <c r="AG462" s="12">
        <f t="shared" si="119"/>
        <v>639.30209199318563</v>
      </c>
      <c r="AH462" s="11">
        <f t="shared" si="120"/>
        <v>21.729553476362859</v>
      </c>
      <c r="AJ462" s="6">
        <f t="shared" si="126"/>
        <v>1000</v>
      </c>
      <c r="AK462" s="4">
        <v>445</v>
      </c>
      <c r="AM462" s="2" t="str">
        <f t="shared" si="121"/>
        <v>0</v>
      </c>
      <c r="AN462" s="2" t="str">
        <f t="shared" si="127"/>
        <v>3E8</v>
      </c>
      <c r="AO462" s="2"/>
      <c r="AP462" s="2" t="str">
        <f t="shared" si="128"/>
        <v>03E8</v>
      </c>
    </row>
    <row r="463" spans="1:42" x14ac:dyDescent="0.2">
      <c r="A463">
        <v>446</v>
      </c>
      <c r="B463">
        <v>44.5</v>
      </c>
      <c r="C463" s="6">
        <v>0</v>
      </c>
      <c r="D463" s="6">
        <v>0</v>
      </c>
      <c r="E463" s="6">
        <v>0</v>
      </c>
      <c r="F463" s="7">
        <v>0</v>
      </c>
      <c r="G463" s="9">
        <v>100</v>
      </c>
      <c r="H463" s="10">
        <f t="shared" si="122"/>
        <v>0</v>
      </c>
      <c r="I463" s="12">
        <f t="shared" si="113"/>
        <v>639.30209199318563</v>
      </c>
      <c r="J463" s="11">
        <f t="shared" si="114"/>
        <v>21.729553476362859</v>
      </c>
      <c r="K463" s="6">
        <v>0</v>
      </c>
      <c r="L463" s="6">
        <v>0</v>
      </c>
      <c r="M463" s="6">
        <v>0</v>
      </c>
      <c r="N463" s="7">
        <v>0</v>
      </c>
      <c r="O463" s="9">
        <v>100</v>
      </c>
      <c r="P463" s="10">
        <f t="shared" si="123"/>
        <v>0</v>
      </c>
      <c r="Q463" s="12">
        <f t="shared" si="115"/>
        <v>639.30209199318563</v>
      </c>
      <c r="R463" s="11">
        <f t="shared" si="116"/>
        <v>21.729553476362859</v>
      </c>
      <c r="S463" s="6">
        <v>0</v>
      </c>
      <c r="T463" s="6">
        <v>0</v>
      </c>
      <c r="U463" s="6">
        <v>0</v>
      </c>
      <c r="V463" s="7">
        <v>0</v>
      </c>
      <c r="W463" s="9">
        <v>100</v>
      </c>
      <c r="X463" s="10">
        <f t="shared" si="124"/>
        <v>0</v>
      </c>
      <c r="Y463" s="12">
        <f t="shared" si="117"/>
        <v>639.30209199318563</v>
      </c>
      <c r="Z463" s="11">
        <f t="shared" si="118"/>
        <v>21.729553476362859</v>
      </c>
      <c r="AA463" s="6">
        <v>0</v>
      </c>
      <c r="AB463" s="6">
        <v>0</v>
      </c>
      <c r="AC463" s="6">
        <v>0</v>
      </c>
      <c r="AD463" s="7">
        <v>0</v>
      </c>
      <c r="AE463" s="9">
        <v>100</v>
      </c>
      <c r="AF463" s="10">
        <f t="shared" si="125"/>
        <v>0</v>
      </c>
      <c r="AG463" s="12">
        <f t="shared" si="119"/>
        <v>639.30209199318563</v>
      </c>
      <c r="AH463" s="11">
        <f t="shared" si="120"/>
        <v>21.729553476362859</v>
      </c>
      <c r="AJ463" s="6">
        <f t="shared" si="126"/>
        <v>1000</v>
      </c>
      <c r="AK463" s="4">
        <v>446</v>
      </c>
      <c r="AM463" s="2" t="str">
        <f t="shared" si="121"/>
        <v>0</v>
      </c>
      <c r="AN463" s="2" t="str">
        <f t="shared" si="127"/>
        <v>3E8</v>
      </c>
      <c r="AO463" s="2"/>
      <c r="AP463" s="2" t="str">
        <f t="shared" si="128"/>
        <v>03E8</v>
      </c>
    </row>
    <row r="464" spans="1:42" x14ac:dyDescent="0.2">
      <c r="A464">
        <v>447</v>
      </c>
      <c r="B464">
        <v>44.6</v>
      </c>
      <c r="C464" s="6">
        <v>0</v>
      </c>
      <c r="D464" s="6">
        <v>0</v>
      </c>
      <c r="E464" s="6">
        <v>0</v>
      </c>
      <c r="F464" s="7">
        <v>0</v>
      </c>
      <c r="G464" s="9">
        <v>100</v>
      </c>
      <c r="H464" s="10">
        <f t="shared" si="122"/>
        <v>0</v>
      </c>
      <c r="I464" s="12">
        <f t="shared" si="113"/>
        <v>639.30209199318563</v>
      </c>
      <c r="J464" s="11">
        <f t="shared" si="114"/>
        <v>21.729553476362859</v>
      </c>
      <c r="K464" s="6">
        <v>0</v>
      </c>
      <c r="L464" s="6">
        <v>0</v>
      </c>
      <c r="M464" s="6">
        <v>0</v>
      </c>
      <c r="N464" s="7">
        <v>0</v>
      </c>
      <c r="O464" s="9">
        <v>100</v>
      </c>
      <c r="P464" s="10">
        <f t="shared" si="123"/>
        <v>0</v>
      </c>
      <c r="Q464" s="12">
        <f t="shared" si="115"/>
        <v>639.30209199318563</v>
      </c>
      <c r="R464" s="11">
        <f t="shared" si="116"/>
        <v>21.729553476362859</v>
      </c>
      <c r="S464" s="6">
        <v>0</v>
      </c>
      <c r="T464" s="6">
        <v>0</v>
      </c>
      <c r="U464" s="6">
        <v>0</v>
      </c>
      <c r="V464" s="7">
        <v>0</v>
      </c>
      <c r="W464" s="9">
        <v>100</v>
      </c>
      <c r="X464" s="10">
        <f t="shared" si="124"/>
        <v>0</v>
      </c>
      <c r="Y464" s="12">
        <f t="shared" si="117"/>
        <v>639.30209199318563</v>
      </c>
      <c r="Z464" s="11">
        <f t="shared" si="118"/>
        <v>21.729553476362859</v>
      </c>
      <c r="AA464" s="6">
        <v>0</v>
      </c>
      <c r="AB464" s="6">
        <v>0</v>
      </c>
      <c r="AC464" s="6">
        <v>0</v>
      </c>
      <c r="AD464" s="7">
        <v>0</v>
      </c>
      <c r="AE464" s="9">
        <v>100</v>
      </c>
      <c r="AF464" s="10">
        <f t="shared" si="125"/>
        <v>0</v>
      </c>
      <c r="AG464" s="12">
        <f t="shared" si="119"/>
        <v>639.30209199318563</v>
      </c>
      <c r="AH464" s="11">
        <f t="shared" si="120"/>
        <v>21.729553476362859</v>
      </c>
      <c r="AJ464" s="6">
        <f t="shared" si="126"/>
        <v>1000</v>
      </c>
      <c r="AK464" s="4">
        <v>447</v>
      </c>
      <c r="AM464" s="2" t="str">
        <f t="shared" si="121"/>
        <v>0</v>
      </c>
      <c r="AN464" s="2" t="str">
        <f t="shared" si="127"/>
        <v>3E8</v>
      </c>
      <c r="AO464" s="2"/>
      <c r="AP464" s="2" t="str">
        <f t="shared" si="128"/>
        <v>03E8</v>
      </c>
    </row>
    <row r="465" spans="1:42" x14ac:dyDescent="0.2">
      <c r="A465">
        <v>448</v>
      </c>
      <c r="B465">
        <v>44.7</v>
      </c>
      <c r="C465" s="6">
        <v>0</v>
      </c>
      <c r="D465" s="6">
        <v>0</v>
      </c>
      <c r="E465" s="6">
        <v>0</v>
      </c>
      <c r="F465" s="7">
        <v>0</v>
      </c>
      <c r="G465" s="9">
        <v>100</v>
      </c>
      <c r="H465" s="10">
        <f t="shared" si="122"/>
        <v>0</v>
      </c>
      <c r="I465" s="12">
        <f t="shared" si="113"/>
        <v>639.30209199318563</v>
      </c>
      <c r="J465" s="11">
        <f t="shared" si="114"/>
        <v>21.729553476362859</v>
      </c>
      <c r="K465" s="6">
        <v>0</v>
      </c>
      <c r="L465" s="6">
        <v>0</v>
      </c>
      <c r="M465" s="6">
        <v>0</v>
      </c>
      <c r="N465" s="7">
        <v>0</v>
      </c>
      <c r="O465" s="9">
        <v>100</v>
      </c>
      <c r="P465" s="10">
        <f t="shared" si="123"/>
        <v>0</v>
      </c>
      <c r="Q465" s="12">
        <f t="shared" si="115"/>
        <v>639.30209199318563</v>
      </c>
      <c r="R465" s="11">
        <f t="shared" si="116"/>
        <v>21.729553476362859</v>
      </c>
      <c r="S465" s="6">
        <v>0</v>
      </c>
      <c r="T465" s="6">
        <v>0</v>
      </c>
      <c r="U465" s="6">
        <v>0</v>
      </c>
      <c r="V465" s="7">
        <v>0</v>
      </c>
      <c r="W465" s="9">
        <v>100</v>
      </c>
      <c r="X465" s="10">
        <f t="shared" si="124"/>
        <v>0</v>
      </c>
      <c r="Y465" s="12">
        <f t="shared" si="117"/>
        <v>639.30209199318563</v>
      </c>
      <c r="Z465" s="11">
        <f t="shared" si="118"/>
        <v>21.729553476362859</v>
      </c>
      <c r="AA465" s="6">
        <v>0</v>
      </c>
      <c r="AB465" s="6">
        <v>0</v>
      </c>
      <c r="AC465" s="6">
        <v>0</v>
      </c>
      <c r="AD465" s="7">
        <v>0</v>
      </c>
      <c r="AE465" s="9">
        <v>100</v>
      </c>
      <c r="AF465" s="10">
        <f t="shared" si="125"/>
        <v>0</v>
      </c>
      <c r="AG465" s="12">
        <f t="shared" si="119"/>
        <v>639.30209199318563</v>
      </c>
      <c r="AH465" s="11">
        <f t="shared" si="120"/>
        <v>21.729553476362859</v>
      </c>
      <c r="AJ465" s="6">
        <f t="shared" si="126"/>
        <v>1000</v>
      </c>
      <c r="AK465" s="4">
        <v>448</v>
      </c>
      <c r="AM465" s="2" t="str">
        <f t="shared" si="121"/>
        <v>0</v>
      </c>
      <c r="AN465" s="2" t="str">
        <f t="shared" si="127"/>
        <v>3E8</v>
      </c>
      <c r="AO465" s="2"/>
      <c r="AP465" s="2" t="str">
        <f t="shared" si="128"/>
        <v>03E8</v>
      </c>
    </row>
    <row r="466" spans="1:42" x14ac:dyDescent="0.2">
      <c r="A466">
        <v>449</v>
      </c>
      <c r="B466">
        <v>44.8</v>
      </c>
      <c r="C466" s="6">
        <v>0</v>
      </c>
      <c r="D466" s="6">
        <v>0</v>
      </c>
      <c r="E466" s="6">
        <v>0</v>
      </c>
      <c r="F466" s="7">
        <v>0</v>
      </c>
      <c r="G466" s="9">
        <v>100</v>
      </c>
      <c r="H466" s="10">
        <f t="shared" si="122"/>
        <v>0</v>
      </c>
      <c r="I466" s="12">
        <f t="shared" ref="I466:I529" si="129">PH_FIRE_VOLTAGE_OFFSET + 1023*(G466/100*G$16*$I$7+$I$6)*$S$10/(PH_FIRE_VOLTAGE_AMPLITUDE*0.01)</f>
        <v>639.30209199318563</v>
      </c>
      <c r="J466" s="11">
        <f t="shared" ref="J466:J529" si="130">I466/(DAC_LIMIT_MAX-DAC_LIMIT_MIN+1)*GAIN_PREAMP*GAIN_POWERAMP+OFFSET_AMP</f>
        <v>21.729553476362859</v>
      </c>
      <c r="K466" s="6">
        <v>0</v>
      </c>
      <c r="L466" s="6">
        <v>0</v>
      </c>
      <c r="M466" s="6">
        <v>0</v>
      </c>
      <c r="N466" s="7">
        <v>0</v>
      </c>
      <c r="O466" s="9">
        <v>100</v>
      </c>
      <c r="P466" s="10">
        <f t="shared" si="123"/>
        <v>0</v>
      </c>
      <c r="Q466" s="12">
        <f t="shared" ref="Q466:Q529" si="131">PH_FIRE_VOLTAGE_OFFSET + 1023*(O466/100*O$16*$I$7+$I$6)*$S$10/(PH_FIRE_VOLTAGE_AMPLITUDE*0.01)</f>
        <v>639.30209199318563</v>
      </c>
      <c r="R466" s="11">
        <f t="shared" ref="R466:R529" si="132">Q466/(DAC_LIMIT_MAX-DAC_LIMIT_MIN+1)*GAIN_PREAMP*GAIN_POWERAMP+OFFSET_AMP</f>
        <v>21.729553476362859</v>
      </c>
      <c r="S466" s="6">
        <v>0</v>
      </c>
      <c r="T466" s="6">
        <v>0</v>
      </c>
      <c r="U466" s="6">
        <v>0</v>
      </c>
      <c r="V466" s="7">
        <v>0</v>
      </c>
      <c r="W466" s="9">
        <v>100</v>
      </c>
      <c r="X466" s="10">
        <f t="shared" si="124"/>
        <v>0</v>
      </c>
      <c r="Y466" s="12">
        <f t="shared" ref="Y466:Y529" si="133">PH_FIRE_VOLTAGE_OFFSET + 1023*(W466/100*W$16*$I$7+$I$6)*$S$10/(PH_FIRE_VOLTAGE_AMPLITUDE*0.01)</f>
        <v>639.30209199318563</v>
      </c>
      <c r="Z466" s="11">
        <f t="shared" ref="Z466:Z529" si="134">Y466/(DAC_LIMIT_MAX-DAC_LIMIT_MIN+1)*GAIN_PREAMP*GAIN_POWERAMP+OFFSET_AMP</f>
        <v>21.729553476362859</v>
      </c>
      <c r="AA466" s="6">
        <v>0</v>
      </c>
      <c r="AB466" s="6">
        <v>0</v>
      </c>
      <c r="AC466" s="6">
        <v>0</v>
      </c>
      <c r="AD466" s="7">
        <v>0</v>
      </c>
      <c r="AE466" s="9">
        <v>100</v>
      </c>
      <c r="AF466" s="10">
        <f t="shared" si="125"/>
        <v>0</v>
      </c>
      <c r="AG466" s="12">
        <f t="shared" ref="AG466:AG529" si="135">PH_FIRE_VOLTAGE_OFFSET + 1023*(AE466/100*AE$16*$I$7+$I$6)*$S$10/(PH_FIRE_VOLTAGE_AMPLITUDE*0.01)</f>
        <v>639.30209199318563</v>
      </c>
      <c r="AH466" s="11">
        <f t="shared" ref="AH466:AH529" si="136">AG466/(DAC_LIMIT_MAX-DAC_LIMIT_MIN+1)*GAIN_PREAMP*GAIN_POWERAMP+OFFSET_AMP</f>
        <v>21.729553476362859</v>
      </c>
      <c r="AJ466" s="6">
        <f t="shared" si="126"/>
        <v>1000</v>
      </c>
      <c r="AK466" s="4">
        <v>449</v>
      </c>
      <c r="AM466" s="2" t="str">
        <f t="shared" ref="AM466:AM529" si="137">BIN2HEX(C466+10*D466+100*E466+1000*F466,1)</f>
        <v>0</v>
      </c>
      <c r="AN466" s="2" t="str">
        <f t="shared" si="127"/>
        <v>3E8</v>
      </c>
      <c r="AO466" s="2"/>
      <c r="AP466" s="2" t="str">
        <f t="shared" si="128"/>
        <v>03E8</v>
      </c>
    </row>
    <row r="467" spans="1:42" x14ac:dyDescent="0.2">
      <c r="A467">
        <v>450</v>
      </c>
      <c r="B467">
        <v>44.9</v>
      </c>
      <c r="C467" s="6">
        <v>0</v>
      </c>
      <c r="D467" s="6">
        <v>0</v>
      </c>
      <c r="E467" s="6">
        <v>0</v>
      </c>
      <c r="F467" s="7">
        <v>0</v>
      </c>
      <c r="G467" s="9">
        <v>100</v>
      </c>
      <c r="H467" s="10">
        <f t="shared" ref="H467:H529" si="138">BIN2DEC(C467+10*D467+100*E467+1000*F467)</f>
        <v>0</v>
      </c>
      <c r="I467" s="12">
        <f t="shared" si="129"/>
        <v>639.30209199318563</v>
      </c>
      <c r="J467" s="11">
        <f t="shared" si="130"/>
        <v>21.729553476362859</v>
      </c>
      <c r="K467" s="6">
        <v>0</v>
      </c>
      <c r="L467" s="6">
        <v>0</v>
      </c>
      <c r="M467" s="6">
        <v>0</v>
      </c>
      <c r="N467" s="7">
        <v>0</v>
      </c>
      <c r="O467" s="9">
        <v>100</v>
      </c>
      <c r="P467" s="10">
        <f t="shared" ref="P467:P529" si="139">BIN2DEC(K467+10*L467+100*M467+1000*N467)</f>
        <v>0</v>
      </c>
      <c r="Q467" s="12">
        <f t="shared" si="131"/>
        <v>639.30209199318563</v>
      </c>
      <c r="R467" s="11">
        <f t="shared" si="132"/>
        <v>21.729553476362859</v>
      </c>
      <c r="S467" s="6">
        <v>0</v>
      </c>
      <c r="T467" s="6">
        <v>0</v>
      </c>
      <c r="U467" s="6">
        <v>0</v>
      </c>
      <c r="V467" s="7">
        <v>0</v>
      </c>
      <c r="W467" s="9">
        <v>100</v>
      </c>
      <c r="X467" s="10">
        <f t="shared" ref="X467:X529" si="140">BIN2DEC(S467+10*T467+100*U467+1000*V467)</f>
        <v>0</v>
      </c>
      <c r="Y467" s="12">
        <f t="shared" si="133"/>
        <v>639.30209199318563</v>
      </c>
      <c r="Z467" s="11">
        <f t="shared" si="134"/>
        <v>21.729553476362859</v>
      </c>
      <c r="AA467" s="6">
        <v>0</v>
      </c>
      <c r="AB467" s="6">
        <v>0</v>
      </c>
      <c r="AC467" s="6">
        <v>0</v>
      </c>
      <c r="AD467" s="7">
        <v>0</v>
      </c>
      <c r="AE467" s="9">
        <v>100</v>
      </c>
      <c r="AF467" s="10">
        <f t="shared" ref="AF467:AF529" si="141">BIN2DEC(AA467+10*AB467+100*AC467+1000*AD467)</f>
        <v>0</v>
      </c>
      <c r="AG467" s="12">
        <f t="shared" si="135"/>
        <v>639.30209199318563</v>
      </c>
      <c r="AH467" s="11">
        <f t="shared" si="136"/>
        <v>21.729553476362859</v>
      </c>
      <c r="AJ467" s="6">
        <f t="shared" ref="AJ467:AJ529" si="142">ROUNDDOWN(($G467*$G$16+$I$6*100)*10,0)</f>
        <v>1000</v>
      </c>
      <c r="AK467" s="4">
        <v>450</v>
      </c>
      <c r="AM467" s="2" t="str">
        <f t="shared" si="137"/>
        <v>0</v>
      </c>
      <c r="AN467" s="2" t="str">
        <f t="shared" ref="AN467:AN529" si="143">DEC2HEX(AJ467,3)</f>
        <v>3E8</v>
      </c>
      <c r="AO467" s="2"/>
      <c r="AP467" s="2" t="str">
        <f t="shared" ref="AP467:AP518" si="144">CONCATENATE(AM467,AN467)</f>
        <v>03E8</v>
      </c>
    </row>
    <row r="468" spans="1:42" x14ac:dyDescent="0.2">
      <c r="A468">
        <v>451</v>
      </c>
      <c r="B468">
        <v>45</v>
      </c>
      <c r="C468" s="6">
        <v>0</v>
      </c>
      <c r="D468" s="6">
        <v>0</v>
      </c>
      <c r="E468" s="6">
        <v>0</v>
      </c>
      <c r="F468" s="7">
        <v>0</v>
      </c>
      <c r="G468" s="9">
        <v>100</v>
      </c>
      <c r="H468" s="10">
        <f t="shared" si="138"/>
        <v>0</v>
      </c>
      <c r="I468" s="12">
        <f t="shared" si="129"/>
        <v>639.30209199318563</v>
      </c>
      <c r="J468" s="11">
        <f t="shared" si="130"/>
        <v>21.729553476362859</v>
      </c>
      <c r="K468" s="6">
        <v>0</v>
      </c>
      <c r="L468" s="6">
        <v>0</v>
      </c>
      <c r="M468" s="6">
        <v>0</v>
      </c>
      <c r="N468" s="7">
        <v>0</v>
      </c>
      <c r="O468" s="9">
        <v>100</v>
      </c>
      <c r="P468" s="10">
        <f t="shared" si="139"/>
        <v>0</v>
      </c>
      <c r="Q468" s="12">
        <f t="shared" si="131"/>
        <v>639.30209199318563</v>
      </c>
      <c r="R468" s="11">
        <f t="shared" si="132"/>
        <v>21.729553476362859</v>
      </c>
      <c r="S468" s="6">
        <v>0</v>
      </c>
      <c r="T468" s="6">
        <v>0</v>
      </c>
      <c r="U468" s="6">
        <v>0</v>
      </c>
      <c r="V468" s="7">
        <v>0</v>
      </c>
      <c r="W468" s="9">
        <v>100</v>
      </c>
      <c r="X468" s="10">
        <f t="shared" si="140"/>
        <v>0</v>
      </c>
      <c r="Y468" s="12">
        <f t="shared" si="133"/>
        <v>639.30209199318563</v>
      </c>
      <c r="Z468" s="11">
        <f t="shared" si="134"/>
        <v>21.729553476362859</v>
      </c>
      <c r="AA468" s="6">
        <v>0</v>
      </c>
      <c r="AB468" s="6">
        <v>0</v>
      </c>
      <c r="AC468" s="6">
        <v>0</v>
      </c>
      <c r="AD468" s="7">
        <v>0</v>
      </c>
      <c r="AE468" s="9">
        <v>100</v>
      </c>
      <c r="AF468" s="10">
        <f t="shared" si="141"/>
        <v>0</v>
      </c>
      <c r="AG468" s="12">
        <f t="shared" si="135"/>
        <v>639.30209199318563</v>
      </c>
      <c r="AH468" s="11">
        <f t="shared" si="136"/>
        <v>21.729553476362859</v>
      </c>
      <c r="AJ468" s="6">
        <f t="shared" si="142"/>
        <v>1000</v>
      </c>
      <c r="AK468" s="4">
        <v>451</v>
      </c>
      <c r="AM468" s="2" t="str">
        <f t="shared" si="137"/>
        <v>0</v>
      </c>
      <c r="AN468" s="2" t="str">
        <f t="shared" si="143"/>
        <v>3E8</v>
      </c>
      <c r="AO468" s="2"/>
      <c r="AP468" s="2" t="str">
        <f t="shared" si="144"/>
        <v>03E8</v>
      </c>
    </row>
    <row r="469" spans="1:42" x14ac:dyDescent="0.2">
      <c r="A469">
        <v>452</v>
      </c>
      <c r="B469">
        <v>45.1</v>
      </c>
      <c r="C469" s="6">
        <v>0</v>
      </c>
      <c r="D469" s="6">
        <v>0</v>
      </c>
      <c r="E469" s="6">
        <v>0</v>
      </c>
      <c r="F469" s="7">
        <v>0</v>
      </c>
      <c r="G469" s="9">
        <v>100</v>
      </c>
      <c r="H469" s="10">
        <f t="shared" si="138"/>
        <v>0</v>
      </c>
      <c r="I469" s="12">
        <f t="shared" si="129"/>
        <v>639.30209199318563</v>
      </c>
      <c r="J469" s="11">
        <f t="shared" si="130"/>
        <v>21.729553476362859</v>
      </c>
      <c r="K469" s="6">
        <v>0</v>
      </c>
      <c r="L469" s="6">
        <v>0</v>
      </c>
      <c r="M469" s="6">
        <v>0</v>
      </c>
      <c r="N469" s="7">
        <v>0</v>
      </c>
      <c r="O469" s="9">
        <v>100</v>
      </c>
      <c r="P469" s="10">
        <f t="shared" si="139"/>
        <v>0</v>
      </c>
      <c r="Q469" s="12">
        <f t="shared" si="131"/>
        <v>639.30209199318563</v>
      </c>
      <c r="R469" s="11">
        <f t="shared" si="132"/>
        <v>21.729553476362859</v>
      </c>
      <c r="S469" s="6">
        <v>0</v>
      </c>
      <c r="T469" s="6">
        <v>0</v>
      </c>
      <c r="U469" s="6">
        <v>0</v>
      </c>
      <c r="V469" s="7">
        <v>0</v>
      </c>
      <c r="W469" s="9">
        <v>100</v>
      </c>
      <c r="X469" s="10">
        <f t="shared" si="140"/>
        <v>0</v>
      </c>
      <c r="Y469" s="12">
        <f t="shared" si="133"/>
        <v>639.30209199318563</v>
      </c>
      <c r="Z469" s="11">
        <f t="shared" si="134"/>
        <v>21.729553476362859</v>
      </c>
      <c r="AA469" s="6">
        <v>0</v>
      </c>
      <c r="AB469" s="6">
        <v>0</v>
      </c>
      <c r="AC469" s="6">
        <v>0</v>
      </c>
      <c r="AD469" s="7">
        <v>0</v>
      </c>
      <c r="AE469" s="9">
        <v>100</v>
      </c>
      <c r="AF469" s="10">
        <f t="shared" si="141"/>
        <v>0</v>
      </c>
      <c r="AG469" s="12">
        <f t="shared" si="135"/>
        <v>639.30209199318563</v>
      </c>
      <c r="AH469" s="11">
        <f t="shared" si="136"/>
        <v>21.729553476362859</v>
      </c>
      <c r="AJ469" s="6">
        <f t="shared" si="142"/>
        <v>1000</v>
      </c>
      <c r="AK469" s="4">
        <v>452</v>
      </c>
      <c r="AM469" s="2" t="str">
        <f t="shared" si="137"/>
        <v>0</v>
      </c>
      <c r="AN469" s="2" t="str">
        <f t="shared" si="143"/>
        <v>3E8</v>
      </c>
      <c r="AO469" s="2"/>
      <c r="AP469" s="2" t="str">
        <f t="shared" si="144"/>
        <v>03E8</v>
      </c>
    </row>
    <row r="470" spans="1:42" x14ac:dyDescent="0.2">
      <c r="A470">
        <v>453</v>
      </c>
      <c r="B470">
        <v>45.2</v>
      </c>
      <c r="C470" s="6">
        <v>0</v>
      </c>
      <c r="D470" s="6">
        <v>0</v>
      </c>
      <c r="E470" s="6">
        <v>0</v>
      </c>
      <c r="F470" s="7">
        <v>0</v>
      </c>
      <c r="G470" s="9">
        <v>100</v>
      </c>
      <c r="H470" s="10">
        <f t="shared" si="138"/>
        <v>0</v>
      </c>
      <c r="I470" s="12">
        <f t="shared" si="129"/>
        <v>639.30209199318563</v>
      </c>
      <c r="J470" s="11">
        <f t="shared" si="130"/>
        <v>21.729553476362859</v>
      </c>
      <c r="K470" s="6">
        <v>0</v>
      </c>
      <c r="L470" s="6">
        <v>0</v>
      </c>
      <c r="M470" s="6">
        <v>0</v>
      </c>
      <c r="N470" s="7">
        <v>0</v>
      </c>
      <c r="O470" s="9">
        <v>100</v>
      </c>
      <c r="P470" s="10">
        <f t="shared" si="139"/>
        <v>0</v>
      </c>
      <c r="Q470" s="12">
        <f t="shared" si="131"/>
        <v>639.30209199318563</v>
      </c>
      <c r="R470" s="11">
        <f t="shared" si="132"/>
        <v>21.729553476362859</v>
      </c>
      <c r="S470" s="6">
        <v>0</v>
      </c>
      <c r="T470" s="6">
        <v>0</v>
      </c>
      <c r="U470" s="6">
        <v>0</v>
      </c>
      <c r="V470" s="7">
        <v>0</v>
      </c>
      <c r="W470" s="9">
        <v>100</v>
      </c>
      <c r="X470" s="10">
        <f t="shared" si="140"/>
        <v>0</v>
      </c>
      <c r="Y470" s="12">
        <f t="shared" si="133"/>
        <v>639.30209199318563</v>
      </c>
      <c r="Z470" s="11">
        <f t="shared" si="134"/>
        <v>21.729553476362859</v>
      </c>
      <c r="AA470" s="6">
        <v>0</v>
      </c>
      <c r="AB470" s="6">
        <v>0</v>
      </c>
      <c r="AC470" s="6">
        <v>0</v>
      </c>
      <c r="AD470" s="7">
        <v>0</v>
      </c>
      <c r="AE470" s="9">
        <v>100</v>
      </c>
      <c r="AF470" s="10">
        <f t="shared" si="141"/>
        <v>0</v>
      </c>
      <c r="AG470" s="12">
        <f t="shared" si="135"/>
        <v>639.30209199318563</v>
      </c>
      <c r="AH470" s="11">
        <f t="shared" si="136"/>
        <v>21.729553476362859</v>
      </c>
      <c r="AJ470" s="6">
        <f t="shared" si="142"/>
        <v>1000</v>
      </c>
      <c r="AK470" s="4">
        <v>453</v>
      </c>
      <c r="AM470" s="2" t="str">
        <f t="shared" si="137"/>
        <v>0</v>
      </c>
      <c r="AN470" s="2" t="str">
        <f t="shared" si="143"/>
        <v>3E8</v>
      </c>
      <c r="AO470" s="2"/>
      <c r="AP470" s="2" t="str">
        <f t="shared" si="144"/>
        <v>03E8</v>
      </c>
    </row>
    <row r="471" spans="1:42" x14ac:dyDescent="0.2">
      <c r="A471">
        <v>454</v>
      </c>
      <c r="B471">
        <v>45.3</v>
      </c>
      <c r="C471" s="6">
        <v>0</v>
      </c>
      <c r="D471" s="6">
        <v>0</v>
      </c>
      <c r="E471" s="6">
        <v>0</v>
      </c>
      <c r="F471" s="7">
        <v>0</v>
      </c>
      <c r="G471" s="9">
        <v>100</v>
      </c>
      <c r="H471" s="10">
        <f t="shared" si="138"/>
        <v>0</v>
      </c>
      <c r="I471" s="12">
        <f t="shared" si="129"/>
        <v>639.30209199318563</v>
      </c>
      <c r="J471" s="11">
        <f t="shared" si="130"/>
        <v>21.729553476362859</v>
      </c>
      <c r="K471" s="6">
        <v>0</v>
      </c>
      <c r="L471" s="6">
        <v>0</v>
      </c>
      <c r="M471" s="6">
        <v>0</v>
      </c>
      <c r="N471" s="7">
        <v>0</v>
      </c>
      <c r="O471" s="9">
        <v>100</v>
      </c>
      <c r="P471" s="10">
        <f t="shared" si="139"/>
        <v>0</v>
      </c>
      <c r="Q471" s="12">
        <f t="shared" si="131"/>
        <v>639.30209199318563</v>
      </c>
      <c r="R471" s="11">
        <f t="shared" si="132"/>
        <v>21.729553476362859</v>
      </c>
      <c r="S471" s="6">
        <v>0</v>
      </c>
      <c r="T471" s="6">
        <v>0</v>
      </c>
      <c r="U471" s="6">
        <v>0</v>
      </c>
      <c r="V471" s="7">
        <v>0</v>
      </c>
      <c r="W471" s="9">
        <v>100</v>
      </c>
      <c r="X471" s="10">
        <f t="shared" si="140"/>
        <v>0</v>
      </c>
      <c r="Y471" s="12">
        <f t="shared" si="133"/>
        <v>639.30209199318563</v>
      </c>
      <c r="Z471" s="11">
        <f t="shared" si="134"/>
        <v>21.729553476362859</v>
      </c>
      <c r="AA471" s="6">
        <v>0</v>
      </c>
      <c r="AB471" s="6">
        <v>0</v>
      </c>
      <c r="AC471" s="6">
        <v>0</v>
      </c>
      <c r="AD471" s="7">
        <v>0</v>
      </c>
      <c r="AE471" s="9">
        <v>100</v>
      </c>
      <c r="AF471" s="10">
        <f t="shared" si="141"/>
        <v>0</v>
      </c>
      <c r="AG471" s="12">
        <f t="shared" si="135"/>
        <v>639.30209199318563</v>
      </c>
      <c r="AH471" s="11">
        <f t="shared" si="136"/>
        <v>21.729553476362859</v>
      </c>
      <c r="AJ471" s="6">
        <f t="shared" si="142"/>
        <v>1000</v>
      </c>
      <c r="AK471" s="4">
        <v>454</v>
      </c>
      <c r="AM471" s="2" t="str">
        <f t="shared" si="137"/>
        <v>0</v>
      </c>
      <c r="AN471" s="2" t="str">
        <f t="shared" si="143"/>
        <v>3E8</v>
      </c>
      <c r="AO471" s="2"/>
      <c r="AP471" s="2" t="str">
        <f t="shared" si="144"/>
        <v>03E8</v>
      </c>
    </row>
    <row r="472" spans="1:42" x14ac:dyDescent="0.2">
      <c r="A472">
        <v>455</v>
      </c>
      <c r="B472">
        <v>45.4</v>
      </c>
      <c r="C472" s="6">
        <v>0</v>
      </c>
      <c r="D472" s="6">
        <v>0</v>
      </c>
      <c r="E472" s="6">
        <v>0</v>
      </c>
      <c r="F472" s="7">
        <v>0</v>
      </c>
      <c r="G472" s="9">
        <v>100</v>
      </c>
      <c r="H472" s="10">
        <f t="shared" si="138"/>
        <v>0</v>
      </c>
      <c r="I472" s="12">
        <f t="shared" si="129"/>
        <v>639.30209199318563</v>
      </c>
      <c r="J472" s="11">
        <f t="shared" si="130"/>
        <v>21.729553476362859</v>
      </c>
      <c r="K472" s="6">
        <v>0</v>
      </c>
      <c r="L472" s="6">
        <v>0</v>
      </c>
      <c r="M472" s="6">
        <v>0</v>
      </c>
      <c r="N472" s="7">
        <v>0</v>
      </c>
      <c r="O472" s="9">
        <v>100</v>
      </c>
      <c r="P472" s="10">
        <f t="shared" si="139"/>
        <v>0</v>
      </c>
      <c r="Q472" s="12">
        <f t="shared" si="131"/>
        <v>639.30209199318563</v>
      </c>
      <c r="R472" s="11">
        <f t="shared" si="132"/>
        <v>21.729553476362859</v>
      </c>
      <c r="S472" s="6">
        <v>0</v>
      </c>
      <c r="T472" s="6">
        <v>0</v>
      </c>
      <c r="U472" s="6">
        <v>0</v>
      </c>
      <c r="V472" s="7">
        <v>0</v>
      </c>
      <c r="W472" s="9">
        <v>100</v>
      </c>
      <c r="X472" s="10">
        <f t="shared" si="140"/>
        <v>0</v>
      </c>
      <c r="Y472" s="12">
        <f t="shared" si="133"/>
        <v>639.30209199318563</v>
      </c>
      <c r="Z472" s="11">
        <f t="shared" si="134"/>
        <v>21.729553476362859</v>
      </c>
      <c r="AA472" s="6">
        <v>0</v>
      </c>
      <c r="AB472" s="6">
        <v>0</v>
      </c>
      <c r="AC472" s="6">
        <v>0</v>
      </c>
      <c r="AD472" s="7">
        <v>0</v>
      </c>
      <c r="AE472" s="9">
        <v>100</v>
      </c>
      <c r="AF472" s="10">
        <f t="shared" si="141"/>
        <v>0</v>
      </c>
      <c r="AG472" s="12">
        <f t="shared" si="135"/>
        <v>639.30209199318563</v>
      </c>
      <c r="AH472" s="11">
        <f t="shared" si="136"/>
        <v>21.729553476362859</v>
      </c>
      <c r="AJ472" s="6">
        <f t="shared" si="142"/>
        <v>1000</v>
      </c>
      <c r="AK472" s="4">
        <v>455</v>
      </c>
      <c r="AM472" s="2" t="str">
        <f t="shared" si="137"/>
        <v>0</v>
      </c>
      <c r="AN472" s="2" t="str">
        <f t="shared" si="143"/>
        <v>3E8</v>
      </c>
      <c r="AO472" s="2"/>
      <c r="AP472" s="2" t="str">
        <f t="shared" si="144"/>
        <v>03E8</v>
      </c>
    </row>
    <row r="473" spans="1:42" x14ac:dyDescent="0.2">
      <c r="A473">
        <v>456</v>
      </c>
      <c r="B473">
        <v>45.5</v>
      </c>
      <c r="C473" s="6">
        <v>0</v>
      </c>
      <c r="D473" s="6">
        <v>0</v>
      </c>
      <c r="E473" s="6">
        <v>0</v>
      </c>
      <c r="F473" s="7">
        <v>0</v>
      </c>
      <c r="G473" s="9">
        <v>100</v>
      </c>
      <c r="H473" s="10">
        <f t="shared" si="138"/>
        <v>0</v>
      </c>
      <c r="I473" s="12">
        <f t="shared" si="129"/>
        <v>639.30209199318563</v>
      </c>
      <c r="J473" s="11">
        <f t="shared" si="130"/>
        <v>21.729553476362859</v>
      </c>
      <c r="K473" s="6">
        <v>0</v>
      </c>
      <c r="L473" s="6">
        <v>0</v>
      </c>
      <c r="M473" s="6">
        <v>0</v>
      </c>
      <c r="N473" s="7">
        <v>0</v>
      </c>
      <c r="O473" s="9">
        <v>100</v>
      </c>
      <c r="P473" s="10">
        <f t="shared" si="139"/>
        <v>0</v>
      </c>
      <c r="Q473" s="12">
        <f t="shared" si="131"/>
        <v>639.30209199318563</v>
      </c>
      <c r="R473" s="11">
        <f t="shared" si="132"/>
        <v>21.729553476362859</v>
      </c>
      <c r="S473" s="6">
        <v>0</v>
      </c>
      <c r="T473" s="6">
        <v>0</v>
      </c>
      <c r="U473" s="6">
        <v>0</v>
      </c>
      <c r="V473" s="7">
        <v>0</v>
      </c>
      <c r="W473" s="9">
        <v>100</v>
      </c>
      <c r="X473" s="10">
        <f t="shared" si="140"/>
        <v>0</v>
      </c>
      <c r="Y473" s="12">
        <f t="shared" si="133"/>
        <v>639.30209199318563</v>
      </c>
      <c r="Z473" s="11">
        <f t="shared" si="134"/>
        <v>21.729553476362859</v>
      </c>
      <c r="AA473" s="6">
        <v>0</v>
      </c>
      <c r="AB473" s="6">
        <v>0</v>
      </c>
      <c r="AC473" s="6">
        <v>0</v>
      </c>
      <c r="AD473" s="7">
        <v>0</v>
      </c>
      <c r="AE473" s="9">
        <v>100</v>
      </c>
      <c r="AF473" s="10">
        <f t="shared" si="141"/>
        <v>0</v>
      </c>
      <c r="AG473" s="12">
        <f t="shared" si="135"/>
        <v>639.30209199318563</v>
      </c>
      <c r="AH473" s="11">
        <f t="shared" si="136"/>
        <v>21.729553476362859</v>
      </c>
      <c r="AJ473" s="6">
        <f t="shared" si="142"/>
        <v>1000</v>
      </c>
      <c r="AK473" s="4">
        <v>456</v>
      </c>
      <c r="AM473" s="2" t="str">
        <f t="shared" si="137"/>
        <v>0</v>
      </c>
      <c r="AN473" s="2" t="str">
        <f t="shared" si="143"/>
        <v>3E8</v>
      </c>
      <c r="AO473" s="2"/>
      <c r="AP473" s="2" t="str">
        <f t="shared" si="144"/>
        <v>03E8</v>
      </c>
    </row>
    <row r="474" spans="1:42" x14ac:dyDescent="0.2">
      <c r="A474">
        <v>457</v>
      </c>
      <c r="B474">
        <v>45.6</v>
      </c>
      <c r="C474" s="6">
        <v>0</v>
      </c>
      <c r="D474" s="6">
        <v>0</v>
      </c>
      <c r="E474" s="6">
        <v>0</v>
      </c>
      <c r="F474" s="7">
        <v>0</v>
      </c>
      <c r="G474" s="9">
        <v>100</v>
      </c>
      <c r="H474" s="10">
        <f t="shared" si="138"/>
        <v>0</v>
      </c>
      <c r="I474" s="12">
        <f t="shared" si="129"/>
        <v>639.30209199318563</v>
      </c>
      <c r="J474" s="11">
        <f t="shared" si="130"/>
        <v>21.729553476362859</v>
      </c>
      <c r="K474" s="6">
        <v>0</v>
      </c>
      <c r="L474" s="6">
        <v>0</v>
      </c>
      <c r="M474" s="6">
        <v>0</v>
      </c>
      <c r="N474" s="7">
        <v>0</v>
      </c>
      <c r="O474" s="9">
        <v>100</v>
      </c>
      <c r="P474" s="10">
        <f t="shared" si="139"/>
        <v>0</v>
      </c>
      <c r="Q474" s="12">
        <f t="shared" si="131"/>
        <v>639.30209199318563</v>
      </c>
      <c r="R474" s="11">
        <f t="shared" si="132"/>
        <v>21.729553476362859</v>
      </c>
      <c r="S474" s="6">
        <v>0</v>
      </c>
      <c r="T474" s="6">
        <v>0</v>
      </c>
      <c r="U474" s="6">
        <v>0</v>
      </c>
      <c r="V474" s="7">
        <v>0</v>
      </c>
      <c r="W474" s="9">
        <v>100</v>
      </c>
      <c r="X474" s="10">
        <f t="shared" si="140"/>
        <v>0</v>
      </c>
      <c r="Y474" s="12">
        <f t="shared" si="133"/>
        <v>639.30209199318563</v>
      </c>
      <c r="Z474" s="11">
        <f t="shared" si="134"/>
        <v>21.729553476362859</v>
      </c>
      <c r="AA474" s="6">
        <v>0</v>
      </c>
      <c r="AB474" s="6">
        <v>0</v>
      </c>
      <c r="AC474" s="6">
        <v>0</v>
      </c>
      <c r="AD474" s="7">
        <v>0</v>
      </c>
      <c r="AE474" s="9">
        <v>100</v>
      </c>
      <c r="AF474" s="10">
        <f t="shared" si="141"/>
        <v>0</v>
      </c>
      <c r="AG474" s="12">
        <f t="shared" si="135"/>
        <v>639.30209199318563</v>
      </c>
      <c r="AH474" s="11">
        <f t="shared" si="136"/>
        <v>21.729553476362859</v>
      </c>
      <c r="AJ474" s="6">
        <f t="shared" si="142"/>
        <v>1000</v>
      </c>
      <c r="AK474" s="4">
        <v>457</v>
      </c>
      <c r="AM474" s="2" t="str">
        <f t="shared" si="137"/>
        <v>0</v>
      </c>
      <c r="AN474" s="2" t="str">
        <f t="shared" si="143"/>
        <v>3E8</v>
      </c>
      <c r="AO474" s="2"/>
      <c r="AP474" s="2" t="str">
        <f t="shared" si="144"/>
        <v>03E8</v>
      </c>
    </row>
    <row r="475" spans="1:42" x14ac:dyDescent="0.2">
      <c r="A475">
        <v>458</v>
      </c>
      <c r="B475">
        <v>45.7</v>
      </c>
      <c r="C475" s="6">
        <v>0</v>
      </c>
      <c r="D475" s="6">
        <v>0</v>
      </c>
      <c r="E475" s="6">
        <v>0</v>
      </c>
      <c r="F475" s="7">
        <v>0</v>
      </c>
      <c r="G475" s="9">
        <v>100</v>
      </c>
      <c r="H475" s="10">
        <f t="shared" si="138"/>
        <v>0</v>
      </c>
      <c r="I475" s="12">
        <f t="shared" si="129"/>
        <v>639.30209199318563</v>
      </c>
      <c r="J475" s="11">
        <f t="shared" si="130"/>
        <v>21.729553476362859</v>
      </c>
      <c r="K475" s="6">
        <v>0</v>
      </c>
      <c r="L475" s="6">
        <v>0</v>
      </c>
      <c r="M475" s="6">
        <v>0</v>
      </c>
      <c r="N475" s="7">
        <v>0</v>
      </c>
      <c r="O475" s="9">
        <v>100</v>
      </c>
      <c r="P475" s="10">
        <f t="shared" si="139"/>
        <v>0</v>
      </c>
      <c r="Q475" s="12">
        <f t="shared" si="131"/>
        <v>639.30209199318563</v>
      </c>
      <c r="R475" s="11">
        <f t="shared" si="132"/>
        <v>21.729553476362859</v>
      </c>
      <c r="S475" s="6">
        <v>0</v>
      </c>
      <c r="T475" s="6">
        <v>0</v>
      </c>
      <c r="U475" s="6">
        <v>0</v>
      </c>
      <c r="V475" s="7">
        <v>0</v>
      </c>
      <c r="W475" s="9">
        <v>100</v>
      </c>
      <c r="X475" s="10">
        <f t="shared" si="140"/>
        <v>0</v>
      </c>
      <c r="Y475" s="12">
        <f t="shared" si="133"/>
        <v>639.30209199318563</v>
      </c>
      <c r="Z475" s="11">
        <f t="shared" si="134"/>
        <v>21.729553476362859</v>
      </c>
      <c r="AA475" s="6">
        <v>0</v>
      </c>
      <c r="AB475" s="6">
        <v>0</v>
      </c>
      <c r="AC475" s="6">
        <v>0</v>
      </c>
      <c r="AD475" s="7">
        <v>0</v>
      </c>
      <c r="AE475" s="9">
        <v>100</v>
      </c>
      <c r="AF475" s="10">
        <f t="shared" si="141"/>
        <v>0</v>
      </c>
      <c r="AG475" s="12">
        <f t="shared" si="135"/>
        <v>639.30209199318563</v>
      </c>
      <c r="AH475" s="11">
        <f t="shared" si="136"/>
        <v>21.729553476362859</v>
      </c>
      <c r="AJ475" s="6">
        <f t="shared" si="142"/>
        <v>1000</v>
      </c>
      <c r="AK475" s="4">
        <v>458</v>
      </c>
      <c r="AM475" s="2" t="str">
        <f t="shared" si="137"/>
        <v>0</v>
      </c>
      <c r="AN475" s="2" t="str">
        <f t="shared" si="143"/>
        <v>3E8</v>
      </c>
      <c r="AO475" s="2"/>
      <c r="AP475" s="2" t="str">
        <f t="shared" si="144"/>
        <v>03E8</v>
      </c>
    </row>
    <row r="476" spans="1:42" x14ac:dyDescent="0.2">
      <c r="A476">
        <v>459</v>
      </c>
      <c r="B476">
        <v>45.8</v>
      </c>
      <c r="C476" s="6">
        <v>0</v>
      </c>
      <c r="D476" s="6">
        <v>0</v>
      </c>
      <c r="E476" s="6">
        <v>0</v>
      </c>
      <c r="F476" s="7">
        <v>0</v>
      </c>
      <c r="G476" s="9">
        <v>100</v>
      </c>
      <c r="H476" s="10">
        <f t="shared" si="138"/>
        <v>0</v>
      </c>
      <c r="I476" s="12">
        <f t="shared" si="129"/>
        <v>639.30209199318563</v>
      </c>
      <c r="J476" s="11">
        <f t="shared" si="130"/>
        <v>21.729553476362859</v>
      </c>
      <c r="K476" s="6">
        <v>0</v>
      </c>
      <c r="L476" s="6">
        <v>0</v>
      </c>
      <c r="M476" s="6">
        <v>0</v>
      </c>
      <c r="N476" s="7">
        <v>0</v>
      </c>
      <c r="O476" s="9">
        <v>100</v>
      </c>
      <c r="P476" s="10">
        <f t="shared" si="139"/>
        <v>0</v>
      </c>
      <c r="Q476" s="12">
        <f t="shared" si="131"/>
        <v>639.30209199318563</v>
      </c>
      <c r="R476" s="11">
        <f t="shared" si="132"/>
        <v>21.729553476362859</v>
      </c>
      <c r="S476" s="6">
        <v>0</v>
      </c>
      <c r="T476" s="6">
        <v>0</v>
      </c>
      <c r="U476" s="6">
        <v>0</v>
      </c>
      <c r="V476" s="7">
        <v>0</v>
      </c>
      <c r="W476" s="9">
        <v>100</v>
      </c>
      <c r="X476" s="10">
        <f t="shared" si="140"/>
        <v>0</v>
      </c>
      <c r="Y476" s="12">
        <f t="shared" si="133"/>
        <v>639.30209199318563</v>
      </c>
      <c r="Z476" s="11">
        <f t="shared" si="134"/>
        <v>21.729553476362859</v>
      </c>
      <c r="AA476" s="6">
        <v>0</v>
      </c>
      <c r="AB476" s="6">
        <v>0</v>
      </c>
      <c r="AC476" s="6">
        <v>0</v>
      </c>
      <c r="AD476" s="7">
        <v>0</v>
      </c>
      <c r="AE476" s="9">
        <v>100</v>
      </c>
      <c r="AF476" s="10">
        <f t="shared" si="141"/>
        <v>0</v>
      </c>
      <c r="AG476" s="12">
        <f t="shared" si="135"/>
        <v>639.30209199318563</v>
      </c>
      <c r="AH476" s="11">
        <f t="shared" si="136"/>
        <v>21.729553476362859</v>
      </c>
      <c r="AJ476" s="6">
        <f t="shared" si="142"/>
        <v>1000</v>
      </c>
      <c r="AK476" s="4">
        <v>459</v>
      </c>
      <c r="AM476" s="2" t="str">
        <f t="shared" si="137"/>
        <v>0</v>
      </c>
      <c r="AN476" s="2" t="str">
        <f t="shared" si="143"/>
        <v>3E8</v>
      </c>
      <c r="AO476" s="2"/>
      <c r="AP476" s="2" t="str">
        <f t="shared" si="144"/>
        <v>03E8</v>
      </c>
    </row>
    <row r="477" spans="1:42" x14ac:dyDescent="0.2">
      <c r="A477">
        <v>460</v>
      </c>
      <c r="B477">
        <v>45.9</v>
      </c>
      <c r="C477" s="6">
        <v>0</v>
      </c>
      <c r="D477" s="6">
        <v>0</v>
      </c>
      <c r="E477" s="6">
        <v>0</v>
      </c>
      <c r="F477" s="7">
        <v>0</v>
      </c>
      <c r="G477" s="9">
        <v>100</v>
      </c>
      <c r="H477" s="10">
        <f t="shared" si="138"/>
        <v>0</v>
      </c>
      <c r="I477" s="12">
        <f t="shared" si="129"/>
        <v>639.30209199318563</v>
      </c>
      <c r="J477" s="11">
        <f t="shared" si="130"/>
        <v>21.729553476362859</v>
      </c>
      <c r="K477" s="6">
        <v>0</v>
      </c>
      <c r="L477" s="6">
        <v>0</v>
      </c>
      <c r="M477" s="6">
        <v>0</v>
      </c>
      <c r="N477" s="7">
        <v>0</v>
      </c>
      <c r="O477" s="9">
        <v>100</v>
      </c>
      <c r="P477" s="10">
        <f t="shared" si="139"/>
        <v>0</v>
      </c>
      <c r="Q477" s="12">
        <f t="shared" si="131"/>
        <v>639.30209199318563</v>
      </c>
      <c r="R477" s="11">
        <f t="shared" si="132"/>
        <v>21.729553476362859</v>
      </c>
      <c r="S477" s="6">
        <v>0</v>
      </c>
      <c r="T477" s="6">
        <v>0</v>
      </c>
      <c r="U477" s="6">
        <v>0</v>
      </c>
      <c r="V477" s="7">
        <v>0</v>
      </c>
      <c r="W477" s="9">
        <v>100</v>
      </c>
      <c r="X477" s="10">
        <f t="shared" si="140"/>
        <v>0</v>
      </c>
      <c r="Y477" s="12">
        <f t="shared" si="133"/>
        <v>639.30209199318563</v>
      </c>
      <c r="Z477" s="11">
        <f t="shared" si="134"/>
        <v>21.729553476362859</v>
      </c>
      <c r="AA477" s="6">
        <v>0</v>
      </c>
      <c r="AB477" s="6">
        <v>0</v>
      </c>
      <c r="AC477" s="6">
        <v>0</v>
      </c>
      <c r="AD477" s="7">
        <v>0</v>
      </c>
      <c r="AE477" s="9">
        <v>100</v>
      </c>
      <c r="AF477" s="10">
        <f t="shared" si="141"/>
        <v>0</v>
      </c>
      <c r="AG477" s="12">
        <f t="shared" si="135"/>
        <v>639.30209199318563</v>
      </c>
      <c r="AH477" s="11">
        <f t="shared" si="136"/>
        <v>21.729553476362859</v>
      </c>
      <c r="AJ477" s="6">
        <f t="shared" si="142"/>
        <v>1000</v>
      </c>
      <c r="AK477" s="4">
        <v>460</v>
      </c>
      <c r="AM477" s="2" t="str">
        <f t="shared" si="137"/>
        <v>0</v>
      </c>
      <c r="AN477" s="2" t="str">
        <f t="shared" si="143"/>
        <v>3E8</v>
      </c>
      <c r="AO477" s="2"/>
      <c r="AP477" s="2" t="str">
        <f t="shared" si="144"/>
        <v>03E8</v>
      </c>
    </row>
    <row r="478" spans="1:42" x14ac:dyDescent="0.2">
      <c r="A478">
        <v>461</v>
      </c>
      <c r="B478">
        <v>46</v>
      </c>
      <c r="C478" s="6">
        <v>0</v>
      </c>
      <c r="D478" s="6">
        <v>0</v>
      </c>
      <c r="E478" s="6">
        <v>0</v>
      </c>
      <c r="F478" s="7">
        <v>0</v>
      </c>
      <c r="G478" s="9">
        <v>100</v>
      </c>
      <c r="H478" s="10">
        <f t="shared" si="138"/>
        <v>0</v>
      </c>
      <c r="I478" s="12">
        <f t="shared" si="129"/>
        <v>639.30209199318563</v>
      </c>
      <c r="J478" s="11">
        <f t="shared" si="130"/>
        <v>21.729553476362859</v>
      </c>
      <c r="K478" s="6">
        <v>0</v>
      </c>
      <c r="L478" s="6">
        <v>0</v>
      </c>
      <c r="M478" s="6">
        <v>0</v>
      </c>
      <c r="N478" s="7">
        <v>0</v>
      </c>
      <c r="O478" s="9">
        <v>100</v>
      </c>
      <c r="P478" s="10">
        <f t="shared" si="139"/>
        <v>0</v>
      </c>
      <c r="Q478" s="12">
        <f t="shared" si="131"/>
        <v>639.30209199318563</v>
      </c>
      <c r="R478" s="11">
        <f t="shared" si="132"/>
        <v>21.729553476362859</v>
      </c>
      <c r="S478" s="6">
        <v>0</v>
      </c>
      <c r="T478" s="6">
        <v>0</v>
      </c>
      <c r="U478" s="6">
        <v>0</v>
      </c>
      <c r="V478" s="7">
        <v>0</v>
      </c>
      <c r="W478" s="9">
        <v>100</v>
      </c>
      <c r="X478" s="10">
        <f t="shared" si="140"/>
        <v>0</v>
      </c>
      <c r="Y478" s="12">
        <f t="shared" si="133"/>
        <v>639.30209199318563</v>
      </c>
      <c r="Z478" s="11">
        <f t="shared" si="134"/>
        <v>21.729553476362859</v>
      </c>
      <c r="AA478" s="6">
        <v>0</v>
      </c>
      <c r="AB478" s="6">
        <v>0</v>
      </c>
      <c r="AC478" s="6">
        <v>0</v>
      </c>
      <c r="AD478" s="7">
        <v>0</v>
      </c>
      <c r="AE478" s="9">
        <v>100</v>
      </c>
      <c r="AF478" s="10">
        <f t="shared" si="141"/>
        <v>0</v>
      </c>
      <c r="AG478" s="12">
        <f t="shared" si="135"/>
        <v>639.30209199318563</v>
      </c>
      <c r="AH478" s="11">
        <f t="shared" si="136"/>
        <v>21.729553476362859</v>
      </c>
      <c r="AJ478" s="6">
        <f t="shared" si="142"/>
        <v>1000</v>
      </c>
      <c r="AK478" s="4">
        <v>461</v>
      </c>
      <c r="AM478" s="2" t="str">
        <f t="shared" si="137"/>
        <v>0</v>
      </c>
      <c r="AN478" s="2" t="str">
        <f t="shared" si="143"/>
        <v>3E8</v>
      </c>
      <c r="AO478" s="2"/>
      <c r="AP478" s="2" t="str">
        <f t="shared" si="144"/>
        <v>03E8</v>
      </c>
    </row>
    <row r="479" spans="1:42" x14ac:dyDescent="0.2">
      <c r="A479">
        <v>462</v>
      </c>
      <c r="B479">
        <v>46.1</v>
      </c>
      <c r="C479" s="6">
        <v>0</v>
      </c>
      <c r="D479" s="6">
        <v>0</v>
      </c>
      <c r="E479" s="6">
        <v>0</v>
      </c>
      <c r="F479" s="7">
        <v>0</v>
      </c>
      <c r="G479" s="9">
        <v>100</v>
      </c>
      <c r="H479" s="10">
        <f t="shared" si="138"/>
        <v>0</v>
      </c>
      <c r="I479" s="12">
        <f t="shared" si="129"/>
        <v>639.30209199318563</v>
      </c>
      <c r="J479" s="11">
        <f t="shared" si="130"/>
        <v>21.729553476362859</v>
      </c>
      <c r="K479" s="6">
        <v>0</v>
      </c>
      <c r="L479" s="6">
        <v>0</v>
      </c>
      <c r="M479" s="6">
        <v>0</v>
      </c>
      <c r="N479" s="7">
        <v>0</v>
      </c>
      <c r="O479" s="9">
        <v>100</v>
      </c>
      <c r="P479" s="10">
        <f t="shared" si="139"/>
        <v>0</v>
      </c>
      <c r="Q479" s="12">
        <f t="shared" si="131"/>
        <v>639.30209199318563</v>
      </c>
      <c r="R479" s="11">
        <f t="shared" si="132"/>
        <v>21.729553476362859</v>
      </c>
      <c r="S479" s="6">
        <v>0</v>
      </c>
      <c r="T479" s="6">
        <v>0</v>
      </c>
      <c r="U479" s="6">
        <v>0</v>
      </c>
      <c r="V479" s="7">
        <v>0</v>
      </c>
      <c r="W479" s="9">
        <v>100</v>
      </c>
      <c r="X479" s="10">
        <f t="shared" si="140"/>
        <v>0</v>
      </c>
      <c r="Y479" s="12">
        <f t="shared" si="133"/>
        <v>639.30209199318563</v>
      </c>
      <c r="Z479" s="11">
        <f t="shared" si="134"/>
        <v>21.729553476362859</v>
      </c>
      <c r="AA479" s="6">
        <v>0</v>
      </c>
      <c r="AB479" s="6">
        <v>0</v>
      </c>
      <c r="AC479" s="6">
        <v>0</v>
      </c>
      <c r="AD479" s="7">
        <v>0</v>
      </c>
      <c r="AE479" s="9">
        <v>100</v>
      </c>
      <c r="AF479" s="10">
        <f t="shared" si="141"/>
        <v>0</v>
      </c>
      <c r="AG479" s="12">
        <f t="shared" si="135"/>
        <v>639.30209199318563</v>
      </c>
      <c r="AH479" s="11">
        <f t="shared" si="136"/>
        <v>21.729553476362859</v>
      </c>
      <c r="AJ479" s="6">
        <f t="shared" si="142"/>
        <v>1000</v>
      </c>
      <c r="AK479" s="4">
        <v>462</v>
      </c>
      <c r="AM479" s="2" t="str">
        <f t="shared" si="137"/>
        <v>0</v>
      </c>
      <c r="AN479" s="2" t="str">
        <f t="shared" si="143"/>
        <v>3E8</v>
      </c>
      <c r="AO479" s="2"/>
      <c r="AP479" s="2" t="str">
        <f t="shared" si="144"/>
        <v>03E8</v>
      </c>
    </row>
    <row r="480" spans="1:42" x14ac:dyDescent="0.2">
      <c r="A480">
        <v>463</v>
      </c>
      <c r="B480">
        <v>46.2</v>
      </c>
      <c r="C480" s="6">
        <v>0</v>
      </c>
      <c r="D480" s="6">
        <v>0</v>
      </c>
      <c r="E480" s="6">
        <v>0</v>
      </c>
      <c r="F480" s="7">
        <v>0</v>
      </c>
      <c r="G480" s="9">
        <v>100</v>
      </c>
      <c r="H480" s="10">
        <f t="shared" si="138"/>
        <v>0</v>
      </c>
      <c r="I480" s="12">
        <f t="shared" si="129"/>
        <v>639.30209199318563</v>
      </c>
      <c r="J480" s="11">
        <f t="shared" si="130"/>
        <v>21.729553476362859</v>
      </c>
      <c r="K480" s="6">
        <v>0</v>
      </c>
      <c r="L480" s="6">
        <v>0</v>
      </c>
      <c r="M480" s="6">
        <v>0</v>
      </c>
      <c r="N480" s="7">
        <v>0</v>
      </c>
      <c r="O480" s="9">
        <v>100</v>
      </c>
      <c r="P480" s="10">
        <f t="shared" si="139"/>
        <v>0</v>
      </c>
      <c r="Q480" s="12">
        <f t="shared" si="131"/>
        <v>639.30209199318563</v>
      </c>
      <c r="R480" s="11">
        <f t="shared" si="132"/>
        <v>21.729553476362859</v>
      </c>
      <c r="S480" s="6">
        <v>0</v>
      </c>
      <c r="T480" s="6">
        <v>0</v>
      </c>
      <c r="U480" s="6">
        <v>0</v>
      </c>
      <c r="V480" s="7">
        <v>0</v>
      </c>
      <c r="W480" s="9">
        <v>100</v>
      </c>
      <c r="X480" s="10">
        <f t="shared" si="140"/>
        <v>0</v>
      </c>
      <c r="Y480" s="12">
        <f t="shared" si="133"/>
        <v>639.30209199318563</v>
      </c>
      <c r="Z480" s="11">
        <f t="shared" si="134"/>
        <v>21.729553476362859</v>
      </c>
      <c r="AA480" s="6">
        <v>0</v>
      </c>
      <c r="AB480" s="6">
        <v>0</v>
      </c>
      <c r="AC480" s="6">
        <v>0</v>
      </c>
      <c r="AD480" s="7">
        <v>0</v>
      </c>
      <c r="AE480" s="9">
        <v>100</v>
      </c>
      <c r="AF480" s="10">
        <f t="shared" si="141"/>
        <v>0</v>
      </c>
      <c r="AG480" s="12">
        <f t="shared" si="135"/>
        <v>639.30209199318563</v>
      </c>
      <c r="AH480" s="11">
        <f t="shared" si="136"/>
        <v>21.729553476362859</v>
      </c>
      <c r="AJ480" s="6">
        <f t="shared" si="142"/>
        <v>1000</v>
      </c>
      <c r="AK480" s="4">
        <v>463</v>
      </c>
      <c r="AM480" s="2" t="str">
        <f t="shared" si="137"/>
        <v>0</v>
      </c>
      <c r="AN480" s="2" t="str">
        <f t="shared" si="143"/>
        <v>3E8</v>
      </c>
      <c r="AO480" s="2"/>
      <c r="AP480" s="2" t="str">
        <f t="shared" si="144"/>
        <v>03E8</v>
      </c>
    </row>
    <row r="481" spans="1:42" x14ac:dyDescent="0.2">
      <c r="A481">
        <v>464</v>
      </c>
      <c r="B481">
        <v>46.3</v>
      </c>
      <c r="C481" s="6">
        <v>0</v>
      </c>
      <c r="D481" s="6">
        <v>0</v>
      </c>
      <c r="E481" s="6">
        <v>0</v>
      </c>
      <c r="F481" s="7">
        <v>0</v>
      </c>
      <c r="G481" s="9">
        <v>100</v>
      </c>
      <c r="H481" s="10">
        <f t="shared" si="138"/>
        <v>0</v>
      </c>
      <c r="I481" s="12">
        <f t="shared" si="129"/>
        <v>639.30209199318563</v>
      </c>
      <c r="J481" s="11">
        <f t="shared" si="130"/>
        <v>21.729553476362859</v>
      </c>
      <c r="K481" s="6">
        <v>0</v>
      </c>
      <c r="L481" s="6">
        <v>0</v>
      </c>
      <c r="M481" s="6">
        <v>0</v>
      </c>
      <c r="N481" s="7">
        <v>0</v>
      </c>
      <c r="O481" s="9">
        <v>100</v>
      </c>
      <c r="P481" s="10">
        <f t="shared" si="139"/>
        <v>0</v>
      </c>
      <c r="Q481" s="12">
        <f t="shared" si="131"/>
        <v>639.30209199318563</v>
      </c>
      <c r="R481" s="11">
        <f t="shared" si="132"/>
        <v>21.729553476362859</v>
      </c>
      <c r="S481" s="6">
        <v>0</v>
      </c>
      <c r="T481" s="6">
        <v>0</v>
      </c>
      <c r="U481" s="6">
        <v>0</v>
      </c>
      <c r="V481" s="7">
        <v>0</v>
      </c>
      <c r="W481" s="9">
        <v>100</v>
      </c>
      <c r="X481" s="10">
        <f t="shared" si="140"/>
        <v>0</v>
      </c>
      <c r="Y481" s="12">
        <f t="shared" si="133"/>
        <v>639.30209199318563</v>
      </c>
      <c r="Z481" s="11">
        <f t="shared" si="134"/>
        <v>21.729553476362859</v>
      </c>
      <c r="AA481" s="6">
        <v>0</v>
      </c>
      <c r="AB481" s="6">
        <v>0</v>
      </c>
      <c r="AC481" s="6">
        <v>0</v>
      </c>
      <c r="AD481" s="7">
        <v>0</v>
      </c>
      <c r="AE481" s="9">
        <v>100</v>
      </c>
      <c r="AF481" s="10">
        <f t="shared" si="141"/>
        <v>0</v>
      </c>
      <c r="AG481" s="12">
        <f t="shared" si="135"/>
        <v>639.30209199318563</v>
      </c>
      <c r="AH481" s="11">
        <f t="shared" si="136"/>
        <v>21.729553476362859</v>
      </c>
      <c r="AJ481" s="6">
        <f t="shared" si="142"/>
        <v>1000</v>
      </c>
      <c r="AK481" s="4">
        <v>464</v>
      </c>
      <c r="AM481" s="2" t="str">
        <f t="shared" si="137"/>
        <v>0</v>
      </c>
      <c r="AN481" s="2" t="str">
        <f t="shared" si="143"/>
        <v>3E8</v>
      </c>
      <c r="AO481" s="2"/>
      <c r="AP481" s="2" t="str">
        <f t="shared" si="144"/>
        <v>03E8</v>
      </c>
    </row>
    <row r="482" spans="1:42" x14ac:dyDescent="0.2">
      <c r="A482">
        <v>465</v>
      </c>
      <c r="B482">
        <v>46.4</v>
      </c>
      <c r="C482" s="6">
        <v>0</v>
      </c>
      <c r="D482" s="6">
        <v>0</v>
      </c>
      <c r="E482" s="6">
        <v>0</v>
      </c>
      <c r="F482" s="7">
        <v>0</v>
      </c>
      <c r="G482" s="9">
        <v>100</v>
      </c>
      <c r="H482" s="10">
        <f t="shared" si="138"/>
        <v>0</v>
      </c>
      <c r="I482" s="12">
        <f t="shared" si="129"/>
        <v>639.30209199318563</v>
      </c>
      <c r="J482" s="11">
        <f t="shared" si="130"/>
        <v>21.729553476362859</v>
      </c>
      <c r="K482" s="6">
        <v>0</v>
      </c>
      <c r="L482" s="6">
        <v>0</v>
      </c>
      <c r="M482" s="6">
        <v>0</v>
      </c>
      <c r="N482" s="7">
        <v>0</v>
      </c>
      <c r="O482" s="9">
        <v>100</v>
      </c>
      <c r="P482" s="10">
        <f t="shared" si="139"/>
        <v>0</v>
      </c>
      <c r="Q482" s="12">
        <f t="shared" si="131"/>
        <v>639.30209199318563</v>
      </c>
      <c r="R482" s="11">
        <f t="shared" si="132"/>
        <v>21.729553476362859</v>
      </c>
      <c r="S482" s="6">
        <v>0</v>
      </c>
      <c r="T482" s="6">
        <v>0</v>
      </c>
      <c r="U482" s="6">
        <v>0</v>
      </c>
      <c r="V482" s="7">
        <v>0</v>
      </c>
      <c r="W482" s="9">
        <v>100</v>
      </c>
      <c r="X482" s="10">
        <f t="shared" si="140"/>
        <v>0</v>
      </c>
      <c r="Y482" s="12">
        <f t="shared" si="133"/>
        <v>639.30209199318563</v>
      </c>
      <c r="Z482" s="11">
        <f t="shared" si="134"/>
        <v>21.729553476362859</v>
      </c>
      <c r="AA482" s="6">
        <v>0</v>
      </c>
      <c r="AB482" s="6">
        <v>0</v>
      </c>
      <c r="AC482" s="6">
        <v>0</v>
      </c>
      <c r="AD482" s="7">
        <v>0</v>
      </c>
      <c r="AE482" s="9">
        <v>100</v>
      </c>
      <c r="AF482" s="10">
        <f t="shared" si="141"/>
        <v>0</v>
      </c>
      <c r="AG482" s="12">
        <f t="shared" si="135"/>
        <v>639.30209199318563</v>
      </c>
      <c r="AH482" s="11">
        <f t="shared" si="136"/>
        <v>21.729553476362859</v>
      </c>
      <c r="AJ482" s="6">
        <f t="shared" si="142"/>
        <v>1000</v>
      </c>
      <c r="AK482" s="4">
        <v>465</v>
      </c>
      <c r="AM482" s="2" t="str">
        <f t="shared" si="137"/>
        <v>0</v>
      </c>
      <c r="AN482" s="2" t="str">
        <f t="shared" si="143"/>
        <v>3E8</v>
      </c>
      <c r="AO482" s="2"/>
      <c r="AP482" s="2" t="str">
        <f t="shared" si="144"/>
        <v>03E8</v>
      </c>
    </row>
    <row r="483" spans="1:42" x14ac:dyDescent="0.2">
      <c r="A483">
        <v>466</v>
      </c>
      <c r="B483">
        <v>46.5</v>
      </c>
      <c r="C483" s="6">
        <v>0</v>
      </c>
      <c r="D483" s="6">
        <v>0</v>
      </c>
      <c r="E483" s="6">
        <v>0</v>
      </c>
      <c r="F483" s="7">
        <v>0</v>
      </c>
      <c r="G483" s="9">
        <v>100</v>
      </c>
      <c r="H483" s="10">
        <f t="shared" si="138"/>
        <v>0</v>
      </c>
      <c r="I483" s="12">
        <f t="shared" si="129"/>
        <v>639.30209199318563</v>
      </c>
      <c r="J483" s="11">
        <f t="shared" si="130"/>
        <v>21.729553476362859</v>
      </c>
      <c r="K483" s="6">
        <v>0</v>
      </c>
      <c r="L483" s="6">
        <v>0</v>
      </c>
      <c r="M483" s="6">
        <v>0</v>
      </c>
      <c r="N483" s="7">
        <v>0</v>
      </c>
      <c r="O483" s="9">
        <v>100</v>
      </c>
      <c r="P483" s="10">
        <f t="shared" si="139"/>
        <v>0</v>
      </c>
      <c r="Q483" s="12">
        <f t="shared" si="131"/>
        <v>639.30209199318563</v>
      </c>
      <c r="R483" s="11">
        <f t="shared" si="132"/>
        <v>21.729553476362859</v>
      </c>
      <c r="S483" s="6">
        <v>0</v>
      </c>
      <c r="T483" s="6">
        <v>0</v>
      </c>
      <c r="U483" s="6">
        <v>0</v>
      </c>
      <c r="V483" s="7">
        <v>0</v>
      </c>
      <c r="W483" s="9">
        <v>100</v>
      </c>
      <c r="X483" s="10">
        <f t="shared" si="140"/>
        <v>0</v>
      </c>
      <c r="Y483" s="12">
        <f t="shared" si="133"/>
        <v>639.30209199318563</v>
      </c>
      <c r="Z483" s="11">
        <f t="shared" si="134"/>
        <v>21.729553476362859</v>
      </c>
      <c r="AA483" s="6">
        <v>0</v>
      </c>
      <c r="AB483" s="6">
        <v>0</v>
      </c>
      <c r="AC483" s="6">
        <v>0</v>
      </c>
      <c r="AD483" s="7">
        <v>0</v>
      </c>
      <c r="AE483" s="9">
        <v>100</v>
      </c>
      <c r="AF483" s="10">
        <f t="shared" si="141"/>
        <v>0</v>
      </c>
      <c r="AG483" s="12">
        <f t="shared" si="135"/>
        <v>639.30209199318563</v>
      </c>
      <c r="AH483" s="11">
        <f t="shared" si="136"/>
        <v>21.729553476362859</v>
      </c>
      <c r="AJ483" s="6">
        <f t="shared" si="142"/>
        <v>1000</v>
      </c>
      <c r="AK483" s="4">
        <v>466</v>
      </c>
      <c r="AM483" s="2" t="str">
        <f t="shared" si="137"/>
        <v>0</v>
      </c>
      <c r="AN483" s="2" t="str">
        <f t="shared" si="143"/>
        <v>3E8</v>
      </c>
      <c r="AO483" s="2"/>
      <c r="AP483" s="2" t="str">
        <f t="shared" si="144"/>
        <v>03E8</v>
      </c>
    </row>
    <row r="484" spans="1:42" x14ac:dyDescent="0.2">
      <c r="A484">
        <v>467</v>
      </c>
      <c r="B484">
        <v>46.6</v>
      </c>
      <c r="C484" s="6">
        <v>0</v>
      </c>
      <c r="D484" s="6">
        <v>0</v>
      </c>
      <c r="E484" s="6">
        <v>0</v>
      </c>
      <c r="F484" s="7">
        <v>0</v>
      </c>
      <c r="G484" s="9">
        <v>100</v>
      </c>
      <c r="H484" s="10">
        <f t="shared" si="138"/>
        <v>0</v>
      </c>
      <c r="I484" s="12">
        <f t="shared" si="129"/>
        <v>639.30209199318563</v>
      </c>
      <c r="J484" s="11">
        <f t="shared" si="130"/>
        <v>21.729553476362859</v>
      </c>
      <c r="K484" s="6">
        <v>0</v>
      </c>
      <c r="L484" s="6">
        <v>0</v>
      </c>
      <c r="M484" s="6">
        <v>0</v>
      </c>
      <c r="N484" s="7">
        <v>0</v>
      </c>
      <c r="O484" s="9">
        <v>100</v>
      </c>
      <c r="P484" s="10">
        <f t="shared" si="139"/>
        <v>0</v>
      </c>
      <c r="Q484" s="12">
        <f t="shared" si="131"/>
        <v>639.30209199318563</v>
      </c>
      <c r="R484" s="11">
        <f t="shared" si="132"/>
        <v>21.729553476362859</v>
      </c>
      <c r="S484" s="6">
        <v>0</v>
      </c>
      <c r="T484" s="6">
        <v>0</v>
      </c>
      <c r="U484" s="6">
        <v>0</v>
      </c>
      <c r="V484" s="7">
        <v>0</v>
      </c>
      <c r="W484" s="9">
        <v>100</v>
      </c>
      <c r="X484" s="10">
        <f t="shared" si="140"/>
        <v>0</v>
      </c>
      <c r="Y484" s="12">
        <f t="shared" si="133"/>
        <v>639.30209199318563</v>
      </c>
      <c r="Z484" s="11">
        <f t="shared" si="134"/>
        <v>21.729553476362859</v>
      </c>
      <c r="AA484" s="6">
        <v>0</v>
      </c>
      <c r="AB484" s="6">
        <v>0</v>
      </c>
      <c r="AC484" s="6">
        <v>0</v>
      </c>
      <c r="AD484" s="7">
        <v>0</v>
      </c>
      <c r="AE484" s="9">
        <v>100</v>
      </c>
      <c r="AF484" s="10">
        <f t="shared" si="141"/>
        <v>0</v>
      </c>
      <c r="AG484" s="12">
        <f t="shared" si="135"/>
        <v>639.30209199318563</v>
      </c>
      <c r="AH484" s="11">
        <f t="shared" si="136"/>
        <v>21.729553476362859</v>
      </c>
      <c r="AJ484" s="6">
        <f t="shared" si="142"/>
        <v>1000</v>
      </c>
      <c r="AK484" s="4">
        <v>467</v>
      </c>
      <c r="AM484" s="2" t="str">
        <f t="shared" si="137"/>
        <v>0</v>
      </c>
      <c r="AN484" s="2" t="str">
        <f t="shared" si="143"/>
        <v>3E8</v>
      </c>
      <c r="AO484" s="2"/>
      <c r="AP484" s="2" t="str">
        <f t="shared" si="144"/>
        <v>03E8</v>
      </c>
    </row>
    <row r="485" spans="1:42" x14ac:dyDescent="0.2">
      <c r="A485">
        <v>468</v>
      </c>
      <c r="B485">
        <v>46.7</v>
      </c>
      <c r="C485" s="6">
        <v>0</v>
      </c>
      <c r="D485" s="6">
        <v>0</v>
      </c>
      <c r="E485" s="6">
        <v>0</v>
      </c>
      <c r="F485" s="7">
        <v>0</v>
      </c>
      <c r="G485" s="9">
        <v>100</v>
      </c>
      <c r="H485" s="10">
        <f t="shared" si="138"/>
        <v>0</v>
      </c>
      <c r="I485" s="12">
        <f t="shared" si="129"/>
        <v>639.30209199318563</v>
      </c>
      <c r="J485" s="11">
        <f t="shared" si="130"/>
        <v>21.729553476362859</v>
      </c>
      <c r="K485" s="6">
        <v>0</v>
      </c>
      <c r="L485" s="6">
        <v>0</v>
      </c>
      <c r="M485" s="6">
        <v>0</v>
      </c>
      <c r="N485" s="7">
        <v>0</v>
      </c>
      <c r="O485" s="9">
        <v>100</v>
      </c>
      <c r="P485" s="10">
        <f t="shared" si="139"/>
        <v>0</v>
      </c>
      <c r="Q485" s="12">
        <f t="shared" si="131"/>
        <v>639.30209199318563</v>
      </c>
      <c r="R485" s="11">
        <f t="shared" si="132"/>
        <v>21.729553476362859</v>
      </c>
      <c r="S485" s="6">
        <v>0</v>
      </c>
      <c r="T485" s="6">
        <v>0</v>
      </c>
      <c r="U485" s="6">
        <v>0</v>
      </c>
      <c r="V485" s="7">
        <v>0</v>
      </c>
      <c r="W485" s="9">
        <v>100</v>
      </c>
      <c r="X485" s="10">
        <f t="shared" si="140"/>
        <v>0</v>
      </c>
      <c r="Y485" s="12">
        <f t="shared" si="133"/>
        <v>639.30209199318563</v>
      </c>
      <c r="Z485" s="11">
        <f t="shared" si="134"/>
        <v>21.729553476362859</v>
      </c>
      <c r="AA485" s="6">
        <v>0</v>
      </c>
      <c r="AB485" s="6">
        <v>0</v>
      </c>
      <c r="AC485" s="6">
        <v>0</v>
      </c>
      <c r="AD485" s="7">
        <v>0</v>
      </c>
      <c r="AE485" s="9">
        <v>100</v>
      </c>
      <c r="AF485" s="10">
        <f t="shared" si="141"/>
        <v>0</v>
      </c>
      <c r="AG485" s="12">
        <f t="shared" si="135"/>
        <v>639.30209199318563</v>
      </c>
      <c r="AH485" s="11">
        <f t="shared" si="136"/>
        <v>21.729553476362859</v>
      </c>
      <c r="AJ485" s="6">
        <f t="shared" si="142"/>
        <v>1000</v>
      </c>
      <c r="AK485" s="4">
        <v>468</v>
      </c>
      <c r="AM485" s="2" t="str">
        <f t="shared" si="137"/>
        <v>0</v>
      </c>
      <c r="AN485" s="2" t="str">
        <f t="shared" si="143"/>
        <v>3E8</v>
      </c>
      <c r="AO485" s="2"/>
      <c r="AP485" s="2" t="str">
        <f t="shared" si="144"/>
        <v>03E8</v>
      </c>
    </row>
    <row r="486" spans="1:42" x14ac:dyDescent="0.2">
      <c r="A486">
        <v>469</v>
      </c>
      <c r="B486">
        <v>46.8</v>
      </c>
      <c r="C486" s="6">
        <v>0</v>
      </c>
      <c r="D486" s="6">
        <v>0</v>
      </c>
      <c r="E486" s="6">
        <v>0</v>
      </c>
      <c r="F486" s="7">
        <v>0</v>
      </c>
      <c r="G486" s="9">
        <v>100</v>
      </c>
      <c r="H486" s="10">
        <f t="shared" si="138"/>
        <v>0</v>
      </c>
      <c r="I486" s="12">
        <f t="shared" si="129"/>
        <v>639.30209199318563</v>
      </c>
      <c r="J486" s="11">
        <f t="shared" si="130"/>
        <v>21.729553476362859</v>
      </c>
      <c r="K486" s="6">
        <v>0</v>
      </c>
      <c r="L486" s="6">
        <v>0</v>
      </c>
      <c r="M486" s="6">
        <v>0</v>
      </c>
      <c r="N486" s="7">
        <v>0</v>
      </c>
      <c r="O486" s="9">
        <v>100</v>
      </c>
      <c r="P486" s="10">
        <f t="shared" si="139"/>
        <v>0</v>
      </c>
      <c r="Q486" s="12">
        <f t="shared" si="131"/>
        <v>639.30209199318563</v>
      </c>
      <c r="R486" s="11">
        <f t="shared" si="132"/>
        <v>21.729553476362859</v>
      </c>
      <c r="S486" s="6">
        <v>0</v>
      </c>
      <c r="T486" s="6">
        <v>0</v>
      </c>
      <c r="U486" s="6">
        <v>0</v>
      </c>
      <c r="V486" s="7">
        <v>0</v>
      </c>
      <c r="W486" s="9">
        <v>100</v>
      </c>
      <c r="X486" s="10">
        <f t="shared" si="140"/>
        <v>0</v>
      </c>
      <c r="Y486" s="12">
        <f t="shared" si="133"/>
        <v>639.30209199318563</v>
      </c>
      <c r="Z486" s="11">
        <f t="shared" si="134"/>
        <v>21.729553476362859</v>
      </c>
      <c r="AA486" s="6">
        <v>0</v>
      </c>
      <c r="AB486" s="6">
        <v>0</v>
      </c>
      <c r="AC486" s="6">
        <v>0</v>
      </c>
      <c r="AD486" s="7">
        <v>0</v>
      </c>
      <c r="AE486" s="9">
        <v>100</v>
      </c>
      <c r="AF486" s="10">
        <f t="shared" si="141"/>
        <v>0</v>
      </c>
      <c r="AG486" s="12">
        <f t="shared" si="135"/>
        <v>639.30209199318563</v>
      </c>
      <c r="AH486" s="11">
        <f t="shared" si="136"/>
        <v>21.729553476362859</v>
      </c>
      <c r="AJ486" s="6">
        <f t="shared" si="142"/>
        <v>1000</v>
      </c>
      <c r="AK486" s="4">
        <v>469</v>
      </c>
      <c r="AM486" s="2" t="str">
        <f t="shared" si="137"/>
        <v>0</v>
      </c>
      <c r="AN486" s="2" t="str">
        <f t="shared" si="143"/>
        <v>3E8</v>
      </c>
      <c r="AO486" s="2"/>
      <c r="AP486" s="2" t="str">
        <f t="shared" si="144"/>
        <v>03E8</v>
      </c>
    </row>
    <row r="487" spans="1:42" x14ac:dyDescent="0.2">
      <c r="A487">
        <v>470</v>
      </c>
      <c r="B487">
        <v>46.9</v>
      </c>
      <c r="C487" s="6">
        <v>0</v>
      </c>
      <c r="D487" s="6">
        <v>0</v>
      </c>
      <c r="E487" s="6">
        <v>0</v>
      </c>
      <c r="F487" s="7">
        <v>0</v>
      </c>
      <c r="G487" s="9">
        <v>100</v>
      </c>
      <c r="H487" s="10">
        <f t="shared" si="138"/>
        <v>0</v>
      </c>
      <c r="I487" s="12">
        <f t="shared" si="129"/>
        <v>639.30209199318563</v>
      </c>
      <c r="J487" s="11">
        <f t="shared" si="130"/>
        <v>21.729553476362859</v>
      </c>
      <c r="K487" s="6">
        <v>0</v>
      </c>
      <c r="L487" s="6">
        <v>0</v>
      </c>
      <c r="M487" s="6">
        <v>0</v>
      </c>
      <c r="N487" s="7">
        <v>0</v>
      </c>
      <c r="O487" s="9">
        <v>100</v>
      </c>
      <c r="P487" s="10">
        <f t="shared" si="139"/>
        <v>0</v>
      </c>
      <c r="Q487" s="12">
        <f t="shared" si="131"/>
        <v>639.30209199318563</v>
      </c>
      <c r="R487" s="11">
        <f t="shared" si="132"/>
        <v>21.729553476362859</v>
      </c>
      <c r="S487" s="6">
        <v>0</v>
      </c>
      <c r="T487" s="6">
        <v>0</v>
      </c>
      <c r="U487" s="6">
        <v>0</v>
      </c>
      <c r="V487" s="7">
        <v>0</v>
      </c>
      <c r="W487" s="9">
        <v>100</v>
      </c>
      <c r="X487" s="10">
        <f t="shared" si="140"/>
        <v>0</v>
      </c>
      <c r="Y487" s="12">
        <f t="shared" si="133"/>
        <v>639.30209199318563</v>
      </c>
      <c r="Z487" s="11">
        <f t="shared" si="134"/>
        <v>21.729553476362859</v>
      </c>
      <c r="AA487" s="6">
        <v>0</v>
      </c>
      <c r="AB487" s="6">
        <v>0</v>
      </c>
      <c r="AC487" s="6">
        <v>0</v>
      </c>
      <c r="AD487" s="7">
        <v>0</v>
      </c>
      <c r="AE487" s="9">
        <v>100</v>
      </c>
      <c r="AF487" s="10">
        <f t="shared" si="141"/>
        <v>0</v>
      </c>
      <c r="AG487" s="12">
        <f t="shared" si="135"/>
        <v>639.30209199318563</v>
      </c>
      <c r="AH487" s="11">
        <f t="shared" si="136"/>
        <v>21.729553476362859</v>
      </c>
      <c r="AJ487" s="6">
        <f t="shared" si="142"/>
        <v>1000</v>
      </c>
      <c r="AK487" s="4">
        <v>470</v>
      </c>
      <c r="AM487" s="2" t="str">
        <f t="shared" si="137"/>
        <v>0</v>
      </c>
      <c r="AN487" s="2" t="str">
        <f t="shared" si="143"/>
        <v>3E8</v>
      </c>
      <c r="AO487" s="2"/>
      <c r="AP487" s="2" t="str">
        <f t="shared" si="144"/>
        <v>03E8</v>
      </c>
    </row>
    <row r="488" spans="1:42" x14ac:dyDescent="0.2">
      <c r="A488">
        <v>471</v>
      </c>
      <c r="B488">
        <v>47</v>
      </c>
      <c r="C488" s="6">
        <v>0</v>
      </c>
      <c r="D488" s="6">
        <v>0</v>
      </c>
      <c r="E488" s="6">
        <v>0</v>
      </c>
      <c r="F488" s="7">
        <v>0</v>
      </c>
      <c r="G488" s="9">
        <v>100</v>
      </c>
      <c r="H488" s="10">
        <f t="shared" si="138"/>
        <v>0</v>
      </c>
      <c r="I488" s="12">
        <f t="shared" si="129"/>
        <v>639.30209199318563</v>
      </c>
      <c r="J488" s="11">
        <f t="shared" si="130"/>
        <v>21.729553476362859</v>
      </c>
      <c r="K488" s="6">
        <v>0</v>
      </c>
      <c r="L488" s="6">
        <v>0</v>
      </c>
      <c r="M488" s="6">
        <v>0</v>
      </c>
      <c r="N488" s="7">
        <v>0</v>
      </c>
      <c r="O488" s="9">
        <v>100</v>
      </c>
      <c r="P488" s="10">
        <f t="shared" si="139"/>
        <v>0</v>
      </c>
      <c r="Q488" s="12">
        <f t="shared" si="131"/>
        <v>639.30209199318563</v>
      </c>
      <c r="R488" s="11">
        <f t="shared" si="132"/>
        <v>21.729553476362859</v>
      </c>
      <c r="S488" s="6">
        <v>0</v>
      </c>
      <c r="T488" s="6">
        <v>0</v>
      </c>
      <c r="U488" s="6">
        <v>0</v>
      </c>
      <c r="V488" s="7">
        <v>0</v>
      </c>
      <c r="W488" s="9">
        <v>100</v>
      </c>
      <c r="X488" s="10">
        <f t="shared" si="140"/>
        <v>0</v>
      </c>
      <c r="Y488" s="12">
        <f t="shared" si="133"/>
        <v>639.30209199318563</v>
      </c>
      <c r="Z488" s="11">
        <f t="shared" si="134"/>
        <v>21.729553476362859</v>
      </c>
      <c r="AA488" s="6">
        <v>0</v>
      </c>
      <c r="AB488" s="6">
        <v>0</v>
      </c>
      <c r="AC488" s="6">
        <v>0</v>
      </c>
      <c r="AD488" s="7">
        <v>0</v>
      </c>
      <c r="AE488" s="9">
        <v>100</v>
      </c>
      <c r="AF488" s="10">
        <f t="shared" si="141"/>
        <v>0</v>
      </c>
      <c r="AG488" s="12">
        <f t="shared" si="135"/>
        <v>639.30209199318563</v>
      </c>
      <c r="AH488" s="11">
        <f t="shared" si="136"/>
        <v>21.729553476362859</v>
      </c>
      <c r="AJ488" s="6">
        <f t="shared" si="142"/>
        <v>1000</v>
      </c>
      <c r="AK488" s="4">
        <v>471</v>
      </c>
      <c r="AM488" s="2" t="str">
        <f t="shared" si="137"/>
        <v>0</v>
      </c>
      <c r="AN488" s="2" t="str">
        <f t="shared" si="143"/>
        <v>3E8</v>
      </c>
      <c r="AO488" s="2"/>
      <c r="AP488" s="2" t="str">
        <f t="shared" si="144"/>
        <v>03E8</v>
      </c>
    </row>
    <row r="489" spans="1:42" x14ac:dyDescent="0.2">
      <c r="A489">
        <v>472</v>
      </c>
      <c r="B489">
        <v>47.1</v>
      </c>
      <c r="C489" s="6">
        <v>0</v>
      </c>
      <c r="D489" s="6">
        <v>0</v>
      </c>
      <c r="E489" s="6">
        <v>0</v>
      </c>
      <c r="F489" s="7">
        <v>0</v>
      </c>
      <c r="G489" s="9">
        <v>100</v>
      </c>
      <c r="H489" s="10">
        <f t="shared" si="138"/>
        <v>0</v>
      </c>
      <c r="I489" s="12">
        <f t="shared" si="129"/>
        <v>639.30209199318563</v>
      </c>
      <c r="J489" s="11">
        <f t="shared" si="130"/>
        <v>21.729553476362859</v>
      </c>
      <c r="K489" s="6">
        <v>0</v>
      </c>
      <c r="L489" s="6">
        <v>0</v>
      </c>
      <c r="M489" s="6">
        <v>0</v>
      </c>
      <c r="N489" s="7">
        <v>0</v>
      </c>
      <c r="O489" s="9">
        <v>100</v>
      </c>
      <c r="P489" s="10">
        <f t="shared" si="139"/>
        <v>0</v>
      </c>
      <c r="Q489" s="12">
        <f t="shared" si="131"/>
        <v>639.30209199318563</v>
      </c>
      <c r="R489" s="11">
        <f t="shared" si="132"/>
        <v>21.729553476362859</v>
      </c>
      <c r="S489" s="6">
        <v>0</v>
      </c>
      <c r="T489" s="6">
        <v>0</v>
      </c>
      <c r="U489" s="6">
        <v>0</v>
      </c>
      <c r="V489" s="7">
        <v>0</v>
      </c>
      <c r="W489" s="9">
        <v>100</v>
      </c>
      <c r="X489" s="10">
        <f t="shared" si="140"/>
        <v>0</v>
      </c>
      <c r="Y489" s="12">
        <f t="shared" si="133"/>
        <v>639.30209199318563</v>
      </c>
      <c r="Z489" s="11">
        <f t="shared" si="134"/>
        <v>21.729553476362859</v>
      </c>
      <c r="AA489" s="6">
        <v>0</v>
      </c>
      <c r="AB489" s="6">
        <v>0</v>
      </c>
      <c r="AC489" s="6">
        <v>0</v>
      </c>
      <c r="AD489" s="7">
        <v>0</v>
      </c>
      <c r="AE489" s="9">
        <v>100</v>
      </c>
      <c r="AF489" s="10">
        <f t="shared" si="141"/>
        <v>0</v>
      </c>
      <c r="AG489" s="12">
        <f t="shared" si="135"/>
        <v>639.30209199318563</v>
      </c>
      <c r="AH489" s="11">
        <f t="shared" si="136"/>
        <v>21.729553476362859</v>
      </c>
      <c r="AJ489" s="6">
        <f t="shared" si="142"/>
        <v>1000</v>
      </c>
      <c r="AK489" s="4">
        <v>472</v>
      </c>
      <c r="AM489" s="2" t="str">
        <f t="shared" si="137"/>
        <v>0</v>
      </c>
      <c r="AN489" s="2" t="str">
        <f t="shared" si="143"/>
        <v>3E8</v>
      </c>
      <c r="AO489" s="2"/>
      <c r="AP489" s="2" t="str">
        <f t="shared" si="144"/>
        <v>03E8</v>
      </c>
    </row>
    <row r="490" spans="1:42" x14ac:dyDescent="0.2">
      <c r="A490">
        <v>473</v>
      </c>
      <c r="B490">
        <v>47.2</v>
      </c>
      <c r="C490" s="6">
        <v>0</v>
      </c>
      <c r="D490" s="6">
        <v>0</v>
      </c>
      <c r="E490" s="6">
        <v>0</v>
      </c>
      <c r="F490" s="7">
        <v>0</v>
      </c>
      <c r="G490" s="9">
        <v>100</v>
      </c>
      <c r="H490" s="10">
        <f t="shared" si="138"/>
        <v>0</v>
      </c>
      <c r="I490" s="12">
        <f t="shared" si="129"/>
        <v>639.30209199318563</v>
      </c>
      <c r="J490" s="11">
        <f t="shared" si="130"/>
        <v>21.729553476362859</v>
      </c>
      <c r="K490" s="6">
        <v>0</v>
      </c>
      <c r="L490" s="6">
        <v>0</v>
      </c>
      <c r="M490" s="6">
        <v>0</v>
      </c>
      <c r="N490" s="7">
        <v>0</v>
      </c>
      <c r="O490" s="9">
        <v>100</v>
      </c>
      <c r="P490" s="10">
        <f t="shared" si="139"/>
        <v>0</v>
      </c>
      <c r="Q490" s="12">
        <f t="shared" si="131"/>
        <v>639.30209199318563</v>
      </c>
      <c r="R490" s="11">
        <f t="shared" si="132"/>
        <v>21.729553476362859</v>
      </c>
      <c r="S490" s="6">
        <v>0</v>
      </c>
      <c r="T490" s="6">
        <v>0</v>
      </c>
      <c r="U490" s="6">
        <v>0</v>
      </c>
      <c r="V490" s="7">
        <v>0</v>
      </c>
      <c r="W490" s="9">
        <v>100</v>
      </c>
      <c r="X490" s="10">
        <f t="shared" si="140"/>
        <v>0</v>
      </c>
      <c r="Y490" s="12">
        <f t="shared" si="133"/>
        <v>639.30209199318563</v>
      </c>
      <c r="Z490" s="11">
        <f t="shared" si="134"/>
        <v>21.729553476362859</v>
      </c>
      <c r="AA490" s="6">
        <v>0</v>
      </c>
      <c r="AB490" s="6">
        <v>0</v>
      </c>
      <c r="AC490" s="6">
        <v>0</v>
      </c>
      <c r="AD490" s="7">
        <v>0</v>
      </c>
      <c r="AE490" s="9">
        <v>100</v>
      </c>
      <c r="AF490" s="10">
        <f t="shared" si="141"/>
        <v>0</v>
      </c>
      <c r="AG490" s="12">
        <f t="shared" si="135"/>
        <v>639.30209199318563</v>
      </c>
      <c r="AH490" s="11">
        <f t="shared" si="136"/>
        <v>21.729553476362859</v>
      </c>
      <c r="AJ490" s="6">
        <f t="shared" si="142"/>
        <v>1000</v>
      </c>
      <c r="AK490" s="4">
        <v>473</v>
      </c>
      <c r="AM490" s="2" t="str">
        <f t="shared" si="137"/>
        <v>0</v>
      </c>
      <c r="AN490" s="2" t="str">
        <f t="shared" si="143"/>
        <v>3E8</v>
      </c>
      <c r="AO490" s="2"/>
      <c r="AP490" s="2" t="str">
        <f t="shared" si="144"/>
        <v>03E8</v>
      </c>
    </row>
    <row r="491" spans="1:42" x14ac:dyDescent="0.2">
      <c r="A491">
        <v>474</v>
      </c>
      <c r="B491">
        <v>47.3</v>
      </c>
      <c r="C491" s="6">
        <v>0</v>
      </c>
      <c r="D491" s="6">
        <v>0</v>
      </c>
      <c r="E491" s="6">
        <v>0</v>
      </c>
      <c r="F491" s="7">
        <v>0</v>
      </c>
      <c r="G491" s="9">
        <v>100</v>
      </c>
      <c r="H491" s="10">
        <f t="shared" si="138"/>
        <v>0</v>
      </c>
      <c r="I491" s="12">
        <f t="shared" si="129"/>
        <v>639.30209199318563</v>
      </c>
      <c r="J491" s="11">
        <f t="shared" si="130"/>
        <v>21.729553476362859</v>
      </c>
      <c r="K491" s="6">
        <v>0</v>
      </c>
      <c r="L491" s="6">
        <v>0</v>
      </c>
      <c r="M491" s="6">
        <v>0</v>
      </c>
      <c r="N491" s="7">
        <v>0</v>
      </c>
      <c r="O491" s="9">
        <v>100</v>
      </c>
      <c r="P491" s="10">
        <f t="shared" si="139"/>
        <v>0</v>
      </c>
      <c r="Q491" s="12">
        <f t="shared" si="131"/>
        <v>639.30209199318563</v>
      </c>
      <c r="R491" s="11">
        <f t="shared" si="132"/>
        <v>21.729553476362859</v>
      </c>
      <c r="S491" s="6">
        <v>0</v>
      </c>
      <c r="T491" s="6">
        <v>0</v>
      </c>
      <c r="U491" s="6">
        <v>0</v>
      </c>
      <c r="V491" s="7">
        <v>0</v>
      </c>
      <c r="W491" s="9">
        <v>100</v>
      </c>
      <c r="X491" s="10">
        <f t="shared" si="140"/>
        <v>0</v>
      </c>
      <c r="Y491" s="12">
        <f t="shared" si="133"/>
        <v>639.30209199318563</v>
      </c>
      <c r="Z491" s="11">
        <f t="shared" si="134"/>
        <v>21.729553476362859</v>
      </c>
      <c r="AA491" s="6">
        <v>0</v>
      </c>
      <c r="AB491" s="6">
        <v>0</v>
      </c>
      <c r="AC491" s="6">
        <v>0</v>
      </c>
      <c r="AD491" s="7">
        <v>0</v>
      </c>
      <c r="AE491" s="9">
        <v>100</v>
      </c>
      <c r="AF491" s="10">
        <f t="shared" si="141"/>
        <v>0</v>
      </c>
      <c r="AG491" s="12">
        <f t="shared" si="135"/>
        <v>639.30209199318563</v>
      </c>
      <c r="AH491" s="11">
        <f t="shared" si="136"/>
        <v>21.729553476362859</v>
      </c>
      <c r="AJ491" s="6">
        <f t="shared" si="142"/>
        <v>1000</v>
      </c>
      <c r="AK491" s="4">
        <v>474</v>
      </c>
      <c r="AM491" s="2" t="str">
        <f t="shared" si="137"/>
        <v>0</v>
      </c>
      <c r="AN491" s="2" t="str">
        <f t="shared" si="143"/>
        <v>3E8</v>
      </c>
      <c r="AO491" s="2"/>
      <c r="AP491" s="2" t="str">
        <f t="shared" si="144"/>
        <v>03E8</v>
      </c>
    </row>
    <row r="492" spans="1:42" x14ac:dyDescent="0.2">
      <c r="A492">
        <v>475</v>
      </c>
      <c r="B492">
        <v>47.4</v>
      </c>
      <c r="C492" s="6">
        <v>0</v>
      </c>
      <c r="D492" s="6">
        <v>0</v>
      </c>
      <c r="E492" s="6">
        <v>0</v>
      </c>
      <c r="F492" s="7">
        <v>0</v>
      </c>
      <c r="G492" s="9">
        <v>100</v>
      </c>
      <c r="H492" s="10">
        <f t="shared" si="138"/>
        <v>0</v>
      </c>
      <c r="I492" s="12">
        <f t="shared" si="129"/>
        <v>639.30209199318563</v>
      </c>
      <c r="J492" s="11">
        <f t="shared" si="130"/>
        <v>21.729553476362859</v>
      </c>
      <c r="K492" s="6">
        <v>0</v>
      </c>
      <c r="L492" s="6">
        <v>0</v>
      </c>
      <c r="M492" s="6">
        <v>0</v>
      </c>
      <c r="N492" s="7">
        <v>0</v>
      </c>
      <c r="O492" s="9">
        <v>100</v>
      </c>
      <c r="P492" s="10">
        <f t="shared" si="139"/>
        <v>0</v>
      </c>
      <c r="Q492" s="12">
        <f t="shared" si="131"/>
        <v>639.30209199318563</v>
      </c>
      <c r="R492" s="11">
        <f t="shared" si="132"/>
        <v>21.729553476362859</v>
      </c>
      <c r="S492" s="6">
        <v>0</v>
      </c>
      <c r="T492" s="6">
        <v>0</v>
      </c>
      <c r="U492" s="6">
        <v>0</v>
      </c>
      <c r="V492" s="7">
        <v>0</v>
      </c>
      <c r="W492" s="9">
        <v>100</v>
      </c>
      <c r="X492" s="10">
        <f t="shared" si="140"/>
        <v>0</v>
      </c>
      <c r="Y492" s="12">
        <f t="shared" si="133"/>
        <v>639.30209199318563</v>
      </c>
      <c r="Z492" s="11">
        <f t="shared" si="134"/>
        <v>21.729553476362859</v>
      </c>
      <c r="AA492" s="6">
        <v>0</v>
      </c>
      <c r="AB492" s="6">
        <v>0</v>
      </c>
      <c r="AC492" s="6">
        <v>0</v>
      </c>
      <c r="AD492" s="7">
        <v>0</v>
      </c>
      <c r="AE492" s="9">
        <v>100</v>
      </c>
      <c r="AF492" s="10">
        <f t="shared" si="141"/>
        <v>0</v>
      </c>
      <c r="AG492" s="12">
        <f t="shared" si="135"/>
        <v>639.30209199318563</v>
      </c>
      <c r="AH492" s="11">
        <f t="shared" si="136"/>
        <v>21.729553476362859</v>
      </c>
      <c r="AJ492" s="6">
        <f t="shared" si="142"/>
        <v>1000</v>
      </c>
      <c r="AK492" s="4">
        <v>475</v>
      </c>
      <c r="AM492" s="2" t="str">
        <f t="shared" si="137"/>
        <v>0</v>
      </c>
      <c r="AN492" s="2" t="str">
        <f t="shared" si="143"/>
        <v>3E8</v>
      </c>
      <c r="AO492" s="2"/>
      <c r="AP492" s="2" t="str">
        <f t="shared" si="144"/>
        <v>03E8</v>
      </c>
    </row>
    <row r="493" spans="1:42" x14ac:dyDescent="0.2">
      <c r="A493">
        <v>476</v>
      </c>
      <c r="B493">
        <v>47.5</v>
      </c>
      <c r="C493" s="6">
        <v>0</v>
      </c>
      <c r="D493" s="6">
        <v>0</v>
      </c>
      <c r="E493" s="6">
        <v>0</v>
      </c>
      <c r="F493" s="7">
        <v>0</v>
      </c>
      <c r="G493" s="9">
        <v>100</v>
      </c>
      <c r="H493" s="10">
        <f t="shared" si="138"/>
        <v>0</v>
      </c>
      <c r="I493" s="12">
        <f t="shared" si="129"/>
        <v>639.30209199318563</v>
      </c>
      <c r="J493" s="11">
        <f t="shared" si="130"/>
        <v>21.729553476362859</v>
      </c>
      <c r="K493" s="6">
        <v>0</v>
      </c>
      <c r="L493" s="6">
        <v>0</v>
      </c>
      <c r="M493" s="6">
        <v>0</v>
      </c>
      <c r="N493" s="7">
        <v>0</v>
      </c>
      <c r="O493" s="9">
        <v>100</v>
      </c>
      <c r="P493" s="10">
        <f t="shared" si="139"/>
        <v>0</v>
      </c>
      <c r="Q493" s="12">
        <f t="shared" si="131"/>
        <v>639.30209199318563</v>
      </c>
      <c r="R493" s="11">
        <f t="shared" si="132"/>
        <v>21.729553476362859</v>
      </c>
      <c r="S493" s="6">
        <v>0</v>
      </c>
      <c r="T493" s="6">
        <v>0</v>
      </c>
      <c r="U493" s="6">
        <v>0</v>
      </c>
      <c r="V493" s="7">
        <v>0</v>
      </c>
      <c r="W493" s="9">
        <v>100</v>
      </c>
      <c r="X493" s="10">
        <f t="shared" si="140"/>
        <v>0</v>
      </c>
      <c r="Y493" s="12">
        <f t="shared" si="133"/>
        <v>639.30209199318563</v>
      </c>
      <c r="Z493" s="11">
        <f t="shared" si="134"/>
        <v>21.729553476362859</v>
      </c>
      <c r="AA493" s="6">
        <v>0</v>
      </c>
      <c r="AB493" s="6">
        <v>0</v>
      </c>
      <c r="AC493" s="6">
        <v>0</v>
      </c>
      <c r="AD493" s="7">
        <v>0</v>
      </c>
      <c r="AE493" s="9">
        <v>100</v>
      </c>
      <c r="AF493" s="10">
        <f t="shared" si="141"/>
        <v>0</v>
      </c>
      <c r="AG493" s="12">
        <f t="shared" si="135"/>
        <v>639.30209199318563</v>
      </c>
      <c r="AH493" s="11">
        <f t="shared" si="136"/>
        <v>21.729553476362859</v>
      </c>
      <c r="AJ493" s="6">
        <f t="shared" si="142"/>
        <v>1000</v>
      </c>
      <c r="AK493" s="4">
        <v>476</v>
      </c>
      <c r="AM493" s="2" t="str">
        <f t="shared" si="137"/>
        <v>0</v>
      </c>
      <c r="AN493" s="2" t="str">
        <f t="shared" si="143"/>
        <v>3E8</v>
      </c>
      <c r="AO493" s="2"/>
      <c r="AP493" s="2" t="str">
        <f t="shared" si="144"/>
        <v>03E8</v>
      </c>
    </row>
    <row r="494" spans="1:42" x14ac:dyDescent="0.2">
      <c r="A494">
        <v>477</v>
      </c>
      <c r="B494">
        <v>47.6</v>
      </c>
      <c r="C494" s="6">
        <v>0</v>
      </c>
      <c r="D494" s="6">
        <v>0</v>
      </c>
      <c r="E494" s="6">
        <v>0</v>
      </c>
      <c r="F494" s="7">
        <v>0</v>
      </c>
      <c r="G494" s="9">
        <v>100</v>
      </c>
      <c r="H494" s="10">
        <f t="shared" si="138"/>
        <v>0</v>
      </c>
      <c r="I494" s="12">
        <f t="shared" si="129"/>
        <v>639.30209199318563</v>
      </c>
      <c r="J494" s="11">
        <f t="shared" si="130"/>
        <v>21.729553476362859</v>
      </c>
      <c r="K494" s="6">
        <v>0</v>
      </c>
      <c r="L494" s="6">
        <v>0</v>
      </c>
      <c r="M494" s="6">
        <v>0</v>
      </c>
      <c r="N494" s="7">
        <v>0</v>
      </c>
      <c r="O494" s="9">
        <v>100</v>
      </c>
      <c r="P494" s="10">
        <f t="shared" si="139"/>
        <v>0</v>
      </c>
      <c r="Q494" s="12">
        <f t="shared" si="131"/>
        <v>639.30209199318563</v>
      </c>
      <c r="R494" s="11">
        <f t="shared" si="132"/>
        <v>21.729553476362859</v>
      </c>
      <c r="S494" s="6">
        <v>0</v>
      </c>
      <c r="T494" s="6">
        <v>0</v>
      </c>
      <c r="U494" s="6">
        <v>0</v>
      </c>
      <c r="V494" s="7">
        <v>0</v>
      </c>
      <c r="W494" s="9">
        <v>100</v>
      </c>
      <c r="X494" s="10">
        <f t="shared" si="140"/>
        <v>0</v>
      </c>
      <c r="Y494" s="12">
        <f t="shared" si="133"/>
        <v>639.30209199318563</v>
      </c>
      <c r="Z494" s="11">
        <f t="shared" si="134"/>
        <v>21.729553476362859</v>
      </c>
      <c r="AA494" s="6">
        <v>0</v>
      </c>
      <c r="AB494" s="6">
        <v>0</v>
      </c>
      <c r="AC494" s="6">
        <v>0</v>
      </c>
      <c r="AD494" s="7">
        <v>0</v>
      </c>
      <c r="AE494" s="9">
        <v>100</v>
      </c>
      <c r="AF494" s="10">
        <f t="shared" si="141"/>
        <v>0</v>
      </c>
      <c r="AG494" s="12">
        <f t="shared" si="135"/>
        <v>639.30209199318563</v>
      </c>
      <c r="AH494" s="11">
        <f t="shared" si="136"/>
        <v>21.729553476362859</v>
      </c>
      <c r="AJ494" s="6">
        <f t="shared" si="142"/>
        <v>1000</v>
      </c>
      <c r="AK494" s="4">
        <v>477</v>
      </c>
      <c r="AM494" s="2" t="str">
        <f t="shared" si="137"/>
        <v>0</v>
      </c>
      <c r="AN494" s="2" t="str">
        <f t="shared" si="143"/>
        <v>3E8</v>
      </c>
      <c r="AO494" s="2"/>
      <c r="AP494" s="2" t="str">
        <f t="shared" si="144"/>
        <v>03E8</v>
      </c>
    </row>
    <row r="495" spans="1:42" x14ac:dyDescent="0.2">
      <c r="A495">
        <v>478</v>
      </c>
      <c r="B495">
        <v>47.7</v>
      </c>
      <c r="C495" s="6">
        <v>0</v>
      </c>
      <c r="D495" s="6">
        <v>0</v>
      </c>
      <c r="E495" s="6">
        <v>0</v>
      </c>
      <c r="F495" s="7">
        <v>0</v>
      </c>
      <c r="G495" s="9">
        <v>100</v>
      </c>
      <c r="H495" s="10">
        <f t="shared" si="138"/>
        <v>0</v>
      </c>
      <c r="I495" s="12">
        <f t="shared" si="129"/>
        <v>639.30209199318563</v>
      </c>
      <c r="J495" s="11">
        <f t="shared" si="130"/>
        <v>21.729553476362859</v>
      </c>
      <c r="K495" s="6">
        <v>0</v>
      </c>
      <c r="L495" s="6">
        <v>0</v>
      </c>
      <c r="M495" s="6">
        <v>0</v>
      </c>
      <c r="N495" s="7">
        <v>0</v>
      </c>
      <c r="O495" s="9">
        <v>100</v>
      </c>
      <c r="P495" s="10">
        <f t="shared" si="139"/>
        <v>0</v>
      </c>
      <c r="Q495" s="12">
        <f t="shared" si="131"/>
        <v>639.30209199318563</v>
      </c>
      <c r="R495" s="11">
        <f t="shared" si="132"/>
        <v>21.729553476362859</v>
      </c>
      <c r="S495" s="6">
        <v>0</v>
      </c>
      <c r="T495" s="6">
        <v>0</v>
      </c>
      <c r="U495" s="6">
        <v>0</v>
      </c>
      <c r="V495" s="7">
        <v>0</v>
      </c>
      <c r="W495" s="9">
        <v>100</v>
      </c>
      <c r="X495" s="10">
        <f t="shared" si="140"/>
        <v>0</v>
      </c>
      <c r="Y495" s="12">
        <f t="shared" si="133"/>
        <v>639.30209199318563</v>
      </c>
      <c r="Z495" s="11">
        <f t="shared" si="134"/>
        <v>21.729553476362859</v>
      </c>
      <c r="AA495" s="6">
        <v>0</v>
      </c>
      <c r="AB495" s="6">
        <v>0</v>
      </c>
      <c r="AC495" s="6">
        <v>0</v>
      </c>
      <c r="AD495" s="7">
        <v>0</v>
      </c>
      <c r="AE495" s="9">
        <v>100</v>
      </c>
      <c r="AF495" s="10">
        <f t="shared" si="141"/>
        <v>0</v>
      </c>
      <c r="AG495" s="12">
        <f t="shared" si="135"/>
        <v>639.30209199318563</v>
      </c>
      <c r="AH495" s="11">
        <f t="shared" si="136"/>
        <v>21.729553476362859</v>
      </c>
      <c r="AJ495" s="6">
        <f t="shared" si="142"/>
        <v>1000</v>
      </c>
      <c r="AK495" s="4">
        <v>478</v>
      </c>
      <c r="AM495" s="2" t="str">
        <f t="shared" si="137"/>
        <v>0</v>
      </c>
      <c r="AN495" s="2" t="str">
        <f t="shared" si="143"/>
        <v>3E8</v>
      </c>
      <c r="AO495" s="2"/>
      <c r="AP495" s="2" t="str">
        <f t="shared" si="144"/>
        <v>03E8</v>
      </c>
    </row>
    <row r="496" spans="1:42" x14ac:dyDescent="0.2">
      <c r="A496">
        <v>479</v>
      </c>
      <c r="B496">
        <v>47.8</v>
      </c>
      <c r="C496" s="6">
        <v>0</v>
      </c>
      <c r="D496" s="6">
        <v>0</v>
      </c>
      <c r="E496" s="6">
        <v>0</v>
      </c>
      <c r="F496" s="7">
        <v>0</v>
      </c>
      <c r="G496" s="9">
        <v>100</v>
      </c>
      <c r="H496" s="10">
        <f t="shared" si="138"/>
        <v>0</v>
      </c>
      <c r="I496" s="12">
        <f t="shared" si="129"/>
        <v>639.30209199318563</v>
      </c>
      <c r="J496" s="11">
        <f t="shared" si="130"/>
        <v>21.729553476362859</v>
      </c>
      <c r="K496" s="6">
        <v>0</v>
      </c>
      <c r="L496" s="6">
        <v>0</v>
      </c>
      <c r="M496" s="6">
        <v>0</v>
      </c>
      <c r="N496" s="7">
        <v>0</v>
      </c>
      <c r="O496" s="9">
        <v>100</v>
      </c>
      <c r="P496" s="10">
        <f t="shared" si="139"/>
        <v>0</v>
      </c>
      <c r="Q496" s="12">
        <f t="shared" si="131"/>
        <v>639.30209199318563</v>
      </c>
      <c r="R496" s="11">
        <f t="shared" si="132"/>
        <v>21.729553476362859</v>
      </c>
      <c r="S496" s="6">
        <v>0</v>
      </c>
      <c r="T496" s="6">
        <v>0</v>
      </c>
      <c r="U496" s="6">
        <v>0</v>
      </c>
      <c r="V496" s="7">
        <v>0</v>
      </c>
      <c r="W496" s="9">
        <v>100</v>
      </c>
      <c r="X496" s="10">
        <f t="shared" si="140"/>
        <v>0</v>
      </c>
      <c r="Y496" s="12">
        <f t="shared" si="133"/>
        <v>639.30209199318563</v>
      </c>
      <c r="Z496" s="11">
        <f t="shared" si="134"/>
        <v>21.729553476362859</v>
      </c>
      <c r="AA496" s="6">
        <v>0</v>
      </c>
      <c r="AB496" s="6">
        <v>0</v>
      </c>
      <c r="AC496" s="6">
        <v>0</v>
      </c>
      <c r="AD496" s="7">
        <v>0</v>
      </c>
      <c r="AE496" s="9">
        <v>100</v>
      </c>
      <c r="AF496" s="10">
        <f t="shared" si="141"/>
        <v>0</v>
      </c>
      <c r="AG496" s="12">
        <f t="shared" si="135"/>
        <v>639.30209199318563</v>
      </c>
      <c r="AH496" s="11">
        <f t="shared" si="136"/>
        <v>21.729553476362859</v>
      </c>
      <c r="AJ496" s="6">
        <f t="shared" si="142"/>
        <v>1000</v>
      </c>
      <c r="AK496" s="4">
        <v>479</v>
      </c>
      <c r="AM496" s="2" t="str">
        <f t="shared" si="137"/>
        <v>0</v>
      </c>
      <c r="AN496" s="2" t="str">
        <f t="shared" si="143"/>
        <v>3E8</v>
      </c>
      <c r="AO496" s="2"/>
      <c r="AP496" s="2" t="str">
        <f t="shared" si="144"/>
        <v>03E8</v>
      </c>
    </row>
    <row r="497" spans="1:42" x14ac:dyDescent="0.2">
      <c r="A497">
        <v>480</v>
      </c>
      <c r="B497">
        <v>47.9</v>
      </c>
      <c r="C497" s="6">
        <v>0</v>
      </c>
      <c r="D497" s="6">
        <v>0</v>
      </c>
      <c r="E497" s="6">
        <v>0</v>
      </c>
      <c r="F497" s="7">
        <v>0</v>
      </c>
      <c r="G497" s="9">
        <v>100</v>
      </c>
      <c r="H497" s="10">
        <f t="shared" si="138"/>
        <v>0</v>
      </c>
      <c r="I497" s="12">
        <f t="shared" si="129"/>
        <v>639.30209199318563</v>
      </c>
      <c r="J497" s="11">
        <f t="shared" si="130"/>
        <v>21.729553476362859</v>
      </c>
      <c r="K497" s="6">
        <v>0</v>
      </c>
      <c r="L497" s="6">
        <v>0</v>
      </c>
      <c r="M497" s="6">
        <v>0</v>
      </c>
      <c r="N497" s="7">
        <v>0</v>
      </c>
      <c r="O497" s="9">
        <v>100</v>
      </c>
      <c r="P497" s="10">
        <f t="shared" si="139"/>
        <v>0</v>
      </c>
      <c r="Q497" s="12">
        <f t="shared" si="131"/>
        <v>639.30209199318563</v>
      </c>
      <c r="R497" s="11">
        <f t="shared" si="132"/>
        <v>21.729553476362859</v>
      </c>
      <c r="S497" s="6">
        <v>0</v>
      </c>
      <c r="T497" s="6">
        <v>0</v>
      </c>
      <c r="U497" s="6">
        <v>0</v>
      </c>
      <c r="V497" s="7">
        <v>0</v>
      </c>
      <c r="W497" s="9">
        <v>100</v>
      </c>
      <c r="X497" s="10">
        <f t="shared" si="140"/>
        <v>0</v>
      </c>
      <c r="Y497" s="12">
        <f t="shared" si="133"/>
        <v>639.30209199318563</v>
      </c>
      <c r="Z497" s="11">
        <f t="shared" si="134"/>
        <v>21.729553476362859</v>
      </c>
      <c r="AA497" s="6">
        <v>0</v>
      </c>
      <c r="AB497" s="6">
        <v>0</v>
      </c>
      <c r="AC497" s="6">
        <v>0</v>
      </c>
      <c r="AD497" s="7">
        <v>0</v>
      </c>
      <c r="AE497" s="9">
        <v>100</v>
      </c>
      <c r="AF497" s="10">
        <f t="shared" si="141"/>
        <v>0</v>
      </c>
      <c r="AG497" s="12">
        <f t="shared" si="135"/>
        <v>639.30209199318563</v>
      </c>
      <c r="AH497" s="11">
        <f t="shared" si="136"/>
        <v>21.729553476362859</v>
      </c>
      <c r="AJ497" s="6">
        <f t="shared" si="142"/>
        <v>1000</v>
      </c>
      <c r="AK497" s="4">
        <v>480</v>
      </c>
      <c r="AM497" s="2" t="str">
        <f t="shared" si="137"/>
        <v>0</v>
      </c>
      <c r="AN497" s="2" t="str">
        <f t="shared" si="143"/>
        <v>3E8</v>
      </c>
      <c r="AO497" s="2"/>
      <c r="AP497" s="2" t="str">
        <f t="shared" si="144"/>
        <v>03E8</v>
      </c>
    </row>
    <row r="498" spans="1:42" x14ac:dyDescent="0.2">
      <c r="A498">
        <v>481</v>
      </c>
      <c r="B498">
        <v>48</v>
      </c>
      <c r="C498" s="6">
        <v>0</v>
      </c>
      <c r="D498" s="6">
        <v>0</v>
      </c>
      <c r="E498" s="6">
        <v>0</v>
      </c>
      <c r="F498" s="7">
        <v>0</v>
      </c>
      <c r="G498" s="9">
        <v>100</v>
      </c>
      <c r="H498" s="10">
        <f t="shared" si="138"/>
        <v>0</v>
      </c>
      <c r="I498" s="12">
        <f t="shared" si="129"/>
        <v>639.30209199318563</v>
      </c>
      <c r="J498" s="11">
        <f t="shared" si="130"/>
        <v>21.729553476362859</v>
      </c>
      <c r="K498" s="6">
        <v>0</v>
      </c>
      <c r="L498" s="6">
        <v>0</v>
      </c>
      <c r="M498" s="6">
        <v>0</v>
      </c>
      <c r="N498" s="7">
        <v>0</v>
      </c>
      <c r="O498" s="9">
        <v>100</v>
      </c>
      <c r="P498" s="10">
        <f t="shared" si="139"/>
        <v>0</v>
      </c>
      <c r="Q498" s="12">
        <f t="shared" si="131"/>
        <v>639.30209199318563</v>
      </c>
      <c r="R498" s="11">
        <f t="shared" si="132"/>
        <v>21.729553476362859</v>
      </c>
      <c r="S498" s="6">
        <v>0</v>
      </c>
      <c r="T498" s="6">
        <v>0</v>
      </c>
      <c r="U498" s="6">
        <v>0</v>
      </c>
      <c r="V498" s="7">
        <v>0</v>
      </c>
      <c r="W498" s="9">
        <v>100</v>
      </c>
      <c r="X498" s="10">
        <f t="shared" si="140"/>
        <v>0</v>
      </c>
      <c r="Y498" s="12">
        <f t="shared" si="133"/>
        <v>639.30209199318563</v>
      </c>
      <c r="Z498" s="11">
        <f t="shared" si="134"/>
        <v>21.729553476362859</v>
      </c>
      <c r="AA498" s="6">
        <v>0</v>
      </c>
      <c r="AB498" s="6">
        <v>0</v>
      </c>
      <c r="AC498" s="6">
        <v>0</v>
      </c>
      <c r="AD498" s="7">
        <v>0</v>
      </c>
      <c r="AE498" s="9">
        <v>100</v>
      </c>
      <c r="AF498" s="10">
        <f t="shared" si="141"/>
        <v>0</v>
      </c>
      <c r="AG498" s="12">
        <f t="shared" si="135"/>
        <v>639.30209199318563</v>
      </c>
      <c r="AH498" s="11">
        <f t="shared" si="136"/>
        <v>21.729553476362859</v>
      </c>
      <c r="AJ498" s="6">
        <f t="shared" si="142"/>
        <v>1000</v>
      </c>
      <c r="AK498" s="4">
        <v>481</v>
      </c>
      <c r="AM498" s="2" t="str">
        <f t="shared" si="137"/>
        <v>0</v>
      </c>
      <c r="AN498" s="2" t="str">
        <f t="shared" si="143"/>
        <v>3E8</v>
      </c>
      <c r="AO498" s="2"/>
      <c r="AP498" s="2" t="str">
        <f t="shared" si="144"/>
        <v>03E8</v>
      </c>
    </row>
    <row r="499" spans="1:42" x14ac:dyDescent="0.2">
      <c r="A499">
        <v>482</v>
      </c>
      <c r="B499">
        <v>48.1</v>
      </c>
      <c r="C499" s="6">
        <v>0</v>
      </c>
      <c r="D499" s="6">
        <v>0</v>
      </c>
      <c r="E499" s="6">
        <v>0</v>
      </c>
      <c r="F499" s="7">
        <v>0</v>
      </c>
      <c r="G499" s="9">
        <v>100</v>
      </c>
      <c r="H499" s="10">
        <f t="shared" si="138"/>
        <v>0</v>
      </c>
      <c r="I499" s="12">
        <f t="shared" si="129"/>
        <v>639.30209199318563</v>
      </c>
      <c r="J499" s="11">
        <f t="shared" si="130"/>
        <v>21.729553476362859</v>
      </c>
      <c r="K499" s="6">
        <v>0</v>
      </c>
      <c r="L499" s="6">
        <v>0</v>
      </c>
      <c r="M499" s="6">
        <v>0</v>
      </c>
      <c r="N499" s="7">
        <v>0</v>
      </c>
      <c r="O499" s="9">
        <v>100</v>
      </c>
      <c r="P499" s="10">
        <f t="shared" si="139"/>
        <v>0</v>
      </c>
      <c r="Q499" s="12">
        <f t="shared" si="131"/>
        <v>639.30209199318563</v>
      </c>
      <c r="R499" s="11">
        <f t="shared" si="132"/>
        <v>21.729553476362859</v>
      </c>
      <c r="S499" s="6">
        <v>0</v>
      </c>
      <c r="T499" s="6">
        <v>0</v>
      </c>
      <c r="U499" s="6">
        <v>0</v>
      </c>
      <c r="V499" s="7">
        <v>0</v>
      </c>
      <c r="W499" s="9">
        <v>100</v>
      </c>
      <c r="X499" s="10">
        <f t="shared" si="140"/>
        <v>0</v>
      </c>
      <c r="Y499" s="12">
        <f t="shared" si="133"/>
        <v>639.30209199318563</v>
      </c>
      <c r="Z499" s="11">
        <f t="shared" si="134"/>
        <v>21.729553476362859</v>
      </c>
      <c r="AA499" s="6">
        <v>0</v>
      </c>
      <c r="AB499" s="6">
        <v>0</v>
      </c>
      <c r="AC499" s="6">
        <v>0</v>
      </c>
      <c r="AD499" s="7">
        <v>0</v>
      </c>
      <c r="AE499" s="9">
        <v>100</v>
      </c>
      <c r="AF499" s="10">
        <f t="shared" si="141"/>
        <v>0</v>
      </c>
      <c r="AG499" s="12">
        <f t="shared" si="135"/>
        <v>639.30209199318563</v>
      </c>
      <c r="AH499" s="11">
        <f t="shared" si="136"/>
        <v>21.729553476362859</v>
      </c>
      <c r="AJ499" s="6">
        <f t="shared" si="142"/>
        <v>1000</v>
      </c>
      <c r="AK499" s="4">
        <v>482</v>
      </c>
      <c r="AM499" s="2" t="str">
        <f t="shared" si="137"/>
        <v>0</v>
      </c>
      <c r="AN499" s="2" t="str">
        <f t="shared" si="143"/>
        <v>3E8</v>
      </c>
      <c r="AO499" s="2"/>
      <c r="AP499" s="2" t="str">
        <f t="shared" si="144"/>
        <v>03E8</v>
      </c>
    </row>
    <row r="500" spans="1:42" x14ac:dyDescent="0.2">
      <c r="A500">
        <v>483</v>
      </c>
      <c r="B500">
        <v>48.2</v>
      </c>
      <c r="C500" s="6">
        <v>0</v>
      </c>
      <c r="D500" s="6">
        <v>0</v>
      </c>
      <c r="E500" s="6">
        <v>0</v>
      </c>
      <c r="F500" s="7">
        <v>0</v>
      </c>
      <c r="G500" s="9">
        <v>100</v>
      </c>
      <c r="H500" s="10">
        <f t="shared" si="138"/>
        <v>0</v>
      </c>
      <c r="I500" s="12">
        <f t="shared" si="129"/>
        <v>639.30209199318563</v>
      </c>
      <c r="J500" s="11">
        <f t="shared" si="130"/>
        <v>21.729553476362859</v>
      </c>
      <c r="K500" s="6">
        <v>0</v>
      </c>
      <c r="L500" s="6">
        <v>0</v>
      </c>
      <c r="M500" s="6">
        <v>0</v>
      </c>
      <c r="N500" s="7">
        <v>0</v>
      </c>
      <c r="O500" s="9">
        <v>100</v>
      </c>
      <c r="P500" s="10">
        <f t="shared" si="139"/>
        <v>0</v>
      </c>
      <c r="Q500" s="12">
        <f t="shared" si="131"/>
        <v>639.30209199318563</v>
      </c>
      <c r="R500" s="11">
        <f t="shared" si="132"/>
        <v>21.729553476362859</v>
      </c>
      <c r="S500" s="6">
        <v>0</v>
      </c>
      <c r="T500" s="6">
        <v>0</v>
      </c>
      <c r="U500" s="6">
        <v>0</v>
      </c>
      <c r="V500" s="7">
        <v>0</v>
      </c>
      <c r="W500" s="9">
        <v>100</v>
      </c>
      <c r="X500" s="10">
        <f t="shared" si="140"/>
        <v>0</v>
      </c>
      <c r="Y500" s="12">
        <f t="shared" si="133"/>
        <v>639.30209199318563</v>
      </c>
      <c r="Z500" s="11">
        <f t="shared" si="134"/>
        <v>21.729553476362859</v>
      </c>
      <c r="AA500" s="6">
        <v>0</v>
      </c>
      <c r="AB500" s="6">
        <v>0</v>
      </c>
      <c r="AC500" s="6">
        <v>0</v>
      </c>
      <c r="AD500" s="7">
        <v>0</v>
      </c>
      <c r="AE500" s="9">
        <v>100</v>
      </c>
      <c r="AF500" s="10">
        <f t="shared" si="141"/>
        <v>0</v>
      </c>
      <c r="AG500" s="12">
        <f t="shared" si="135"/>
        <v>639.30209199318563</v>
      </c>
      <c r="AH500" s="11">
        <f t="shared" si="136"/>
        <v>21.729553476362859</v>
      </c>
      <c r="AJ500" s="6">
        <f t="shared" si="142"/>
        <v>1000</v>
      </c>
      <c r="AK500" s="4">
        <v>483</v>
      </c>
      <c r="AM500" s="2" t="str">
        <f t="shared" si="137"/>
        <v>0</v>
      </c>
      <c r="AN500" s="2" t="str">
        <f t="shared" si="143"/>
        <v>3E8</v>
      </c>
      <c r="AO500" s="2"/>
      <c r="AP500" s="2" t="str">
        <f t="shared" si="144"/>
        <v>03E8</v>
      </c>
    </row>
    <row r="501" spans="1:42" x14ac:dyDescent="0.2">
      <c r="A501">
        <v>484</v>
      </c>
      <c r="B501">
        <v>48.3</v>
      </c>
      <c r="C501" s="6">
        <v>0</v>
      </c>
      <c r="D501" s="6">
        <v>0</v>
      </c>
      <c r="E501" s="6">
        <v>0</v>
      </c>
      <c r="F501" s="7">
        <v>0</v>
      </c>
      <c r="G501" s="9">
        <v>100</v>
      </c>
      <c r="H501" s="10">
        <f t="shared" si="138"/>
        <v>0</v>
      </c>
      <c r="I501" s="12">
        <f t="shared" si="129"/>
        <v>639.30209199318563</v>
      </c>
      <c r="J501" s="11">
        <f t="shared" si="130"/>
        <v>21.729553476362859</v>
      </c>
      <c r="K501" s="6">
        <v>0</v>
      </c>
      <c r="L501" s="6">
        <v>0</v>
      </c>
      <c r="M501" s="6">
        <v>0</v>
      </c>
      <c r="N501" s="7">
        <v>0</v>
      </c>
      <c r="O501" s="9">
        <v>100</v>
      </c>
      <c r="P501" s="10">
        <f t="shared" si="139"/>
        <v>0</v>
      </c>
      <c r="Q501" s="12">
        <f t="shared" si="131"/>
        <v>639.30209199318563</v>
      </c>
      <c r="R501" s="11">
        <f t="shared" si="132"/>
        <v>21.729553476362859</v>
      </c>
      <c r="S501" s="6">
        <v>0</v>
      </c>
      <c r="T501" s="6">
        <v>0</v>
      </c>
      <c r="U501" s="6">
        <v>0</v>
      </c>
      <c r="V501" s="7">
        <v>0</v>
      </c>
      <c r="W501" s="9">
        <v>100</v>
      </c>
      <c r="X501" s="10">
        <f t="shared" si="140"/>
        <v>0</v>
      </c>
      <c r="Y501" s="12">
        <f t="shared" si="133"/>
        <v>639.30209199318563</v>
      </c>
      <c r="Z501" s="11">
        <f t="shared" si="134"/>
        <v>21.729553476362859</v>
      </c>
      <c r="AA501" s="6">
        <v>0</v>
      </c>
      <c r="AB501" s="6">
        <v>0</v>
      </c>
      <c r="AC501" s="6">
        <v>0</v>
      </c>
      <c r="AD501" s="7">
        <v>0</v>
      </c>
      <c r="AE501" s="9">
        <v>100</v>
      </c>
      <c r="AF501" s="10">
        <f t="shared" si="141"/>
        <v>0</v>
      </c>
      <c r="AG501" s="12">
        <f t="shared" si="135"/>
        <v>639.30209199318563</v>
      </c>
      <c r="AH501" s="11">
        <f t="shared" si="136"/>
        <v>21.729553476362859</v>
      </c>
      <c r="AJ501" s="6">
        <f t="shared" si="142"/>
        <v>1000</v>
      </c>
      <c r="AK501" s="4">
        <v>484</v>
      </c>
      <c r="AM501" s="2" t="str">
        <f t="shared" si="137"/>
        <v>0</v>
      </c>
      <c r="AN501" s="2" t="str">
        <f t="shared" si="143"/>
        <v>3E8</v>
      </c>
      <c r="AO501" s="2"/>
      <c r="AP501" s="2" t="str">
        <f t="shared" si="144"/>
        <v>03E8</v>
      </c>
    </row>
    <row r="502" spans="1:42" x14ac:dyDescent="0.2">
      <c r="A502">
        <v>485</v>
      </c>
      <c r="B502">
        <v>48.4</v>
      </c>
      <c r="C502" s="6">
        <v>0</v>
      </c>
      <c r="D502" s="6">
        <v>0</v>
      </c>
      <c r="E502" s="6">
        <v>0</v>
      </c>
      <c r="F502" s="7">
        <v>0</v>
      </c>
      <c r="G502" s="9">
        <v>100</v>
      </c>
      <c r="H502" s="10">
        <f t="shared" si="138"/>
        <v>0</v>
      </c>
      <c r="I502" s="12">
        <f t="shared" si="129"/>
        <v>639.30209199318563</v>
      </c>
      <c r="J502" s="11">
        <f t="shared" si="130"/>
        <v>21.729553476362859</v>
      </c>
      <c r="K502" s="6">
        <v>0</v>
      </c>
      <c r="L502" s="6">
        <v>0</v>
      </c>
      <c r="M502" s="6">
        <v>0</v>
      </c>
      <c r="N502" s="7">
        <v>0</v>
      </c>
      <c r="O502" s="9">
        <v>100</v>
      </c>
      <c r="P502" s="10">
        <f t="shared" si="139"/>
        <v>0</v>
      </c>
      <c r="Q502" s="12">
        <f t="shared" si="131"/>
        <v>639.30209199318563</v>
      </c>
      <c r="R502" s="11">
        <f t="shared" si="132"/>
        <v>21.729553476362859</v>
      </c>
      <c r="S502" s="6">
        <v>0</v>
      </c>
      <c r="T502" s="6">
        <v>0</v>
      </c>
      <c r="U502" s="6">
        <v>0</v>
      </c>
      <c r="V502" s="7">
        <v>0</v>
      </c>
      <c r="W502" s="9">
        <v>100</v>
      </c>
      <c r="X502" s="10">
        <f t="shared" si="140"/>
        <v>0</v>
      </c>
      <c r="Y502" s="12">
        <f t="shared" si="133"/>
        <v>639.30209199318563</v>
      </c>
      <c r="Z502" s="11">
        <f t="shared" si="134"/>
        <v>21.729553476362859</v>
      </c>
      <c r="AA502" s="6">
        <v>0</v>
      </c>
      <c r="AB502" s="6">
        <v>0</v>
      </c>
      <c r="AC502" s="6">
        <v>0</v>
      </c>
      <c r="AD502" s="7">
        <v>0</v>
      </c>
      <c r="AE502" s="9">
        <v>100</v>
      </c>
      <c r="AF502" s="10">
        <f t="shared" si="141"/>
        <v>0</v>
      </c>
      <c r="AG502" s="12">
        <f t="shared" si="135"/>
        <v>639.30209199318563</v>
      </c>
      <c r="AH502" s="11">
        <f t="shared" si="136"/>
        <v>21.729553476362859</v>
      </c>
      <c r="AJ502" s="6">
        <f t="shared" si="142"/>
        <v>1000</v>
      </c>
      <c r="AK502" s="4">
        <v>485</v>
      </c>
      <c r="AM502" s="2" t="str">
        <f t="shared" si="137"/>
        <v>0</v>
      </c>
      <c r="AN502" s="2" t="str">
        <f t="shared" si="143"/>
        <v>3E8</v>
      </c>
      <c r="AO502" s="2"/>
      <c r="AP502" s="2" t="str">
        <f t="shared" si="144"/>
        <v>03E8</v>
      </c>
    </row>
    <row r="503" spans="1:42" x14ac:dyDescent="0.2">
      <c r="A503">
        <v>486</v>
      </c>
      <c r="B503">
        <v>48.5</v>
      </c>
      <c r="C503" s="6">
        <v>0</v>
      </c>
      <c r="D503" s="6">
        <v>0</v>
      </c>
      <c r="E503" s="6">
        <v>0</v>
      </c>
      <c r="F503" s="7">
        <v>0</v>
      </c>
      <c r="G503" s="9">
        <v>100</v>
      </c>
      <c r="H503" s="10">
        <f t="shared" si="138"/>
        <v>0</v>
      </c>
      <c r="I503" s="12">
        <f t="shared" si="129"/>
        <v>639.30209199318563</v>
      </c>
      <c r="J503" s="11">
        <f t="shared" si="130"/>
        <v>21.729553476362859</v>
      </c>
      <c r="K503" s="6">
        <v>0</v>
      </c>
      <c r="L503" s="6">
        <v>0</v>
      </c>
      <c r="M503" s="6">
        <v>0</v>
      </c>
      <c r="N503" s="7">
        <v>0</v>
      </c>
      <c r="O503" s="9">
        <v>100</v>
      </c>
      <c r="P503" s="10">
        <f t="shared" si="139"/>
        <v>0</v>
      </c>
      <c r="Q503" s="12">
        <f t="shared" si="131"/>
        <v>639.30209199318563</v>
      </c>
      <c r="R503" s="11">
        <f t="shared" si="132"/>
        <v>21.729553476362859</v>
      </c>
      <c r="S503" s="6">
        <v>0</v>
      </c>
      <c r="T503" s="6">
        <v>0</v>
      </c>
      <c r="U503" s="6">
        <v>0</v>
      </c>
      <c r="V503" s="7">
        <v>0</v>
      </c>
      <c r="W503" s="9">
        <v>100</v>
      </c>
      <c r="X503" s="10">
        <f t="shared" si="140"/>
        <v>0</v>
      </c>
      <c r="Y503" s="12">
        <f t="shared" si="133"/>
        <v>639.30209199318563</v>
      </c>
      <c r="Z503" s="11">
        <f t="shared" si="134"/>
        <v>21.729553476362859</v>
      </c>
      <c r="AA503" s="6">
        <v>0</v>
      </c>
      <c r="AB503" s="6">
        <v>0</v>
      </c>
      <c r="AC503" s="6">
        <v>0</v>
      </c>
      <c r="AD503" s="7">
        <v>0</v>
      </c>
      <c r="AE503" s="9">
        <v>100</v>
      </c>
      <c r="AF503" s="10">
        <f t="shared" si="141"/>
        <v>0</v>
      </c>
      <c r="AG503" s="12">
        <f t="shared" si="135"/>
        <v>639.30209199318563</v>
      </c>
      <c r="AH503" s="11">
        <f t="shared" si="136"/>
        <v>21.729553476362859</v>
      </c>
      <c r="AJ503" s="6">
        <f t="shared" si="142"/>
        <v>1000</v>
      </c>
      <c r="AK503" s="4">
        <v>486</v>
      </c>
      <c r="AM503" s="2" t="str">
        <f t="shared" si="137"/>
        <v>0</v>
      </c>
      <c r="AN503" s="2" t="str">
        <f t="shared" si="143"/>
        <v>3E8</v>
      </c>
      <c r="AO503" s="2"/>
      <c r="AP503" s="2" t="str">
        <f t="shared" si="144"/>
        <v>03E8</v>
      </c>
    </row>
    <row r="504" spans="1:42" x14ac:dyDescent="0.2">
      <c r="A504">
        <v>487</v>
      </c>
      <c r="B504">
        <v>48.6</v>
      </c>
      <c r="C504" s="6">
        <v>0</v>
      </c>
      <c r="D504" s="6">
        <v>0</v>
      </c>
      <c r="E504" s="6">
        <v>0</v>
      </c>
      <c r="F504" s="7">
        <v>0</v>
      </c>
      <c r="G504" s="9">
        <v>100</v>
      </c>
      <c r="H504" s="10">
        <f t="shared" si="138"/>
        <v>0</v>
      </c>
      <c r="I504" s="12">
        <f t="shared" si="129"/>
        <v>639.30209199318563</v>
      </c>
      <c r="J504" s="11">
        <f t="shared" si="130"/>
        <v>21.729553476362859</v>
      </c>
      <c r="K504" s="6">
        <v>0</v>
      </c>
      <c r="L504" s="6">
        <v>0</v>
      </c>
      <c r="M504" s="6">
        <v>0</v>
      </c>
      <c r="N504" s="7">
        <v>0</v>
      </c>
      <c r="O504" s="9">
        <v>100</v>
      </c>
      <c r="P504" s="10">
        <f t="shared" si="139"/>
        <v>0</v>
      </c>
      <c r="Q504" s="12">
        <f t="shared" si="131"/>
        <v>639.30209199318563</v>
      </c>
      <c r="R504" s="11">
        <f t="shared" si="132"/>
        <v>21.729553476362859</v>
      </c>
      <c r="S504" s="6">
        <v>0</v>
      </c>
      <c r="T504" s="6">
        <v>0</v>
      </c>
      <c r="U504" s="6">
        <v>0</v>
      </c>
      <c r="V504" s="7">
        <v>0</v>
      </c>
      <c r="W504" s="9">
        <v>100</v>
      </c>
      <c r="X504" s="10">
        <f t="shared" si="140"/>
        <v>0</v>
      </c>
      <c r="Y504" s="12">
        <f t="shared" si="133"/>
        <v>639.30209199318563</v>
      </c>
      <c r="Z504" s="11">
        <f t="shared" si="134"/>
        <v>21.729553476362859</v>
      </c>
      <c r="AA504" s="6">
        <v>0</v>
      </c>
      <c r="AB504" s="6">
        <v>0</v>
      </c>
      <c r="AC504" s="6">
        <v>0</v>
      </c>
      <c r="AD504" s="7">
        <v>0</v>
      </c>
      <c r="AE504" s="9">
        <v>100</v>
      </c>
      <c r="AF504" s="10">
        <f t="shared" si="141"/>
        <v>0</v>
      </c>
      <c r="AG504" s="12">
        <f t="shared" si="135"/>
        <v>639.30209199318563</v>
      </c>
      <c r="AH504" s="11">
        <f t="shared" si="136"/>
        <v>21.729553476362859</v>
      </c>
      <c r="AJ504" s="6">
        <f t="shared" si="142"/>
        <v>1000</v>
      </c>
      <c r="AK504" s="4">
        <v>487</v>
      </c>
      <c r="AM504" s="2" t="str">
        <f t="shared" si="137"/>
        <v>0</v>
      </c>
      <c r="AN504" s="2" t="str">
        <f t="shared" si="143"/>
        <v>3E8</v>
      </c>
      <c r="AO504" s="2"/>
      <c r="AP504" s="2" t="str">
        <f t="shared" si="144"/>
        <v>03E8</v>
      </c>
    </row>
    <row r="505" spans="1:42" x14ac:dyDescent="0.2">
      <c r="A505">
        <v>488</v>
      </c>
      <c r="B505">
        <v>48.7</v>
      </c>
      <c r="C505" s="6">
        <v>0</v>
      </c>
      <c r="D505" s="6">
        <v>0</v>
      </c>
      <c r="E505" s="6">
        <v>0</v>
      </c>
      <c r="F505" s="7">
        <v>0</v>
      </c>
      <c r="G505" s="9">
        <v>100</v>
      </c>
      <c r="H505" s="10">
        <f t="shared" si="138"/>
        <v>0</v>
      </c>
      <c r="I505" s="12">
        <f t="shared" si="129"/>
        <v>639.30209199318563</v>
      </c>
      <c r="J505" s="11">
        <f t="shared" si="130"/>
        <v>21.729553476362859</v>
      </c>
      <c r="K505" s="6">
        <v>0</v>
      </c>
      <c r="L505" s="6">
        <v>0</v>
      </c>
      <c r="M505" s="6">
        <v>0</v>
      </c>
      <c r="N505" s="7">
        <v>0</v>
      </c>
      <c r="O505" s="9">
        <v>100</v>
      </c>
      <c r="P505" s="10">
        <f t="shared" si="139"/>
        <v>0</v>
      </c>
      <c r="Q505" s="12">
        <f t="shared" si="131"/>
        <v>639.30209199318563</v>
      </c>
      <c r="R505" s="11">
        <f t="shared" si="132"/>
        <v>21.729553476362859</v>
      </c>
      <c r="S505" s="6">
        <v>0</v>
      </c>
      <c r="T505" s="6">
        <v>0</v>
      </c>
      <c r="U505" s="6">
        <v>0</v>
      </c>
      <c r="V505" s="7">
        <v>0</v>
      </c>
      <c r="W505" s="9">
        <v>100</v>
      </c>
      <c r="X505" s="10">
        <f t="shared" si="140"/>
        <v>0</v>
      </c>
      <c r="Y505" s="12">
        <f t="shared" si="133"/>
        <v>639.30209199318563</v>
      </c>
      <c r="Z505" s="11">
        <f t="shared" si="134"/>
        <v>21.729553476362859</v>
      </c>
      <c r="AA505" s="6">
        <v>0</v>
      </c>
      <c r="AB505" s="6">
        <v>0</v>
      </c>
      <c r="AC505" s="6">
        <v>0</v>
      </c>
      <c r="AD505" s="7">
        <v>0</v>
      </c>
      <c r="AE505" s="9">
        <v>100</v>
      </c>
      <c r="AF505" s="10">
        <f t="shared" si="141"/>
        <v>0</v>
      </c>
      <c r="AG505" s="12">
        <f t="shared" si="135"/>
        <v>639.30209199318563</v>
      </c>
      <c r="AH505" s="11">
        <f t="shared" si="136"/>
        <v>21.729553476362859</v>
      </c>
      <c r="AJ505" s="6">
        <f t="shared" si="142"/>
        <v>1000</v>
      </c>
      <c r="AK505" s="4">
        <v>488</v>
      </c>
      <c r="AM505" s="2" t="str">
        <f t="shared" si="137"/>
        <v>0</v>
      </c>
      <c r="AN505" s="2" t="str">
        <f t="shared" si="143"/>
        <v>3E8</v>
      </c>
      <c r="AO505" s="2"/>
      <c r="AP505" s="2" t="str">
        <f t="shared" si="144"/>
        <v>03E8</v>
      </c>
    </row>
    <row r="506" spans="1:42" x14ac:dyDescent="0.2">
      <c r="A506">
        <v>489</v>
      </c>
      <c r="B506">
        <v>48.8</v>
      </c>
      <c r="C506" s="6">
        <v>0</v>
      </c>
      <c r="D506" s="6">
        <v>0</v>
      </c>
      <c r="E506" s="6">
        <v>0</v>
      </c>
      <c r="F506" s="7">
        <v>0</v>
      </c>
      <c r="G506" s="9">
        <v>100</v>
      </c>
      <c r="H506" s="10">
        <f t="shared" si="138"/>
        <v>0</v>
      </c>
      <c r="I506" s="12">
        <f t="shared" si="129"/>
        <v>639.30209199318563</v>
      </c>
      <c r="J506" s="11">
        <f t="shared" si="130"/>
        <v>21.729553476362859</v>
      </c>
      <c r="K506" s="6">
        <v>0</v>
      </c>
      <c r="L506" s="6">
        <v>0</v>
      </c>
      <c r="M506" s="6">
        <v>0</v>
      </c>
      <c r="N506" s="7">
        <v>0</v>
      </c>
      <c r="O506" s="9">
        <v>100</v>
      </c>
      <c r="P506" s="10">
        <f t="shared" si="139"/>
        <v>0</v>
      </c>
      <c r="Q506" s="12">
        <f t="shared" si="131"/>
        <v>639.30209199318563</v>
      </c>
      <c r="R506" s="11">
        <f t="shared" si="132"/>
        <v>21.729553476362859</v>
      </c>
      <c r="S506" s="6">
        <v>0</v>
      </c>
      <c r="T506" s="6">
        <v>0</v>
      </c>
      <c r="U506" s="6">
        <v>0</v>
      </c>
      <c r="V506" s="7">
        <v>0</v>
      </c>
      <c r="W506" s="9">
        <v>100</v>
      </c>
      <c r="X506" s="10">
        <f t="shared" si="140"/>
        <v>0</v>
      </c>
      <c r="Y506" s="12">
        <f t="shared" si="133"/>
        <v>639.30209199318563</v>
      </c>
      <c r="Z506" s="11">
        <f t="shared" si="134"/>
        <v>21.729553476362859</v>
      </c>
      <c r="AA506" s="6">
        <v>0</v>
      </c>
      <c r="AB506" s="6">
        <v>0</v>
      </c>
      <c r="AC506" s="6">
        <v>0</v>
      </c>
      <c r="AD506" s="7">
        <v>0</v>
      </c>
      <c r="AE506" s="9">
        <v>100</v>
      </c>
      <c r="AF506" s="10">
        <f t="shared" si="141"/>
        <v>0</v>
      </c>
      <c r="AG506" s="12">
        <f t="shared" si="135"/>
        <v>639.30209199318563</v>
      </c>
      <c r="AH506" s="11">
        <f t="shared" si="136"/>
        <v>21.729553476362859</v>
      </c>
      <c r="AJ506" s="6">
        <f t="shared" si="142"/>
        <v>1000</v>
      </c>
      <c r="AK506" s="4">
        <v>489</v>
      </c>
      <c r="AM506" s="2" t="str">
        <f t="shared" si="137"/>
        <v>0</v>
      </c>
      <c r="AN506" s="2" t="str">
        <f t="shared" si="143"/>
        <v>3E8</v>
      </c>
      <c r="AO506" s="2"/>
      <c r="AP506" s="2" t="str">
        <f t="shared" si="144"/>
        <v>03E8</v>
      </c>
    </row>
    <row r="507" spans="1:42" x14ac:dyDescent="0.2">
      <c r="A507">
        <v>490</v>
      </c>
      <c r="B507">
        <v>48.9</v>
      </c>
      <c r="C507" s="6">
        <v>0</v>
      </c>
      <c r="D507" s="6">
        <v>0</v>
      </c>
      <c r="E507" s="6">
        <v>0</v>
      </c>
      <c r="F507" s="7">
        <v>0</v>
      </c>
      <c r="G507" s="9">
        <v>100</v>
      </c>
      <c r="H507" s="10">
        <f t="shared" si="138"/>
        <v>0</v>
      </c>
      <c r="I507" s="12">
        <f t="shared" si="129"/>
        <v>639.30209199318563</v>
      </c>
      <c r="J507" s="11">
        <f t="shared" si="130"/>
        <v>21.729553476362859</v>
      </c>
      <c r="K507" s="6">
        <v>0</v>
      </c>
      <c r="L507" s="6">
        <v>0</v>
      </c>
      <c r="M507" s="6">
        <v>0</v>
      </c>
      <c r="N507" s="7">
        <v>0</v>
      </c>
      <c r="O507" s="9">
        <v>100</v>
      </c>
      <c r="P507" s="10">
        <f t="shared" si="139"/>
        <v>0</v>
      </c>
      <c r="Q507" s="12">
        <f t="shared" si="131"/>
        <v>639.30209199318563</v>
      </c>
      <c r="R507" s="11">
        <f t="shared" si="132"/>
        <v>21.729553476362859</v>
      </c>
      <c r="S507" s="6">
        <v>0</v>
      </c>
      <c r="T507" s="6">
        <v>0</v>
      </c>
      <c r="U507" s="6">
        <v>0</v>
      </c>
      <c r="V507" s="7">
        <v>0</v>
      </c>
      <c r="W507" s="9">
        <v>100</v>
      </c>
      <c r="X507" s="10">
        <f t="shared" si="140"/>
        <v>0</v>
      </c>
      <c r="Y507" s="12">
        <f t="shared" si="133"/>
        <v>639.30209199318563</v>
      </c>
      <c r="Z507" s="11">
        <f t="shared" si="134"/>
        <v>21.729553476362859</v>
      </c>
      <c r="AA507" s="6">
        <v>0</v>
      </c>
      <c r="AB507" s="6">
        <v>0</v>
      </c>
      <c r="AC507" s="6">
        <v>0</v>
      </c>
      <c r="AD507" s="7">
        <v>0</v>
      </c>
      <c r="AE507" s="9">
        <v>100</v>
      </c>
      <c r="AF507" s="10">
        <f t="shared" si="141"/>
        <v>0</v>
      </c>
      <c r="AG507" s="12">
        <f t="shared" si="135"/>
        <v>639.30209199318563</v>
      </c>
      <c r="AH507" s="11">
        <f t="shared" si="136"/>
        <v>21.729553476362859</v>
      </c>
      <c r="AJ507" s="6">
        <f t="shared" si="142"/>
        <v>1000</v>
      </c>
      <c r="AK507" s="4">
        <v>490</v>
      </c>
      <c r="AM507" s="2" t="str">
        <f t="shared" si="137"/>
        <v>0</v>
      </c>
      <c r="AN507" s="2" t="str">
        <f t="shared" si="143"/>
        <v>3E8</v>
      </c>
      <c r="AO507" s="2"/>
      <c r="AP507" s="2" t="str">
        <f t="shared" si="144"/>
        <v>03E8</v>
      </c>
    </row>
    <row r="508" spans="1:42" x14ac:dyDescent="0.2">
      <c r="A508">
        <v>491</v>
      </c>
      <c r="B508">
        <v>49</v>
      </c>
      <c r="C508" s="6">
        <v>0</v>
      </c>
      <c r="D508" s="6">
        <v>0</v>
      </c>
      <c r="E508" s="6">
        <v>0</v>
      </c>
      <c r="F508" s="7">
        <v>0</v>
      </c>
      <c r="G508" s="9">
        <v>100</v>
      </c>
      <c r="H508" s="10">
        <f t="shared" si="138"/>
        <v>0</v>
      </c>
      <c r="I508" s="12">
        <f t="shared" si="129"/>
        <v>639.30209199318563</v>
      </c>
      <c r="J508" s="11">
        <f t="shared" si="130"/>
        <v>21.729553476362859</v>
      </c>
      <c r="K508" s="6">
        <v>0</v>
      </c>
      <c r="L508" s="6">
        <v>0</v>
      </c>
      <c r="M508" s="6">
        <v>0</v>
      </c>
      <c r="N508" s="7">
        <v>0</v>
      </c>
      <c r="O508" s="9">
        <v>100</v>
      </c>
      <c r="P508" s="10">
        <f t="shared" si="139"/>
        <v>0</v>
      </c>
      <c r="Q508" s="12">
        <f t="shared" si="131"/>
        <v>639.30209199318563</v>
      </c>
      <c r="R508" s="11">
        <f t="shared" si="132"/>
        <v>21.729553476362859</v>
      </c>
      <c r="S508" s="6">
        <v>0</v>
      </c>
      <c r="T508" s="6">
        <v>0</v>
      </c>
      <c r="U508" s="6">
        <v>0</v>
      </c>
      <c r="V508" s="7">
        <v>0</v>
      </c>
      <c r="W508" s="9">
        <v>100</v>
      </c>
      <c r="X508" s="10">
        <f t="shared" si="140"/>
        <v>0</v>
      </c>
      <c r="Y508" s="12">
        <f t="shared" si="133"/>
        <v>639.30209199318563</v>
      </c>
      <c r="Z508" s="11">
        <f t="shared" si="134"/>
        <v>21.729553476362859</v>
      </c>
      <c r="AA508" s="6">
        <v>0</v>
      </c>
      <c r="AB508" s="6">
        <v>0</v>
      </c>
      <c r="AC508" s="6">
        <v>0</v>
      </c>
      <c r="AD508" s="7">
        <v>0</v>
      </c>
      <c r="AE508" s="9">
        <v>100</v>
      </c>
      <c r="AF508" s="10">
        <f t="shared" si="141"/>
        <v>0</v>
      </c>
      <c r="AG508" s="12">
        <f t="shared" si="135"/>
        <v>639.30209199318563</v>
      </c>
      <c r="AH508" s="11">
        <f t="shared" si="136"/>
        <v>21.729553476362859</v>
      </c>
      <c r="AJ508" s="6">
        <f t="shared" si="142"/>
        <v>1000</v>
      </c>
      <c r="AK508" s="4">
        <v>491</v>
      </c>
      <c r="AM508" s="2" t="str">
        <f t="shared" si="137"/>
        <v>0</v>
      </c>
      <c r="AN508" s="2" t="str">
        <f t="shared" si="143"/>
        <v>3E8</v>
      </c>
      <c r="AO508" s="2"/>
      <c r="AP508" s="2" t="str">
        <f t="shared" si="144"/>
        <v>03E8</v>
      </c>
    </row>
    <row r="509" spans="1:42" x14ac:dyDescent="0.2">
      <c r="A509">
        <v>492</v>
      </c>
      <c r="B509">
        <v>49.1</v>
      </c>
      <c r="C509" s="6">
        <v>0</v>
      </c>
      <c r="D509" s="6">
        <v>0</v>
      </c>
      <c r="E509" s="6">
        <v>0</v>
      </c>
      <c r="F509" s="7">
        <v>0</v>
      </c>
      <c r="G509" s="9">
        <v>100</v>
      </c>
      <c r="H509" s="10">
        <f t="shared" si="138"/>
        <v>0</v>
      </c>
      <c r="I509" s="12">
        <f t="shared" si="129"/>
        <v>639.30209199318563</v>
      </c>
      <c r="J509" s="11">
        <f t="shared" si="130"/>
        <v>21.729553476362859</v>
      </c>
      <c r="K509" s="6">
        <v>0</v>
      </c>
      <c r="L509" s="6">
        <v>0</v>
      </c>
      <c r="M509" s="6">
        <v>0</v>
      </c>
      <c r="N509" s="7">
        <v>0</v>
      </c>
      <c r="O509" s="9">
        <v>100</v>
      </c>
      <c r="P509" s="10">
        <f t="shared" si="139"/>
        <v>0</v>
      </c>
      <c r="Q509" s="12">
        <f t="shared" si="131"/>
        <v>639.30209199318563</v>
      </c>
      <c r="R509" s="11">
        <f t="shared" si="132"/>
        <v>21.729553476362859</v>
      </c>
      <c r="S509" s="6">
        <v>0</v>
      </c>
      <c r="T509" s="6">
        <v>0</v>
      </c>
      <c r="U509" s="6">
        <v>0</v>
      </c>
      <c r="V509" s="7">
        <v>0</v>
      </c>
      <c r="W509" s="9">
        <v>100</v>
      </c>
      <c r="X509" s="10">
        <f t="shared" si="140"/>
        <v>0</v>
      </c>
      <c r="Y509" s="12">
        <f t="shared" si="133"/>
        <v>639.30209199318563</v>
      </c>
      <c r="Z509" s="11">
        <f t="shared" si="134"/>
        <v>21.729553476362859</v>
      </c>
      <c r="AA509" s="6">
        <v>0</v>
      </c>
      <c r="AB509" s="6">
        <v>0</v>
      </c>
      <c r="AC509" s="6">
        <v>0</v>
      </c>
      <c r="AD509" s="7">
        <v>0</v>
      </c>
      <c r="AE509" s="9">
        <v>100</v>
      </c>
      <c r="AF509" s="10">
        <f t="shared" si="141"/>
        <v>0</v>
      </c>
      <c r="AG509" s="12">
        <f t="shared" si="135"/>
        <v>639.30209199318563</v>
      </c>
      <c r="AH509" s="11">
        <f t="shared" si="136"/>
        <v>21.729553476362859</v>
      </c>
      <c r="AJ509" s="6">
        <f t="shared" si="142"/>
        <v>1000</v>
      </c>
      <c r="AK509" s="4">
        <v>492</v>
      </c>
      <c r="AM509" s="2" t="str">
        <f t="shared" si="137"/>
        <v>0</v>
      </c>
      <c r="AN509" s="2" t="str">
        <f t="shared" si="143"/>
        <v>3E8</v>
      </c>
      <c r="AO509" s="2"/>
      <c r="AP509" s="2" t="str">
        <f t="shared" si="144"/>
        <v>03E8</v>
      </c>
    </row>
    <row r="510" spans="1:42" x14ac:dyDescent="0.2">
      <c r="A510">
        <v>493</v>
      </c>
      <c r="B510">
        <v>49.2</v>
      </c>
      <c r="C510" s="6">
        <v>0</v>
      </c>
      <c r="D510" s="6">
        <v>0</v>
      </c>
      <c r="E510" s="6">
        <v>0</v>
      </c>
      <c r="F510" s="7">
        <v>0</v>
      </c>
      <c r="G510" s="9">
        <v>100</v>
      </c>
      <c r="H510" s="10">
        <f t="shared" si="138"/>
        <v>0</v>
      </c>
      <c r="I510" s="12">
        <f t="shared" si="129"/>
        <v>639.30209199318563</v>
      </c>
      <c r="J510" s="11">
        <f t="shared" si="130"/>
        <v>21.729553476362859</v>
      </c>
      <c r="K510" s="6">
        <v>0</v>
      </c>
      <c r="L510" s="6">
        <v>0</v>
      </c>
      <c r="M510" s="6">
        <v>0</v>
      </c>
      <c r="N510" s="7">
        <v>0</v>
      </c>
      <c r="O510" s="9">
        <v>100</v>
      </c>
      <c r="P510" s="10">
        <f t="shared" si="139"/>
        <v>0</v>
      </c>
      <c r="Q510" s="12">
        <f t="shared" si="131"/>
        <v>639.30209199318563</v>
      </c>
      <c r="R510" s="11">
        <f t="shared" si="132"/>
        <v>21.729553476362859</v>
      </c>
      <c r="S510" s="6">
        <v>0</v>
      </c>
      <c r="T510" s="6">
        <v>0</v>
      </c>
      <c r="U510" s="6">
        <v>0</v>
      </c>
      <c r="V510" s="7">
        <v>0</v>
      </c>
      <c r="W510" s="9">
        <v>100</v>
      </c>
      <c r="X510" s="10">
        <f t="shared" si="140"/>
        <v>0</v>
      </c>
      <c r="Y510" s="12">
        <f t="shared" si="133"/>
        <v>639.30209199318563</v>
      </c>
      <c r="Z510" s="11">
        <f t="shared" si="134"/>
        <v>21.729553476362859</v>
      </c>
      <c r="AA510" s="6">
        <v>0</v>
      </c>
      <c r="AB510" s="6">
        <v>0</v>
      </c>
      <c r="AC510" s="6">
        <v>0</v>
      </c>
      <c r="AD510" s="7">
        <v>0</v>
      </c>
      <c r="AE510" s="9">
        <v>100</v>
      </c>
      <c r="AF510" s="10">
        <f t="shared" si="141"/>
        <v>0</v>
      </c>
      <c r="AG510" s="12">
        <f t="shared" si="135"/>
        <v>639.30209199318563</v>
      </c>
      <c r="AH510" s="11">
        <f t="shared" si="136"/>
        <v>21.729553476362859</v>
      </c>
      <c r="AJ510" s="6">
        <f t="shared" si="142"/>
        <v>1000</v>
      </c>
      <c r="AK510" s="4">
        <v>493</v>
      </c>
      <c r="AM510" s="2" t="str">
        <f t="shared" si="137"/>
        <v>0</v>
      </c>
      <c r="AN510" s="2" t="str">
        <f t="shared" si="143"/>
        <v>3E8</v>
      </c>
      <c r="AO510" s="2"/>
      <c r="AP510" s="2" t="str">
        <f t="shared" si="144"/>
        <v>03E8</v>
      </c>
    </row>
    <row r="511" spans="1:42" x14ac:dyDescent="0.2">
      <c r="A511">
        <v>494</v>
      </c>
      <c r="B511">
        <v>49.3</v>
      </c>
      <c r="C511" s="6">
        <v>0</v>
      </c>
      <c r="D511" s="6">
        <v>0</v>
      </c>
      <c r="E511" s="6">
        <v>0</v>
      </c>
      <c r="F511" s="7">
        <v>0</v>
      </c>
      <c r="G511" s="9">
        <v>100</v>
      </c>
      <c r="H511" s="10">
        <f t="shared" si="138"/>
        <v>0</v>
      </c>
      <c r="I511" s="12">
        <f t="shared" si="129"/>
        <v>639.30209199318563</v>
      </c>
      <c r="J511" s="11">
        <f t="shared" si="130"/>
        <v>21.729553476362859</v>
      </c>
      <c r="K511" s="6">
        <v>0</v>
      </c>
      <c r="L511" s="6">
        <v>0</v>
      </c>
      <c r="M511" s="6">
        <v>0</v>
      </c>
      <c r="N511" s="7">
        <v>0</v>
      </c>
      <c r="O511" s="9">
        <v>100</v>
      </c>
      <c r="P511" s="10">
        <f t="shared" si="139"/>
        <v>0</v>
      </c>
      <c r="Q511" s="12">
        <f t="shared" si="131"/>
        <v>639.30209199318563</v>
      </c>
      <c r="R511" s="11">
        <f t="shared" si="132"/>
        <v>21.729553476362859</v>
      </c>
      <c r="S511" s="6">
        <v>0</v>
      </c>
      <c r="T511" s="6">
        <v>0</v>
      </c>
      <c r="U511" s="6">
        <v>0</v>
      </c>
      <c r="V511" s="7">
        <v>0</v>
      </c>
      <c r="W511" s="9">
        <v>100</v>
      </c>
      <c r="X511" s="10">
        <f t="shared" si="140"/>
        <v>0</v>
      </c>
      <c r="Y511" s="12">
        <f t="shared" si="133"/>
        <v>639.30209199318563</v>
      </c>
      <c r="Z511" s="11">
        <f t="shared" si="134"/>
        <v>21.729553476362859</v>
      </c>
      <c r="AA511" s="6">
        <v>0</v>
      </c>
      <c r="AB511" s="6">
        <v>0</v>
      </c>
      <c r="AC511" s="6">
        <v>0</v>
      </c>
      <c r="AD511" s="7">
        <v>0</v>
      </c>
      <c r="AE511" s="9">
        <v>100</v>
      </c>
      <c r="AF511" s="10">
        <f t="shared" si="141"/>
        <v>0</v>
      </c>
      <c r="AG511" s="12">
        <f t="shared" si="135"/>
        <v>639.30209199318563</v>
      </c>
      <c r="AH511" s="11">
        <f t="shared" si="136"/>
        <v>21.729553476362859</v>
      </c>
      <c r="AJ511" s="6">
        <f t="shared" si="142"/>
        <v>1000</v>
      </c>
      <c r="AK511" s="4">
        <v>494</v>
      </c>
      <c r="AM511" s="2" t="str">
        <f t="shared" si="137"/>
        <v>0</v>
      </c>
      <c r="AN511" s="2" t="str">
        <f t="shared" si="143"/>
        <v>3E8</v>
      </c>
      <c r="AO511" s="2"/>
      <c r="AP511" s="2" t="str">
        <f t="shared" si="144"/>
        <v>03E8</v>
      </c>
    </row>
    <row r="512" spans="1:42" x14ac:dyDescent="0.2">
      <c r="A512">
        <v>495</v>
      </c>
      <c r="B512">
        <v>49.4</v>
      </c>
      <c r="C512" s="6">
        <v>0</v>
      </c>
      <c r="D512" s="6">
        <v>0</v>
      </c>
      <c r="E512" s="6">
        <v>0</v>
      </c>
      <c r="F512" s="7">
        <v>0</v>
      </c>
      <c r="G512" s="9">
        <v>100</v>
      </c>
      <c r="H512" s="10">
        <f t="shared" si="138"/>
        <v>0</v>
      </c>
      <c r="I512" s="12">
        <f t="shared" si="129"/>
        <v>639.30209199318563</v>
      </c>
      <c r="J512" s="11">
        <f t="shared" si="130"/>
        <v>21.729553476362859</v>
      </c>
      <c r="K512" s="6">
        <v>0</v>
      </c>
      <c r="L512" s="6">
        <v>0</v>
      </c>
      <c r="M512" s="6">
        <v>0</v>
      </c>
      <c r="N512" s="7">
        <v>0</v>
      </c>
      <c r="O512" s="9">
        <v>100</v>
      </c>
      <c r="P512" s="10">
        <f t="shared" si="139"/>
        <v>0</v>
      </c>
      <c r="Q512" s="12">
        <f t="shared" si="131"/>
        <v>639.30209199318563</v>
      </c>
      <c r="R512" s="11">
        <f t="shared" si="132"/>
        <v>21.729553476362859</v>
      </c>
      <c r="S512" s="6">
        <v>0</v>
      </c>
      <c r="T512" s="6">
        <v>0</v>
      </c>
      <c r="U512" s="6">
        <v>0</v>
      </c>
      <c r="V512" s="7">
        <v>0</v>
      </c>
      <c r="W512" s="9">
        <v>100</v>
      </c>
      <c r="X512" s="10">
        <f t="shared" si="140"/>
        <v>0</v>
      </c>
      <c r="Y512" s="12">
        <f t="shared" si="133"/>
        <v>639.30209199318563</v>
      </c>
      <c r="Z512" s="11">
        <f t="shared" si="134"/>
        <v>21.729553476362859</v>
      </c>
      <c r="AA512" s="6">
        <v>0</v>
      </c>
      <c r="AB512" s="6">
        <v>0</v>
      </c>
      <c r="AC512" s="6">
        <v>0</v>
      </c>
      <c r="AD512" s="7">
        <v>0</v>
      </c>
      <c r="AE512" s="9">
        <v>100</v>
      </c>
      <c r="AF512" s="10">
        <f t="shared" si="141"/>
        <v>0</v>
      </c>
      <c r="AG512" s="12">
        <f t="shared" si="135"/>
        <v>639.30209199318563</v>
      </c>
      <c r="AH512" s="11">
        <f t="shared" si="136"/>
        <v>21.729553476362859</v>
      </c>
      <c r="AJ512" s="6">
        <f t="shared" si="142"/>
        <v>1000</v>
      </c>
      <c r="AK512" s="4">
        <v>495</v>
      </c>
      <c r="AM512" s="2" t="str">
        <f t="shared" si="137"/>
        <v>0</v>
      </c>
      <c r="AN512" s="2" t="str">
        <f t="shared" si="143"/>
        <v>3E8</v>
      </c>
      <c r="AO512" s="2"/>
      <c r="AP512" s="2" t="str">
        <f t="shared" si="144"/>
        <v>03E8</v>
      </c>
    </row>
    <row r="513" spans="1:42" x14ac:dyDescent="0.2">
      <c r="A513">
        <v>496</v>
      </c>
      <c r="B513">
        <v>49.5</v>
      </c>
      <c r="C513" s="6">
        <v>0</v>
      </c>
      <c r="D513" s="6">
        <v>0</v>
      </c>
      <c r="E513" s="6">
        <v>0</v>
      </c>
      <c r="F513" s="7">
        <v>0</v>
      </c>
      <c r="G513" s="9">
        <v>100</v>
      </c>
      <c r="H513" s="10">
        <f t="shared" si="138"/>
        <v>0</v>
      </c>
      <c r="I513" s="12">
        <f t="shared" si="129"/>
        <v>639.30209199318563</v>
      </c>
      <c r="J513" s="11">
        <f t="shared" si="130"/>
        <v>21.729553476362859</v>
      </c>
      <c r="K513" s="6">
        <v>0</v>
      </c>
      <c r="L513" s="6">
        <v>0</v>
      </c>
      <c r="M513" s="6">
        <v>0</v>
      </c>
      <c r="N513" s="7">
        <v>0</v>
      </c>
      <c r="O513" s="9">
        <v>100</v>
      </c>
      <c r="P513" s="10">
        <f t="shared" si="139"/>
        <v>0</v>
      </c>
      <c r="Q513" s="12">
        <f t="shared" si="131"/>
        <v>639.30209199318563</v>
      </c>
      <c r="R513" s="11">
        <f t="shared" si="132"/>
        <v>21.729553476362859</v>
      </c>
      <c r="S513" s="6">
        <v>0</v>
      </c>
      <c r="T513" s="6">
        <v>0</v>
      </c>
      <c r="U513" s="6">
        <v>0</v>
      </c>
      <c r="V513" s="7">
        <v>0</v>
      </c>
      <c r="W513" s="9">
        <v>100</v>
      </c>
      <c r="X513" s="10">
        <f t="shared" si="140"/>
        <v>0</v>
      </c>
      <c r="Y513" s="12">
        <f t="shared" si="133"/>
        <v>639.30209199318563</v>
      </c>
      <c r="Z513" s="11">
        <f t="shared" si="134"/>
        <v>21.729553476362859</v>
      </c>
      <c r="AA513" s="6">
        <v>0</v>
      </c>
      <c r="AB513" s="6">
        <v>0</v>
      </c>
      <c r="AC513" s="6">
        <v>0</v>
      </c>
      <c r="AD513" s="7">
        <v>0</v>
      </c>
      <c r="AE513" s="9">
        <v>100</v>
      </c>
      <c r="AF513" s="10">
        <f t="shared" si="141"/>
        <v>0</v>
      </c>
      <c r="AG513" s="12">
        <f t="shared" si="135"/>
        <v>639.30209199318563</v>
      </c>
      <c r="AH513" s="11">
        <f t="shared" si="136"/>
        <v>21.729553476362859</v>
      </c>
      <c r="AJ513" s="6">
        <f t="shared" si="142"/>
        <v>1000</v>
      </c>
      <c r="AK513" s="4">
        <v>496</v>
      </c>
      <c r="AM513" s="2" t="str">
        <f t="shared" si="137"/>
        <v>0</v>
      </c>
      <c r="AN513" s="2" t="str">
        <f t="shared" si="143"/>
        <v>3E8</v>
      </c>
      <c r="AO513" s="2"/>
      <c r="AP513" s="2" t="str">
        <f t="shared" si="144"/>
        <v>03E8</v>
      </c>
    </row>
    <row r="514" spans="1:42" x14ac:dyDescent="0.2">
      <c r="A514">
        <v>497</v>
      </c>
      <c r="B514">
        <v>49.6</v>
      </c>
      <c r="C514" s="6">
        <v>0</v>
      </c>
      <c r="D514" s="6">
        <v>0</v>
      </c>
      <c r="E514" s="6">
        <v>0</v>
      </c>
      <c r="F514" s="7">
        <v>0</v>
      </c>
      <c r="G514" s="9">
        <v>100</v>
      </c>
      <c r="H514" s="10">
        <f t="shared" si="138"/>
        <v>0</v>
      </c>
      <c r="I514" s="12">
        <f t="shared" si="129"/>
        <v>639.30209199318563</v>
      </c>
      <c r="J514" s="11">
        <f t="shared" si="130"/>
        <v>21.729553476362859</v>
      </c>
      <c r="K514" s="6">
        <v>0</v>
      </c>
      <c r="L514" s="6">
        <v>0</v>
      </c>
      <c r="M514" s="6">
        <v>0</v>
      </c>
      <c r="N514" s="7">
        <v>0</v>
      </c>
      <c r="O514" s="9">
        <v>100</v>
      </c>
      <c r="P514" s="10">
        <f t="shared" si="139"/>
        <v>0</v>
      </c>
      <c r="Q514" s="12">
        <f t="shared" si="131"/>
        <v>639.30209199318563</v>
      </c>
      <c r="R514" s="11">
        <f t="shared" si="132"/>
        <v>21.729553476362859</v>
      </c>
      <c r="S514" s="6">
        <v>0</v>
      </c>
      <c r="T514" s="6">
        <v>0</v>
      </c>
      <c r="U514" s="6">
        <v>0</v>
      </c>
      <c r="V514" s="7">
        <v>0</v>
      </c>
      <c r="W514" s="9">
        <v>100</v>
      </c>
      <c r="X514" s="10">
        <f t="shared" si="140"/>
        <v>0</v>
      </c>
      <c r="Y514" s="12">
        <f t="shared" si="133"/>
        <v>639.30209199318563</v>
      </c>
      <c r="Z514" s="11">
        <f t="shared" si="134"/>
        <v>21.729553476362859</v>
      </c>
      <c r="AA514" s="6">
        <v>0</v>
      </c>
      <c r="AB514" s="6">
        <v>0</v>
      </c>
      <c r="AC514" s="6">
        <v>0</v>
      </c>
      <c r="AD514" s="7">
        <v>0</v>
      </c>
      <c r="AE514" s="9">
        <v>100</v>
      </c>
      <c r="AF514" s="10">
        <f t="shared" si="141"/>
        <v>0</v>
      </c>
      <c r="AG514" s="12">
        <f t="shared" si="135"/>
        <v>639.30209199318563</v>
      </c>
      <c r="AH514" s="11">
        <f t="shared" si="136"/>
        <v>21.729553476362859</v>
      </c>
      <c r="AJ514" s="6">
        <f t="shared" si="142"/>
        <v>1000</v>
      </c>
      <c r="AK514" s="4">
        <v>497</v>
      </c>
      <c r="AM514" s="2" t="str">
        <f t="shared" si="137"/>
        <v>0</v>
      </c>
      <c r="AN514" s="2" t="str">
        <f t="shared" si="143"/>
        <v>3E8</v>
      </c>
      <c r="AO514" s="2"/>
      <c r="AP514" s="2" t="str">
        <f t="shared" si="144"/>
        <v>03E8</v>
      </c>
    </row>
    <row r="515" spans="1:42" x14ac:dyDescent="0.2">
      <c r="A515">
        <v>498</v>
      </c>
      <c r="B515">
        <v>49.7</v>
      </c>
      <c r="C515" s="6">
        <v>0</v>
      </c>
      <c r="D515" s="6">
        <v>0</v>
      </c>
      <c r="E515" s="6">
        <v>0</v>
      </c>
      <c r="F515" s="7">
        <v>0</v>
      </c>
      <c r="G515" s="9">
        <v>100</v>
      </c>
      <c r="H515" s="10">
        <f t="shared" si="138"/>
        <v>0</v>
      </c>
      <c r="I515" s="12">
        <f t="shared" si="129"/>
        <v>639.30209199318563</v>
      </c>
      <c r="J515" s="11">
        <f t="shared" si="130"/>
        <v>21.729553476362859</v>
      </c>
      <c r="K515" s="6">
        <v>0</v>
      </c>
      <c r="L515" s="6">
        <v>0</v>
      </c>
      <c r="M515" s="6">
        <v>0</v>
      </c>
      <c r="N515" s="7">
        <v>0</v>
      </c>
      <c r="O515" s="9">
        <v>100</v>
      </c>
      <c r="P515" s="10">
        <f t="shared" si="139"/>
        <v>0</v>
      </c>
      <c r="Q515" s="12">
        <f t="shared" si="131"/>
        <v>639.30209199318563</v>
      </c>
      <c r="R515" s="11">
        <f t="shared" si="132"/>
        <v>21.729553476362859</v>
      </c>
      <c r="S515" s="6">
        <v>0</v>
      </c>
      <c r="T515" s="6">
        <v>0</v>
      </c>
      <c r="U515" s="6">
        <v>0</v>
      </c>
      <c r="V515" s="7">
        <v>0</v>
      </c>
      <c r="W515" s="9">
        <v>100</v>
      </c>
      <c r="X515" s="10">
        <f t="shared" si="140"/>
        <v>0</v>
      </c>
      <c r="Y515" s="12">
        <f t="shared" si="133"/>
        <v>639.30209199318563</v>
      </c>
      <c r="Z515" s="11">
        <f t="shared" si="134"/>
        <v>21.729553476362859</v>
      </c>
      <c r="AA515" s="6">
        <v>0</v>
      </c>
      <c r="AB515" s="6">
        <v>0</v>
      </c>
      <c r="AC515" s="6">
        <v>0</v>
      </c>
      <c r="AD515" s="7">
        <v>0</v>
      </c>
      <c r="AE515" s="9">
        <v>100</v>
      </c>
      <c r="AF515" s="10">
        <f t="shared" si="141"/>
        <v>0</v>
      </c>
      <c r="AG515" s="12">
        <f t="shared" si="135"/>
        <v>639.30209199318563</v>
      </c>
      <c r="AH515" s="11">
        <f t="shared" si="136"/>
        <v>21.729553476362859</v>
      </c>
      <c r="AJ515" s="6">
        <f t="shared" si="142"/>
        <v>1000</v>
      </c>
      <c r="AK515" s="4">
        <v>498</v>
      </c>
      <c r="AM515" s="2" t="str">
        <f t="shared" si="137"/>
        <v>0</v>
      </c>
      <c r="AN515" s="2" t="str">
        <f t="shared" si="143"/>
        <v>3E8</v>
      </c>
      <c r="AO515" s="2"/>
      <c r="AP515" s="2" t="str">
        <f t="shared" si="144"/>
        <v>03E8</v>
      </c>
    </row>
    <row r="516" spans="1:42" x14ac:dyDescent="0.2">
      <c r="A516">
        <v>499</v>
      </c>
      <c r="B516">
        <v>49.8</v>
      </c>
      <c r="C516" s="6">
        <v>0</v>
      </c>
      <c r="D516" s="6">
        <v>0</v>
      </c>
      <c r="E516" s="6">
        <v>0</v>
      </c>
      <c r="F516" s="7">
        <v>0</v>
      </c>
      <c r="G516" s="9">
        <v>100</v>
      </c>
      <c r="H516" s="10">
        <f t="shared" si="138"/>
        <v>0</v>
      </c>
      <c r="I516" s="12">
        <f t="shared" si="129"/>
        <v>639.30209199318563</v>
      </c>
      <c r="J516" s="11">
        <f t="shared" si="130"/>
        <v>21.729553476362859</v>
      </c>
      <c r="K516" s="6">
        <v>0</v>
      </c>
      <c r="L516" s="6">
        <v>0</v>
      </c>
      <c r="M516" s="6">
        <v>0</v>
      </c>
      <c r="N516" s="7">
        <v>0</v>
      </c>
      <c r="O516" s="9">
        <v>100</v>
      </c>
      <c r="P516" s="10">
        <f t="shared" si="139"/>
        <v>0</v>
      </c>
      <c r="Q516" s="12">
        <f t="shared" si="131"/>
        <v>639.30209199318563</v>
      </c>
      <c r="R516" s="11">
        <f t="shared" si="132"/>
        <v>21.729553476362859</v>
      </c>
      <c r="S516" s="6">
        <v>0</v>
      </c>
      <c r="T516" s="6">
        <v>0</v>
      </c>
      <c r="U516" s="6">
        <v>0</v>
      </c>
      <c r="V516" s="7">
        <v>0</v>
      </c>
      <c r="W516" s="9">
        <v>100</v>
      </c>
      <c r="X516" s="10">
        <f t="shared" si="140"/>
        <v>0</v>
      </c>
      <c r="Y516" s="12">
        <f t="shared" si="133"/>
        <v>639.30209199318563</v>
      </c>
      <c r="Z516" s="11">
        <f t="shared" si="134"/>
        <v>21.729553476362859</v>
      </c>
      <c r="AA516" s="6">
        <v>0</v>
      </c>
      <c r="AB516" s="6">
        <v>0</v>
      </c>
      <c r="AC516" s="6">
        <v>0</v>
      </c>
      <c r="AD516" s="7">
        <v>0</v>
      </c>
      <c r="AE516" s="9">
        <v>100</v>
      </c>
      <c r="AF516" s="10">
        <f t="shared" si="141"/>
        <v>0</v>
      </c>
      <c r="AG516" s="12">
        <f t="shared" si="135"/>
        <v>639.30209199318563</v>
      </c>
      <c r="AH516" s="11">
        <f t="shared" si="136"/>
        <v>21.729553476362859</v>
      </c>
      <c r="AJ516" s="6">
        <f t="shared" si="142"/>
        <v>1000</v>
      </c>
      <c r="AK516" s="4">
        <v>499</v>
      </c>
      <c r="AM516" s="2" t="str">
        <f t="shared" si="137"/>
        <v>0</v>
      </c>
      <c r="AN516" s="2" t="str">
        <f t="shared" si="143"/>
        <v>3E8</v>
      </c>
      <c r="AO516" s="2"/>
      <c r="AP516" s="2" t="str">
        <f t="shared" si="144"/>
        <v>03E8</v>
      </c>
    </row>
    <row r="517" spans="1:42" x14ac:dyDescent="0.2">
      <c r="A517">
        <v>500</v>
      </c>
      <c r="B517">
        <v>49.9</v>
      </c>
      <c r="C517" s="6">
        <v>0</v>
      </c>
      <c r="D517" s="6">
        <v>0</v>
      </c>
      <c r="E517" s="6">
        <v>0</v>
      </c>
      <c r="F517" s="7">
        <v>0</v>
      </c>
      <c r="G517" s="9">
        <v>100</v>
      </c>
      <c r="H517" s="10">
        <f t="shared" si="138"/>
        <v>0</v>
      </c>
      <c r="I517" s="12">
        <f t="shared" si="129"/>
        <v>639.30209199318563</v>
      </c>
      <c r="J517" s="11">
        <f t="shared" si="130"/>
        <v>21.729553476362859</v>
      </c>
      <c r="K517" s="6">
        <v>0</v>
      </c>
      <c r="L517" s="6">
        <v>0</v>
      </c>
      <c r="M517" s="6">
        <v>0</v>
      </c>
      <c r="N517" s="7">
        <v>0</v>
      </c>
      <c r="O517" s="9">
        <v>100</v>
      </c>
      <c r="P517" s="10">
        <f t="shared" si="139"/>
        <v>0</v>
      </c>
      <c r="Q517" s="12">
        <f t="shared" si="131"/>
        <v>639.30209199318563</v>
      </c>
      <c r="R517" s="11">
        <f t="shared" si="132"/>
        <v>21.729553476362859</v>
      </c>
      <c r="S517" s="6">
        <v>0</v>
      </c>
      <c r="T517" s="6">
        <v>0</v>
      </c>
      <c r="U517" s="6">
        <v>0</v>
      </c>
      <c r="V517" s="7">
        <v>0</v>
      </c>
      <c r="W517" s="9">
        <v>100</v>
      </c>
      <c r="X517" s="10">
        <f t="shared" si="140"/>
        <v>0</v>
      </c>
      <c r="Y517" s="12">
        <f t="shared" si="133"/>
        <v>639.30209199318563</v>
      </c>
      <c r="Z517" s="11">
        <f t="shared" si="134"/>
        <v>21.729553476362859</v>
      </c>
      <c r="AA517" s="6">
        <v>0</v>
      </c>
      <c r="AB517" s="6">
        <v>0</v>
      </c>
      <c r="AC517" s="6">
        <v>0</v>
      </c>
      <c r="AD517" s="7">
        <v>0</v>
      </c>
      <c r="AE517" s="9">
        <v>100</v>
      </c>
      <c r="AF517" s="10">
        <f t="shared" si="141"/>
        <v>0</v>
      </c>
      <c r="AG517" s="12">
        <f t="shared" si="135"/>
        <v>639.30209199318563</v>
      </c>
      <c r="AH517" s="11">
        <f t="shared" si="136"/>
        <v>21.729553476362859</v>
      </c>
      <c r="AJ517" s="6">
        <f t="shared" si="142"/>
        <v>1000</v>
      </c>
      <c r="AK517" s="4">
        <v>500</v>
      </c>
      <c r="AM517" s="2" t="str">
        <f t="shared" si="137"/>
        <v>0</v>
      </c>
      <c r="AN517" s="2" t="str">
        <f t="shared" si="143"/>
        <v>3E8</v>
      </c>
      <c r="AO517" s="2"/>
      <c r="AP517" s="2" t="str">
        <f t="shared" si="144"/>
        <v>03E8</v>
      </c>
    </row>
    <row r="518" spans="1:42" x14ac:dyDescent="0.2">
      <c r="A518">
        <v>501</v>
      </c>
      <c r="B518">
        <v>50</v>
      </c>
      <c r="C518" s="6">
        <v>0</v>
      </c>
      <c r="D518" s="6">
        <v>0</v>
      </c>
      <c r="E518" s="6">
        <v>0</v>
      </c>
      <c r="F518" s="7">
        <v>0</v>
      </c>
      <c r="G518" s="9">
        <v>100</v>
      </c>
      <c r="H518" s="10">
        <f t="shared" si="138"/>
        <v>0</v>
      </c>
      <c r="I518" s="12">
        <f t="shared" si="129"/>
        <v>639.30209199318563</v>
      </c>
      <c r="J518" s="11">
        <f t="shared" si="130"/>
        <v>21.729553476362859</v>
      </c>
      <c r="K518" s="6">
        <v>0</v>
      </c>
      <c r="L518" s="6">
        <v>0</v>
      </c>
      <c r="M518" s="6">
        <v>0</v>
      </c>
      <c r="N518" s="7">
        <v>0</v>
      </c>
      <c r="O518" s="9">
        <v>100</v>
      </c>
      <c r="P518" s="10">
        <f t="shared" si="139"/>
        <v>0</v>
      </c>
      <c r="Q518" s="12">
        <f t="shared" si="131"/>
        <v>639.30209199318563</v>
      </c>
      <c r="R518" s="11">
        <f t="shared" si="132"/>
        <v>21.729553476362859</v>
      </c>
      <c r="S518" s="6">
        <v>0</v>
      </c>
      <c r="T518" s="6">
        <v>0</v>
      </c>
      <c r="U518" s="6">
        <v>0</v>
      </c>
      <c r="V518" s="7">
        <v>0</v>
      </c>
      <c r="W518" s="9">
        <v>100</v>
      </c>
      <c r="X518" s="10">
        <f t="shared" si="140"/>
        <v>0</v>
      </c>
      <c r="Y518" s="12">
        <f t="shared" si="133"/>
        <v>639.30209199318563</v>
      </c>
      <c r="Z518" s="11">
        <f t="shared" si="134"/>
        <v>21.729553476362859</v>
      </c>
      <c r="AA518" s="6">
        <v>0</v>
      </c>
      <c r="AB518" s="6">
        <v>0</v>
      </c>
      <c r="AC518" s="6">
        <v>0</v>
      </c>
      <c r="AD518" s="7">
        <v>0</v>
      </c>
      <c r="AE518" s="9">
        <v>100</v>
      </c>
      <c r="AF518" s="10">
        <f t="shared" si="141"/>
        <v>0</v>
      </c>
      <c r="AG518" s="12">
        <f t="shared" si="135"/>
        <v>639.30209199318563</v>
      </c>
      <c r="AH518" s="11">
        <f t="shared" si="136"/>
        <v>21.729553476362859</v>
      </c>
      <c r="AJ518" s="6">
        <f t="shared" si="142"/>
        <v>1000</v>
      </c>
      <c r="AK518" s="4">
        <v>501</v>
      </c>
      <c r="AM518" s="2" t="str">
        <f t="shared" si="137"/>
        <v>0</v>
      </c>
      <c r="AN518" s="2" t="str">
        <f t="shared" si="143"/>
        <v>3E8</v>
      </c>
      <c r="AO518" s="2"/>
      <c r="AP518" s="2" t="str">
        <f t="shared" si="144"/>
        <v>03E8</v>
      </c>
    </row>
    <row r="519" spans="1:42" x14ac:dyDescent="0.2">
      <c r="A519">
        <v>502</v>
      </c>
      <c r="B519">
        <v>50.1</v>
      </c>
      <c r="C519" s="6">
        <v>0</v>
      </c>
      <c r="D519" s="6">
        <v>0</v>
      </c>
      <c r="E519" s="6">
        <v>0</v>
      </c>
      <c r="F519" s="7">
        <v>0</v>
      </c>
      <c r="G519" s="9">
        <v>100</v>
      </c>
      <c r="H519" s="10">
        <f t="shared" si="138"/>
        <v>0</v>
      </c>
      <c r="I519" s="12">
        <f t="shared" si="129"/>
        <v>639.30209199318563</v>
      </c>
      <c r="J519" s="11">
        <f t="shared" si="130"/>
        <v>21.729553476362859</v>
      </c>
      <c r="K519" s="6">
        <v>0</v>
      </c>
      <c r="L519" s="6">
        <v>0</v>
      </c>
      <c r="M519" s="6">
        <v>0</v>
      </c>
      <c r="N519" s="7">
        <v>0</v>
      </c>
      <c r="O519" s="9">
        <v>100</v>
      </c>
      <c r="P519" s="10">
        <f t="shared" si="139"/>
        <v>0</v>
      </c>
      <c r="Q519" s="12">
        <f t="shared" si="131"/>
        <v>639.30209199318563</v>
      </c>
      <c r="R519" s="11">
        <f t="shared" si="132"/>
        <v>21.729553476362859</v>
      </c>
      <c r="S519" s="6">
        <v>0</v>
      </c>
      <c r="T519" s="6">
        <v>0</v>
      </c>
      <c r="U519" s="6">
        <v>0</v>
      </c>
      <c r="V519" s="7">
        <v>0</v>
      </c>
      <c r="W519" s="9">
        <v>100</v>
      </c>
      <c r="X519" s="10">
        <f t="shared" si="140"/>
        <v>0</v>
      </c>
      <c r="Y519" s="12">
        <f t="shared" si="133"/>
        <v>639.30209199318563</v>
      </c>
      <c r="Z519" s="11">
        <f t="shared" si="134"/>
        <v>21.729553476362859</v>
      </c>
      <c r="AA519" s="6">
        <v>0</v>
      </c>
      <c r="AB519" s="6">
        <v>0</v>
      </c>
      <c r="AC519" s="6">
        <v>0</v>
      </c>
      <c r="AD519" s="7">
        <v>0</v>
      </c>
      <c r="AE519" s="9">
        <v>100</v>
      </c>
      <c r="AF519" s="10">
        <f t="shared" si="141"/>
        <v>0</v>
      </c>
      <c r="AG519" s="12">
        <f t="shared" si="135"/>
        <v>639.30209199318563</v>
      </c>
      <c r="AH519" s="11">
        <f t="shared" si="136"/>
        <v>21.729553476362859</v>
      </c>
      <c r="AJ519" s="6">
        <f t="shared" si="142"/>
        <v>1000</v>
      </c>
      <c r="AK519" s="4">
        <v>502</v>
      </c>
      <c r="AM519" s="2" t="str">
        <f t="shared" si="137"/>
        <v>0</v>
      </c>
      <c r="AN519" s="2" t="str">
        <f t="shared" si="143"/>
        <v>3E8</v>
      </c>
      <c r="AO519" s="2"/>
      <c r="AP519" s="2" t="str">
        <f t="shared" ref="AP519:AP529" si="145">CONCATENATE(AM519,AN519)</f>
        <v>03E8</v>
      </c>
    </row>
    <row r="520" spans="1:42" x14ac:dyDescent="0.2">
      <c r="A520">
        <v>503</v>
      </c>
      <c r="B520">
        <v>50.2</v>
      </c>
      <c r="C520" s="6">
        <v>0</v>
      </c>
      <c r="D520" s="6">
        <v>0</v>
      </c>
      <c r="E520" s="6">
        <v>0</v>
      </c>
      <c r="F520" s="7">
        <v>0</v>
      </c>
      <c r="G520" s="9">
        <v>100</v>
      </c>
      <c r="H520" s="10">
        <f t="shared" si="138"/>
        <v>0</v>
      </c>
      <c r="I520" s="12">
        <f t="shared" si="129"/>
        <v>639.30209199318563</v>
      </c>
      <c r="J520" s="11">
        <f t="shared" si="130"/>
        <v>21.729553476362859</v>
      </c>
      <c r="K520" s="6">
        <v>0</v>
      </c>
      <c r="L520" s="6">
        <v>0</v>
      </c>
      <c r="M520" s="6">
        <v>0</v>
      </c>
      <c r="N520" s="7">
        <v>0</v>
      </c>
      <c r="O520" s="9">
        <v>100</v>
      </c>
      <c r="P520" s="10">
        <f t="shared" si="139"/>
        <v>0</v>
      </c>
      <c r="Q520" s="12">
        <f t="shared" si="131"/>
        <v>639.30209199318563</v>
      </c>
      <c r="R520" s="11">
        <f t="shared" si="132"/>
        <v>21.729553476362859</v>
      </c>
      <c r="S520" s="6">
        <v>0</v>
      </c>
      <c r="T520" s="6">
        <v>0</v>
      </c>
      <c r="U520" s="6">
        <v>0</v>
      </c>
      <c r="V520" s="7">
        <v>0</v>
      </c>
      <c r="W520" s="9">
        <v>100</v>
      </c>
      <c r="X520" s="10">
        <f t="shared" si="140"/>
        <v>0</v>
      </c>
      <c r="Y520" s="12">
        <f t="shared" si="133"/>
        <v>639.30209199318563</v>
      </c>
      <c r="Z520" s="11">
        <f t="shared" si="134"/>
        <v>21.729553476362859</v>
      </c>
      <c r="AA520" s="6">
        <v>0</v>
      </c>
      <c r="AB520" s="6">
        <v>0</v>
      </c>
      <c r="AC520" s="6">
        <v>0</v>
      </c>
      <c r="AD520" s="7">
        <v>0</v>
      </c>
      <c r="AE520" s="9">
        <v>100</v>
      </c>
      <c r="AF520" s="10">
        <f t="shared" si="141"/>
        <v>0</v>
      </c>
      <c r="AG520" s="12">
        <f t="shared" si="135"/>
        <v>639.30209199318563</v>
      </c>
      <c r="AH520" s="11">
        <f t="shared" si="136"/>
        <v>21.729553476362859</v>
      </c>
      <c r="AJ520" s="6">
        <f t="shared" si="142"/>
        <v>1000</v>
      </c>
      <c r="AK520" s="4">
        <v>503</v>
      </c>
      <c r="AM520" s="2" t="str">
        <f t="shared" si="137"/>
        <v>0</v>
      </c>
      <c r="AN520" s="2" t="str">
        <f t="shared" si="143"/>
        <v>3E8</v>
      </c>
      <c r="AO520" s="2"/>
      <c r="AP520" s="2" t="str">
        <f t="shared" si="145"/>
        <v>03E8</v>
      </c>
    </row>
    <row r="521" spans="1:42" x14ac:dyDescent="0.2">
      <c r="A521">
        <v>504</v>
      </c>
      <c r="B521">
        <v>50.3</v>
      </c>
      <c r="C521" s="6">
        <v>0</v>
      </c>
      <c r="D521" s="6">
        <v>0</v>
      </c>
      <c r="E521" s="6">
        <v>0</v>
      </c>
      <c r="F521" s="7">
        <v>0</v>
      </c>
      <c r="G521" s="9">
        <v>100</v>
      </c>
      <c r="H521" s="10">
        <f t="shared" si="138"/>
        <v>0</v>
      </c>
      <c r="I521" s="12">
        <f t="shared" si="129"/>
        <v>639.30209199318563</v>
      </c>
      <c r="J521" s="11">
        <f t="shared" si="130"/>
        <v>21.729553476362859</v>
      </c>
      <c r="K521" s="6">
        <v>0</v>
      </c>
      <c r="L521" s="6">
        <v>0</v>
      </c>
      <c r="M521" s="6">
        <v>0</v>
      </c>
      <c r="N521" s="7">
        <v>0</v>
      </c>
      <c r="O521" s="9">
        <v>100</v>
      </c>
      <c r="P521" s="10">
        <f t="shared" si="139"/>
        <v>0</v>
      </c>
      <c r="Q521" s="12">
        <f t="shared" si="131"/>
        <v>639.30209199318563</v>
      </c>
      <c r="R521" s="11">
        <f t="shared" si="132"/>
        <v>21.729553476362859</v>
      </c>
      <c r="S521" s="6">
        <v>0</v>
      </c>
      <c r="T521" s="6">
        <v>0</v>
      </c>
      <c r="U521" s="6">
        <v>0</v>
      </c>
      <c r="V521" s="7">
        <v>0</v>
      </c>
      <c r="W521" s="9">
        <v>100</v>
      </c>
      <c r="X521" s="10">
        <f t="shared" si="140"/>
        <v>0</v>
      </c>
      <c r="Y521" s="12">
        <f t="shared" si="133"/>
        <v>639.30209199318563</v>
      </c>
      <c r="Z521" s="11">
        <f t="shared" si="134"/>
        <v>21.729553476362859</v>
      </c>
      <c r="AA521" s="6">
        <v>0</v>
      </c>
      <c r="AB521" s="6">
        <v>0</v>
      </c>
      <c r="AC521" s="6">
        <v>0</v>
      </c>
      <c r="AD521" s="7">
        <v>0</v>
      </c>
      <c r="AE521" s="9">
        <v>100</v>
      </c>
      <c r="AF521" s="10">
        <f t="shared" si="141"/>
        <v>0</v>
      </c>
      <c r="AG521" s="12">
        <f t="shared" si="135"/>
        <v>639.30209199318563</v>
      </c>
      <c r="AH521" s="11">
        <f t="shared" si="136"/>
        <v>21.729553476362859</v>
      </c>
      <c r="AJ521" s="6">
        <f t="shared" si="142"/>
        <v>1000</v>
      </c>
      <c r="AK521" s="4">
        <v>504</v>
      </c>
      <c r="AM521" s="2" t="str">
        <f t="shared" si="137"/>
        <v>0</v>
      </c>
      <c r="AN521" s="2" t="str">
        <f t="shared" si="143"/>
        <v>3E8</v>
      </c>
      <c r="AO521" s="2"/>
      <c r="AP521" s="2" t="str">
        <f t="shared" si="145"/>
        <v>03E8</v>
      </c>
    </row>
    <row r="522" spans="1:42" x14ac:dyDescent="0.2">
      <c r="A522">
        <v>505</v>
      </c>
      <c r="B522">
        <v>50.4</v>
      </c>
      <c r="C522" s="6">
        <v>0</v>
      </c>
      <c r="D522" s="6">
        <v>0</v>
      </c>
      <c r="E522" s="6">
        <v>0</v>
      </c>
      <c r="F522" s="7">
        <v>0</v>
      </c>
      <c r="G522" s="9">
        <v>100</v>
      </c>
      <c r="H522" s="10">
        <f t="shared" si="138"/>
        <v>0</v>
      </c>
      <c r="I522" s="12">
        <f t="shared" si="129"/>
        <v>639.30209199318563</v>
      </c>
      <c r="J522" s="11">
        <f t="shared" si="130"/>
        <v>21.729553476362859</v>
      </c>
      <c r="K522" s="6">
        <v>0</v>
      </c>
      <c r="L522" s="6">
        <v>0</v>
      </c>
      <c r="M522" s="6">
        <v>0</v>
      </c>
      <c r="N522" s="7">
        <v>0</v>
      </c>
      <c r="O522" s="9">
        <v>100</v>
      </c>
      <c r="P522" s="10">
        <f t="shared" si="139"/>
        <v>0</v>
      </c>
      <c r="Q522" s="12">
        <f t="shared" si="131"/>
        <v>639.30209199318563</v>
      </c>
      <c r="R522" s="11">
        <f t="shared" si="132"/>
        <v>21.729553476362859</v>
      </c>
      <c r="S522" s="6">
        <v>0</v>
      </c>
      <c r="T522" s="6">
        <v>0</v>
      </c>
      <c r="U522" s="6">
        <v>0</v>
      </c>
      <c r="V522" s="7">
        <v>0</v>
      </c>
      <c r="W522" s="9">
        <v>100</v>
      </c>
      <c r="X522" s="10">
        <f t="shared" si="140"/>
        <v>0</v>
      </c>
      <c r="Y522" s="12">
        <f t="shared" si="133"/>
        <v>639.30209199318563</v>
      </c>
      <c r="Z522" s="11">
        <f t="shared" si="134"/>
        <v>21.729553476362859</v>
      </c>
      <c r="AA522" s="6">
        <v>0</v>
      </c>
      <c r="AB522" s="6">
        <v>0</v>
      </c>
      <c r="AC522" s="6">
        <v>0</v>
      </c>
      <c r="AD522" s="7">
        <v>0</v>
      </c>
      <c r="AE522" s="9">
        <v>100</v>
      </c>
      <c r="AF522" s="10">
        <f t="shared" si="141"/>
        <v>0</v>
      </c>
      <c r="AG522" s="12">
        <f t="shared" si="135"/>
        <v>639.30209199318563</v>
      </c>
      <c r="AH522" s="11">
        <f t="shared" si="136"/>
        <v>21.729553476362859</v>
      </c>
      <c r="AJ522" s="6">
        <f t="shared" si="142"/>
        <v>1000</v>
      </c>
      <c r="AK522" s="4">
        <v>505</v>
      </c>
      <c r="AM522" s="2" t="str">
        <f t="shared" si="137"/>
        <v>0</v>
      </c>
      <c r="AN522" s="2" t="str">
        <f t="shared" si="143"/>
        <v>3E8</v>
      </c>
      <c r="AO522" s="2"/>
      <c r="AP522" s="2" t="str">
        <f t="shared" si="145"/>
        <v>03E8</v>
      </c>
    </row>
    <row r="523" spans="1:42" x14ac:dyDescent="0.2">
      <c r="A523">
        <v>506</v>
      </c>
      <c r="B523">
        <v>50.5</v>
      </c>
      <c r="C523" s="6">
        <v>0</v>
      </c>
      <c r="D523" s="6">
        <v>0</v>
      </c>
      <c r="E523" s="6">
        <v>0</v>
      </c>
      <c r="F523" s="7">
        <v>0</v>
      </c>
      <c r="G523" s="9">
        <v>100</v>
      </c>
      <c r="H523" s="10">
        <f t="shared" si="138"/>
        <v>0</v>
      </c>
      <c r="I523" s="12">
        <f t="shared" si="129"/>
        <v>639.30209199318563</v>
      </c>
      <c r="J523" s="11">
        <f t="shared" si="130"/>
        <v>21.729553476362859</v>
      </c>
      <c r="K523" s="6">
        <v>0</v>
      </c>
      <c r="L523" s="6">
        <v>0</v>
      </c>
      <c r="M523" s="6">
        <v>0</v>
      </c>
      <c r="N523" s="7">
        <v>0</v>
      </c>
      <c r="O523" s="9">
        <v>100</v>
      </c>
      <c r="P523" s="10">
        <f t="shared" si="139"/>
        <v>0</v>
      </c>
      <c r="Q523" s="12">
        <f t="shared" si="131"/>
        <v>639.30209199318563</v>
      </c>
      <c r="R523" s="11">
        <f t="shared" si="132"/>
        <v>21.729553476362859</v>
      </c>
      <c r="S523" s="6">
        <v>0</v>
      </c>
      <c r="T523" s="6">
        <v>0</v>
      </c>
      <c r="U523" s="6">
        <v>0</v>
      </c>
      <c r="V523" s="7">
        <v>0</v>
      </c>
      <c r="W523" s="9">
        <v>100</v>
      </c>
      <c r="X523" s="10">
        <f t="shared" si="140"/>
        <v>0</v>
      </c>
      <c r="Y523" s="12">
        <f t="shared" si="133"/>
        <v>639.30209199318563</v>
      </c>
      <c r="Z523" s="11">
        <f t="shared" si="134"/>
        <v>21.729553476362859</v>
      </c>
      <c r="AA523" s="6">
        <v>0</v>
      </c>
      <c r="AB523" s="6">
        <v>0</v>
      </c>
      <c r="AC523" s="6">
        <v>0</v>
      </c>
      <c r="AD523" s="7">
        <v>0</v>
      </c>
      <c r="AE523" s="9">
        <v>100</v>
      </c>
      <c r="AF523" s="10">
        <f t="shared" si="141"/>
        <v>0</v>
      </c>
      <c r="AG523" s="12">
        <f t="shared" si="135"/>
        <v>639.30209199318563</v>
      </c>
      <c r="AH523" s="11">
        <f t="shared" si="136"/>
        <v>21.729553476362859</v>
      </c>
      <c r="AJ523" s="6">
        <f t="shared" si="142"/>
        <v>1000</v>
      </c>
      <c r="AK523" s="4">
        <v>506</v>
      </c>
      <c r="AM523" s="2" t="str">
        <f t="shared" si="137"/>
        <v>0</v>
      </c>
      <c r="AN523" s="2" t="str">
        <f t="shared" si="143"/>
        <v>3E8</v>
      </c>
      <c r="AO523" s="2"/>
      <c r="AP523" s="2" t="str">
        <f t="shared" si="145"/>
        <v>03E8</v>
      </c>
    </row>
    <row r="524" spans="1:42" x14ac:dyDescent="0.2">
      <c r="A524">
        <v>507</v>
      </c>
      <c r="B524">
        <v>50.6</v>
      </c>
      <c r="C524" s="6">
        <v>0</v>
      </c>
      <c r="D524" s="6">
        <v>0</v>
      </c>
      <c r="E524" s="6">
        <v>0</v>
      </c>
      <c r="F524" s="7">
        <v>0</v>
      </c>
      <c r="G524" s="9">
        <v>100</v>
      </c>
      <c r="H524" s="10">
        <f t="shared" si="138"/>
        <v>0</v>
      </c>
      <c r="I524" s="12">
        <f t="shared" si="129"/>
        <v>639.30209199318563</v>
      </c>
      <c r="J524" s="11">
        <f t="shared" si="130"/>
        <v>21.729553476362859</v>
      </c>
      <c r="K524" s="6">
        <v>0</v>
      </c>
      <c r="L524" s="6">
        <v>0</v>
      </c>
      <c r="M524" s="6">
        <v>0</v>
      </c>
      <c r="N524" s="7">
        <v>0</v>
      </c>
      <c r="O524" s="9">
        <v>100</v>
      </c>
      <c r="P524" s="10">
        <f t="shared" si="139"/>
        <v>0</v>
      </c>
      <c r="Q524" s="12">
        <f t="shared" si="131"/>
        <v>639.30209199318563</v>
      </c>
      <c r="R524" s="11">
        <f t="shared" si="132"/>
        <v>21.729553476362859</v>
      </c>
      <c r="S524" s="6">
        <v>0</v>
      </c>
      <c r="T524" s="6">
        <v>0</v>
      </c>
      <c r="U524" s="6">
        <v>0</v>
      </c>
      <c r="V524" s="7">
        <v>0</v>
      </c>
      <c r="W524" s="9">
        <v>100</v>
      </c>
      <c r="X524" s="10">
        <f t="shared" si="140"/>
        <v>0</v>
      </c>
      <c r="Y524" s="12">
        <f t="shared" si="133"/>
        <v>639.30209199318563</v>
      </c>
      <c r="Z524" s="11">
        <f t="shared" si="134"/>
        <v>21.729553476362859</v>
      </c>
      <c r="AA524" s="6">
        <v>0</v>
      </c>
      <c r="AB524" s="6">
        <v>0</v>
      </c>
      <c r="AC524" s="6">
        <v>0</v>
      </c>
      <c r="AD524" s="7">
        <v>0</v>
      </c>
      <c r="AE524" s="9">
        <v>100</v>
      </c>
      <c r="AF524" s="10">
        <f t="shared" si="141"/>
        <v>0</v>
      </c>
      <c r="AG524" s="12">
        <f t="shared" si="135"/>
        <v>639.30209199318563</v>
      </c>
      <c r="AH524" s="11">
        <f t="shared" si="136"/>
        <v>21.729553476362859</v>
      </c>
      <c r="AJ524" s="6">
        <f t="shared" si="142"/>
        <v>1000</v>
      </c>
      <c r="AK524" s="4">
        <v>507</v>
      </c>
      <c r="AM524" s="2" t="str">
        <f t="shared" si="137"/>
        <v>0</v>
      </c>
      <c r="AN524" s="2" t="str">
        <f t="shared" si="143"/>
        <v>3E8</v>
      </c>
      <c r="AO524" s="2"/>
      <c r="AP524" s="2" t="str">
        <f t="shared" si="145"/>
        <v>03E8</v>
      </c>
    </row>
    <row r="525" spans="1:42" x14ac:dyDescent="0.2">
      <c r="A525">
        <v>508</v>
      </c>
      <c r="B525">
        <v>50.7</v>
      </c>
      <c r="C525" s="6">
        <v>0</v>
      </c>
      <c r="D525" s="6">
        <v>0</v>
      </c>
      <c r="E525" s="6">
        <v>0</v>
      </c>
      <c r="F525" s="7">
        <v>0</v>
      </c>
      <c r="G525" s="9">
        <v>100</v>
      </c>
      <c r="H525" s="10">
        <f t="shared" si="138"/>
        <v>0</v>
      </c>
      <c r="I525" s="12">
        <f t="shared" si="129"/>
        <v>639.30209199318563</v>
      </c>
      <c r="J525" s="11">
        <f t="shared" si="130"/>
        <v>21.729553476362859</v>
      </c>
      <c r="K525" s="6">
        <v>0</v>
      </c>
      <c r="L525" s="6">
        <v>0</v>
      </c>
      <c r="M525" s="6">
        <v>0</v>
      </c>
      <c r="N525" s="7">
        <v>0</v>
      </c>
      <c r="O525" s="9">
        <v>100</v>
      </c>
      <c r="P525" s="10">
        <f t="shared" si="139"/>
        <v>0</v>
      </c>
      <c r="Q525" s="12">
        <f t="shared" si="131"/>
        <v>639.30209199318563</v>
      </c>
      <c r="R525" s="11">
        <f t="shared" si="132"/>
        <v>21.729553476362859</v>
      </c>
      <c r="S525" s="6">
        <v>0</v>
      </c>
      <c r="T525" s="6">
        <v>0</v>
      </c>
      <c r="U525" s="6">
        <v>0</v>
      </c>
      <c r="V525" s="7">
        <v>0</v>
      </c>
      <c r="W525" s="9">
        <v>100</v>
      </c>
      <c r="X525" s="10">
        <f t="shared" si="140"/>
        <v>0</v>
      </c>
      <c r="Y525" s="12">
        <f t="shared" si="133"/>
        <v>639.30209199318563</v>
      </c>
      <c r="Z525" s="11">
        <f t="shared" si="134"/>
        <v>21.729553476362859</v>
      </c>
      <c r="AA525" s="6">
        <v>0</v>
      </c>
      <c r="AB525" s="6">
        <v>0</v>
      </c>
      <c r="AC525" s="6">
        <v>0</v>
      </c>
      <c r="AD525" s="7">
        <v>0</v>
      </c>
      <c r="AE525" s="9">
        <v>100</v>
      </c>
      <c r="AF525" s="10">
        <f t="shared" si="141"/>
        <v>0</v>
      </c>
      <c r="AG525" s="12">
        <f t="shared" si="135"/>
        <v>639.30209199318563</v>
      </c>
      <c r="AH525" s="11">
        <f t="shared" si="136"/>
        <v>21.729553476362859</v>
      </c>
      <c r="AJ525" s="6">
        <f t="shared" si="142"/>
        <v>1000</v>
      </c>
      <c r="AK525" s="4">
        <v>508</v>
      </c>
      <c r="AM525" s="2" t="str">
        <f t="shared" si="137"/>
        <v>0</v>
      </c>
      <c r="AN525" s="2" t="str">
        <f t="shared" si="143"/>
        <v>3E8</v>
      </c>
      <c r="AO525" s="2"/>
      <c r="AP525" s="2" t="str">
        <f t="shared" si="145"/>
        <v>03E8</v>
      </c>
    </row>
    <row r="526" spans="1:42" x14ac:dyDescent="0.2">
      <c r="A526">
        <v>509</v>
      </c>
      <c r="B526">
        <v>50.8</v>
      </c>
      <c r="C526" s="6">
        <v>0</v>
      </c>
      <c r="D526" s="6">
        <v>0</v>
      </c>
      <c r="E526" s="6">
        <v>0</v>
      </c>
      <c r="F526" s="7">
        <v>0</v>
      </c>
      <c r="G526" s="9">
        <v>100</v>
      </c>
      <c r="H526" s="10">
        <f t="shared" si="138"/>
        <v>0</v>
      </c>
      <c r="I526" s="12">
        <f t="shared" si="129"/>
        <v>639.30209199318563</v>
      </c>
      <c r="J526" s="11">
        <f t="shared" si="130"/>
        <v>21.729553476362859</v>
      </c>
      <c r="K526" s="6">
        <v>0</v>
      </c>
      <c r="L526" s="6">
        <v>0</v>
      </c>
      <c r="M526" s="6">
        <v>0</v>
      </c>
      <c r="N526" s="7">
        <v>0</v>
      </c>
      <c r="O526" s="9">
        <v>100</v>
      </c>
      <c r="P526" s="10">
        <f t="shared" si="139"/>
        <v>0</v>
      </c>
      <c r="Q526" s="12">
        <f t="shared" si="131"/>
        <v>639.30209199318563</v>
      </c>
      <c r="R526" s="11">
        <f t="shared" si="132"/>
        <v>21.729553476362859</v>
      </c>
      <c r="S526" s="6">
        <v>0</v>
      </c>
      <c r="T526" s="6">
        <v>0</v>
      </c>
      <c r="U526" s="6">
        <v>0</v>
      </c>
      <c r="V526" s="7">
        <v>0</v>
      </c>
      <c r="W526" s="9">
        <v>100</v>
      </c>
      <c r="X526" s="10">
        <f t="shared" si="140"/>
        <v>0</v>
      </c>
      <c r="Y526" s="12">
        <f t="shared" si="133"/>
        <v>639.30209199318563</v>
      </c>
      <c r="Z526" s="11">
        <f t="shared" si="134"/>
        <v>21.729553476362859</v>
      </c>
      <c r="AA526" s="6">
        <v>0</v>
      </c>
      <c r="AB526" s="6">
        <v>0</v>
      </c>
      <c r="AC526" s="6">
        <v>0</v>
      </c>
      <c r="AD526" s="7">
        <v>0</v>
      </c>
      <c r="AE526" s="9">
        <v>100</v>
      </c>
      <c r="AF526" s="10">
        <f t="shared" si="141"/>
        <v>0</v>
      </c>
      <c r="AG526" s="12">
        <f t="shared" si="135"/>
        <v>639.30209199318563</v>
      </c>
      <c r="AH526" s="11">
        <f t="shared" si="136"/>
        <v>21.729553476362859</v>
      </c>
      <c r="AJ526" s="6">
        <f t="shared" si="142"/>
        <v>1000</v>
      </c>
      <c r="AK526" s="4">
        <v>509</v>
      </c>
      <c r="AM526" s="2" t="str">
        <f t="shared" si="137"/>
        <v>0</v>
      </c>
      <c r="AN526" s="2" t="str">
        <f t="shared" si="143"/>
        <v>3E8</v>
      </c>
      <c r="AO526" s="2"/>
      <c r="AP526" s="2" t="str">
        <f t="shared" si="145"/>
        <v>03E8</v>
      </c>
    </row>
    <row r="527" spans="1:42" x14ac:dyDescent="0.2">
      <c r="A527">
        <v>510</v>
      </c>
      <c r="B527">
        <v>50.9</v>
      </c>
      <c r="C527" s="6">
        <v>0</v>
      </c>
      <c r="D527" s="6">
        <v>0</v>
      </c>
      <c r="E527" s="6">
        <v>0</v>
      </c>
      <c r="F527" s="7">
        <v>0</v>
      </c>
      <c r="G527" s="9">
        <v>100</v>
      </c>
      <c r="H527" s="10">
        <f t="shared" si="138"/>
        <v>0</v>
      </c>
      <c r="I527" s="12">
        <f t="shared" si="129"/>
        <v>639.30209199318563</v>
      </c>
      <c r="J527" s="11">
        <f t="shared" si="130"/>
        <v>21.729553476362859</v>
      </c>
      <c r="K527" s="6">
        <v>0</v>
      </c>
      <c r="L527" s="6">
        <v>0</v>
      </c>
      <c r="M527" s="6">
        <v>0</v>
      </c>
      <c r="N527" s="7">
        <v>0</v>
      </c>
      <c r="O527" s="9">
        <v>100</v>
      </c>
      <c r="P527" s="10">
        <f t="shared" si="139"/>
        <v>0</v>
      </c>
      <c r="Q527" s="12">
        <f t="shared" si="131"/>
        <v>639.30209199318563</v>
      </c>
      <c r="R527" s="11">
        <f t="shared" si="132"/>
        <v>21.729553476362859</v>
      </c>
      <c r="S527" s="6">
        <v>0</v>
      </c>
      <c r="T527" s="6">
        <v>0</v>
      </c>
      <c r="U527" s="6">
        <v>0</v>
      </c>
      <c r="V527" s="7">
        <v>0</v>
      </c>
      <c r="W527" s="9">
        <v>100</v>
      </c>
      <c r="X527" s="10">
        <f t="shared" si="140"/>
        <v>0</v>
      </c>
      <c r="Y527" s="12">
        <f t="shared" si="133"/>
        <v>639.30209199318563</v>
      </c>
      <c r="Z527" s="11">
        <f t="shared" si="134"/>
        <v>21.729553476362859</v>
      </c>
      <c r="AA527" s="6">
        <v>0</v>
      </c>
      <c r="AB527" s="6">
        <v>0</v>
      </c>
      <c r="AC527" s="6">
        <v>0</v>
      </c>
      <c r="AD527" s="7">
        <v>0</v>
      </c>
      <c r="AE527" s="9">
        <v>100</v>
      </c>
      <c r="AF527" s="10">
        <f t="shared" si="141"/>
        <v>0</v>
      </c>
      <c r="AG527" s="12">
        <f t="shared" si="135"/>
        <v>639.30209199318563</v>
      </c>
      <c r="AH527" s="11">
        <f t="shared" si="136"/>
        <v>21.729553476362859</v>
      </c>
      <c r="AJ527" s="6">
        <f t="shared" si="142"/>
        <v>1000</v>
      </c>
      <c r="AK527" s="4">
        <v>510</v>
      </c>
      <c r="AM527" s="2" t="str">
        <f t="shared" si="137"/>
        <v>0</v>
      </c>
      <c r="AN527" s="2" t="str">
        <f t="shared" si="143"/>
        <v>3E8</v>
      </c>
      <c r="AO527" s="2"/>
      <c r="AP527" s="2" t="str">
        <f t="shared" si="145"/>
        <v>03E8</v>
      </c>
    </row>
    <row r="528" spans="1:42" x14ac:dyDescent="0.2">
      <c r="A528">
        <v>511</v>
      </c>
      <c r="B528">
        <v>51</v>
      </c>
      <c r="C528" s="6">
        <v>0</v>
      </c>
      <c r="D528" s="6">
        <v>0</v>
      </c>
      <c r="E528" s="6">
        <v>0</v>
      </c>
      <c r="F528" s="7">
        <v>0</v>
      </c>
      <c r="G528" s="9">
        <v>100</v>
      </c>
      <c r="H528" s="10">
        <f t="shared" si="138"/>
        <v>0</v>
      </c>
      <c r="I528" s="12">
        <f t="shared" si="129"/>
        <v>639.30209199318563</v>
      </c>
      <c r="J528" s="11">
        <f t="shared" si="130"/>
        <v>21.729553476362859</v>
      </c>
      <c r="K528" s="6">
        <v>0</v>
      </c>
      <c r="L528" s="6">
        <v>0</v>
      </c>
      <c r="M528" s="6">
        <v>0</v>
      </c>
      <c r="N528" s="7">
        <v>0</v>
      </c>
      <c r="O528" s="9">
        <v>100</v>
      </c>
      <c r="P528" s="10">
        <f t="shared" si="139"/>
        <v>0</v>
      </c>
      <c r="Q528" s="12">
        <f t="shared" si="131"/>
        <v>639.30209199318563</v>
      </c>
      <c r="R528" s="11">
        <f t="shared" si="132"/>
        <v>21.729553476362859</v>
      </c>
      <c r="S528" s="6">
        <v>0</v>
      </c>
      <c r="T528" s="6">
        <v>0</v>
      </c>
      <c r="U528" s="6">
        <v>0</v>
      </c>
      <c r="V528" s="7">
        <v>0</v>
      </c>
      <c r="W528" s="9">
        <v>100</v>
      </c>
      <c r="X528" s="10">
        <f t="shared" si="140"/>
        <v>0</v>
      </c>
      <c r="Y528" s="12">
        <f t="shared" si="133"/>
        <v>639.30209199318563</v>
      </c>
      <c r="Z528" s="11">
        <f t="shared" si="134"/>
        <v>21.729553476362859</v>
      </c>
      <c r="AA528" s="6">
        <v>0</v>
      </c>
      <c r="AB528" s="6">
        <v>0</v>
      </c>
      <c r="AC528" s="6">
        <v>0</v>
      </c>
      <c r="AD528" s="7">
        <v>0</v>
      </c>
      <c r="AE528" s="9">
        <v>100</v>
      </c>
      <c r="AF528" s="10">
        <f t="shared" si="141"/>
        <v>0</v>
      </c>
      <c r="AG528" s="12">
        <f t="shared" si="135"/>
        <v>639.30209199318563</v>
      </c>
      <c r="AH528" s="11">
        <f t="shared" si="136"/>
        <v>21.729553476362859</v>
      </c>
      <c r="AJ528" s="6">
        <f t="shared" si="142"/>
        <v>1000</v>
      </c>
      <c r="AK528" s="4">
        <v>511</v>
      </c>
      <c r="AM528" s="2" t="str">
        <f t="shared" si="137"/>
        <v>0</v>
      </c>
      <c r="AN528" s="2" t="str">
        <f t="shared" si="143"/>
        <v>3E8</v>
      </c>
      <c r="AO528" s="2"/>
      <c r="AP528" s="2" t="str">
        <f t="shared" si="145"/>
        <v>03E8</v>
      </c>
    </row>
    <row r="529" spans="1:42" x14ac:dyDescent="0.2">
      <c r="A529">
        <v>512</v>
      </c>
      <c r="B529">
        <v>51.1</v>
      </c>
      <c r="C529" s="6">
        <v>0</v>
      </c>
      <c r="D529" s="6">
        <v>0</v>
      </c>
      <c r="E529" s="6">
        <v>0</v>
      </c>
      <c r="F529" s="7">
        <v>0</v>
      </c>
      <c r="G529" s="9">
        <v>100</v>
      </c>
      <c r="H529" s="10">
        <f t="shared" si="138"/>
        <v>0</v>
      </c>
      <c r="I529" s="12">
        <f t="shared" si="129"/>
        <v>639.30209199318563</v>
      </c>
      <c r="J529" s="11">
        <f t="shared" si="130"/>
        <v>21.729553476362859</v>
      </c>
      <c r="K529" s="6">
        <v>0</v>
      </c>
      <c r="L529" s="6">
        <v>0</v>
      </c>
      <c r="M529" s="6">
        <v>0</v>
      </c>
      <c r="N529" s="7">
        <v>0</v>
      </c>
      <c r="O529" s="9">
        <v>100</v>
      </c>
      <c r="P529" s="10">
        <f t="shared" si="139"/>
        <v>0</v>
      </c>
      <c r="Q529" s="12">
        <f t="shared" si="131"/>
        <v>639.30209199318563</v>
      </c>
      <c r="R529" s="11">
        <f t="shared" si="132"/>
        <v>21.729553476362859</v>
      </c>
      <c r="S529" s="6">
        <v>0</v>
      </c>
      <c r="T529" s="6">
        <v>0</v>
      </c>
      <c r="U529" s="6">
        <v>0</v>
      </c>
      <c r="V529" s="7">
        <v>0</v>
      </c>
      <c r="W529" s="9">
        <v>100</v>
      </c>
      <c r="X529" s="10">
        <f t="shared" si="140"/>
        <v>0</v>
      </c>
      <c r="Y529" s="12">
        <f t="shared" si="133"/>
        <v>639.30209199318563</v>
      </c>
      <c r="Z529" s="11">
        <f t="shared" si="134"/>
        <v>21.729553476362859</v>
      </c>
      <c r="AA529" s="6">
        <v>0</v>
      </c>
      <c r="AB529" s="6">
        <v>0</v>
      </c>
      <c r="AC529" s="6">
        <v>0</v>
      </c>
      <c r="AD529" s="7">
        <v>0</v>
      </c>
      <c r="AE529" s="9">
        <v>100</v>
      </c>
      <c r="AF529" s="10">
        <f t="shared" si="141"/>
        <v>0</v>
      </c>
      <c r="AG529" s="12">
        <f t="shared" si="135"/>
        <v>639.30209199318563</v>
      </c>
      <c r="AH529" s="11">
        <f t="shared" si="136"/>
        <v>21.729553476362859</v>
      </c>
      <c r="AJ529" s="6">
        <f t="shared" si="142"/>
        <v>1000</v>
      </c>
      <c r="AK529" s="4">
        <v>512</v>
      </c>
      <c r="AM529" s="2" t="str">
        <f t="shared" si="137"/>
        <v>0</v>
      </c>
      <c r="AN529" s="2" t="str">
        <f t="shared" si="143"/>
        <v>3E8</v>
      </c>
      <c r="AO529" s="2"/>
      <c r="AP529" s="2" t="str">
        <f t="shared" si="145"/>
        <v>03E8</v>
      </c>
    </row>
    <row r="530" spans="1:42" x14ac:dyDescent="0.2">
      <c r="K530" s="6"/>
      <c r="L530" s="6"/>
      <c r="M530" s="6"/>
      <c r="N530" s="6"/>
      <c r="O530" s="6"/>
      <c r="AJ530" s="6">
        <f>ROUNDDOWN(($O18*$O$16+$I$6*100)*10,0)</f>
        <v>1000</v>
      </c>
      <c r="AK530" s="5">
        <v>513</v>
      </c>
      <c r="AM530" s="2" t="str">
        <f>BIN2HEX(K18+10*L18+100*M18+1000*N18,1)</f>
        <v>7</v>
      </c>
      <c r="AN530" s="2" t="str">
        <f t="shared" ref="AN530:AN593" si="146">DEC2HEX(AJ530,3)</f>
        <v>3E8</v>
      </c>
      <c r="AO530" s="2"/>
      <c r="AP530" s="2" t="str">
        <f t="shared" ref="AP530:AP593" si="147">CONCATENATE(AM530,AN530)</f>
        <v>73E8</v>
      </c>
    </row>
    <row r="531" spans="1:42" x14ac:dyDescent="0.2">
      <c r="K531" s="6"/>
      <c r="L531" s="6"/>
      <c r="M531" s="6"/>
      <c r="N531" s="6"/>
      <c r="O531" s="6"/>
      <c r="AJ531" s="6">
        <f t="shared" ref="AJ531:AJ594" si="148">ROUNDDOWN(($O19*$O$16+$I$6*100)*10,0)</f>
        <v>1000</v>
      </c>
      <c r="AK531" s="5">
        <v>514</v>
      </c>
      <c r="AM531" s="2" t="str">
        <f t="shared" ref="AM531:AM594" si="149">BIN2HEX(K19+10*L19+100*M19+1000*N19,1)</f>
        <v>7</v>
      </c>
      <c r="AN531" s="2" t="str">
        <f t="shared" si="146"/>
        <v>3E8</v>
      </c>
      <c r="AO531" s="2"/>
      <c r="AP531" s="2" t="str">
        <f t="shared" si="147"/>
        <v>73E8</v>
      </c>
    </row>
    <row r="532" spans="1:42" x14ac:dyDescent="0.2">
      <c r="K532" s="6"/>
      <c r="L532" s="6"/>
      <c r="M532" s="6"/>
      <c r="N532" s="6"/>
      <c r="O532" s="6"/>
      <c r="AJ532" s="6">
        <f t="shared" si="148"/>
        <v>1000</v>
      </c>
      <c r="AK532" s="5">
        <v>515</v>
      </c>
      <c r="AM532" s="2" t="str">
        <f t="shared" si="149"/>
        <v>7</v>
      </c>
      <c r="AN532" s="2" t="str">
        <f t="shared" si="146"/>
        <v>3E8</v>
      </c>
      <c r="AO532" s="2"/>
      <c r="AP532" s="2" t="str">
        <f t="shared" si="147"/>
        <v>73E8</v>
      </c>
    </row>
    <row r="533" spans="1:42" x14ac:dyDescent="0.2">
      <c r="K533" s="6"/>
      <c r="L533" s="6"/>
      <c r="M533" s="6"/>
      <c r="N533" s="6"/>
      <c r="O533" s="6"/>
      <c r="AJ533" s="6">
        <f t="shared" si="148"/>
        <v>1000</v>
      </c>
      <c r="AK533" s="5">
        <v>516</v>
      </c>
      <c r="AM533" s="2" t="str">
        <f t="shared" si="149"/>
        <v>7</v>
      </c>
      <c r="AN533" s="2" t="str">
        <f t="shared" si="146"/>
        <v>3E8</v>
      </c>
      <c r="AO533" s="2"/>
      <c r="AP533" s="2" t="str">
        <f t="shared" si="147"/>
        <v>73E8</v>
      </c>
    </row>
    <row r="534" spans="1:42" x14ac:dyDescent="0.2">
      <c r="K534" s="6"/>
      <c r="L534" s="6"/>
      <c r="M534" s="6"/>
      <c r="N534" s="6"/>
      <c r="O534" s="6"/>
      <c r="AJ534" s="6">
        <f t="shared" si="148"/>
        <v>1000</v>
      </c>
      <c r="AK534" s="5">
        <v>517</v>
      </c>
      <c r="AM534" s="2" t="str">
        <f t="shared" si="149"/>
        <v>7</v>
      </c>
      <c r="AN534" s="2" t="str">
        <f t="shared" si="146"/>
        <v>3E8</v>
      </c>
      <c r="AO534" s="2"/>
      <c r="AP534" s="2" t="str">
        <f t="shared" si="147"/>
        <v>73E8</v>
      </c>
    </row>
    <row r="535" spans="1:42" x14ac:dyDescent="0.2">
      <c r="K535" s="6"/>
      <c r="L535" s="6"/>
      <c r="M535" s="6"/>
      <c r="N535" s="6"/>
      <c r="O535" s="6"/>
      <c r="AJ535" s="6">
        <f t="shared" si="148"/>
        <v>1000</v>
      </c>
      <c r="AK535" s="5">
        <v>518</v>
      </c>
      <c r="AM535" s="2" t="str">
        <f t="shared" si="149"/>
        <v>7</v>
      </c>
      <c r="AN535" s="2" t="str">
        <f t="shared" si="146"/>
        <v>3E8</v>
      </c>
      <c r="AO535" s="2"/>
      <c r="AP535" s="2" t="str">
        <f t="shared" si="147"/>
        <v>73E8</v>
      </c>
    </row>
    <row r="536" spans="1:42" x14ac:dyDescent="0.2">
      <c r="K536" s="6"/>
      <c r="L536" s="6"/>
      <c r="M536" s="6"/>
      <c r="N536" s="6"/>
      <c r="O536" s="6"/>
      <c r="AJ536" s="6">
        <f t="shared" si="148"/>
        <v>1000</v>
      </c>
      <c r="AK536" s="5">
        <v>519</v>
      </c>
      <c r="AM536" s="2" t="str">
        <f t="shared" si="149"/>
        <v>7</v>
      </c>
      <c r="AN536" s="2" t="str">
        <f t="shared" si="146"/>
        <v>3E8</v>
      </c>
      <c r="AO536" s="2"/>
      <c r="AP536" s="2" t="str">
        <f t="shared" si="147"/>
        <v>73E8</v>
      </c>
    </row>
    <row r="537" spans="1:42" x14ac:dyDescent="0.2">
      <c r="K537" s="6"/>
      <c r="L537" s="6"/>
      <c r="M537" s="6"/>
      <c r="N537" s="6"/>
      <c r="O537" s="6"/>
      <c r="AJ537" s="6">
        <f t="shared" si="148"/>
        <v>1000</v>
      </c>
      <c r="AK537" s="5">
        <v>520</v>
      </c>
      <c r="AM537" s="2" t="str">
        <f t="shared" si="149"/>
        <v>7</v>
      </c>
      <c r="AN537" s="2" t="str">
        <f t="shared" si="146"/>
        <v>3E8</v>
      </c>
      <c r="AO537" s="2"/>
      <c r="AP537" s="2" t="str">
        <f t="shared" si="147"/>
        <v>73E8</v>
      </c>
    </row>
    <row r="538" spans="1:42" x14ac:dyDescent="0.2">
      <c r="K538" s="6"/>
      <c r="L538" s="6"/>
      <c r="M538" s="6"/>
      <c r="N538" s="6"/>
      <c r="O538" s="6"/>
      <c r="AJ538" s="6">
        <f t="shared" si="148"/>
        <v>1000</v>
      </c>
      <c r="AK538" s="5">
        <v>521</v>
      </c>
      <c r="AM538" s="2" t="str">
        <f t="shared" si="149"/>
        <v>7</v>
      </c>
      <c r="AN538" s="2" t="str">
        <f t="shared" si="146"/>
        <v>3E8</v>
      </c>
      <c r="AO538" s="2"/>
      <c r="AP538" s="2" t="str">
        <f t="shared" si="147"/>
        <v>73E8</v>
      </c>
    </row>
    <row r="539" spans="1:42" x14ac:dyDescent="0.2">
      <c r="K539" s="6"/>
      <c r="L539" s="6"/>
      <c r="M539" s="6"/>
      <c r="N539" s="6"/>
      <c r="O539" s="6"/>
      <c r="AJ539" s="6">
        <f t="shared" si="148"/>
        <v>1000</v>
      </c>
      <c r="AK539" s="5">
        <v>522</v>
      </c>
      <c r="AM539" s="2" t="str">
        <f t="shared" si="149"/>
        <v>7</v>
      </c>
      <c r="AN539" s="2" t="str">
        <f t="shared" si="146"/>
        <v>3E8</v>
      </c>
      <c r="AO539" s="2"/>
      <c r="AP539" s="2" t="str">
        <f t="shared" si="147"/>
        <v>73E8</v>
      </c>
    </row>
    <row r="540" spans="1:42" x14ac:dyDescent="0.2">
      <c r="K540" s="6"/>
      <c r="L540" s="6"/>
      <c r="M540" s="6"/>
      <c r="N540" s="6"/>
      <c r="O540" s="6"/>
      <c r="AJ540" s="6">
        <f t="shared" si="148"/>
        <v>1000</v>
      </c>
      <c r="AK540" s="5">
        <v>523</v>
      </c>
      <c r="AM540" s="2" t="str">
        <f t="shared" si="149"/>
        <v>7</v>
      </c>
      <c r="AN540" s="2" t="str">
        <f t="shared" si="146"/>
        <v>3E8</v>
      </c>
      <c r="AO540" s="2"/>
      <c r="AP540" s="2" t="str">
        <f t="shared" si="147"/>
        <v>73E8</v>
      </c>
    </row>
    <row r="541" spans="1:42" x14ac:dyDescent="0.2">
      <c r="K541" s="6"/>
      <c r="L541" s="6"/>
      <c r="M541" s="6"/>
      <c r="N541" s="6"/>
      <c r="O541" s="6"/>
      <c r="AJ541" s="6">
        <f t="shared" si="148"/>
        <v>1000</v>
      </c>
      <c r="AK541" s="5">
        <v>524</v>
      </c>
      <c r="AM541" s="2" t="str">
        <f t="shared" si="149"/>
        <v>4</v>
      </c>
      <c r="AN541" s="2" t="str">
        <f t="shared" si="146"/>
        <v>3E8</v>
      </c>
      <c r="AO541" s="2"/>
      <c r="AP541" s="2" t="str">
        <f t="shared" si="147"/>
        <v>43E8</v>
      </c>
    </row>
    <row r="542" spans="1:42" x14ac:dyDescent="0.2">
      <c r="K542" s="6"/>
      <c r="L542" s="6"/>
      <c r="M542" s="6"/>
      <c r="N542" s="6"/>
      <c r="O542" s="6"/>
      <c r="AJ542" s="6">
        <f t="shared" si="148"/>
        <v>1000</v>
      </c>
      <c r="AK542" s="5">
        <v>525</v>
      </c>
      <c r="AM542" s="2" t="str">
        <f t="shared" si="149"/>
        <v>4</v>
      </c>
      <c r="AN542" s="2" t="str">
        <f t="shared" si="146"/>
        <v>3E8</v>
      </c>
      <c r="AO542" s="2"/>
      <c r="AP542" s="2" t="str">
        <f t="shared" si="147"/>
        <v>43E8</v>
      </c>
    </row>
    <row r="543" spans="1:42" x14ac:dyDescent="0.2">
      <c r="K543" s="6"/>
      <c r="L543" s="6"/>
      <c r="M543" s="6"/>
      <c r="N543" s="6"/>
      <c r="O543" s="6"/>
      <c r="AJ543" s="6">
        <f t="shared" si="148"/>
        <v>1000</v>
      </c>
      <c r="AK543" s="5">
        <v>526</v>
      </c>
      <c r="AM543" s="2" t="str">
        <f t="shared" si="149"/>
        <v>4</v>
      </c>
      <c r="AN543" s="2" t="str">
        <f t="shared" si="146"/>
        <v>3E8</v>
      </c>
      <c r="AO543" s="2"/>
      <c r="AP543" s="2" t="str">
        <f t="shared" si="147"/>
        <v>43E8</v>
      </c>
    </row>
    <row r="544" spans="1:42" x14ac:dyDescent="0.2">
      <c r="K544" s="6"/>
      <c r="L544" s="6"/>
      <c r="M544" s="6"/>
      <c r="N544" s="6"/>
      <c r="O544" s="6"/>
      <c r="AJ544" s="6">
        <f t="shared" si="148"/>
        <v>1000</v>
      </c>
      <c r="AK544" s="5">
        <v>527</v>
      </c>
      <c r="AM544" s="2" t="str">
        <f t="shared" si="149"/>
        <v>4</v>
      </c>
      <c r="AN544" s="2" t="str">
        <f t="shared" si="146"/>
        <v>3E8</v>
      </c>
      <c r="AO544" s="2"/>
      <c r="AP544" s="2" t="str">
        <f t="shared" si="147"/>
        <v>43E8</v>
      </c>
    </row>
    <row r="545" spans="6:42" x14ac:dyDescent="0.2">
      <c r="K545" s="6"/>
      <c r="L545" s="6"/>
      <c r="M545" s="6"/>
      <c r="N545" s="6"/>
      <c r="O545" s="6"/>
      <c r="AJ545" s="6">
        <f t="shared" si="148"/>
        <v>1000</v>
      </c>
      <c r="AK545" s="5">
        <v>528</v>
      </c>
      <c r="AM545" s="2" t="str">
        <f t="shared" si="149"/>
        <v>4</v>
      </c>
      <c r="AN545" s="2" t="str">
        <f t="shared" si="146"/>
        <v>3E8</v>
      </c>
      <c r="AO545" s="2"/>
      <c r="AP545" s="2" t="str">
        <f t="shared" si="147"/>
        <v>43E8</v>
      </c>
    </row>
    <row r="546" spans="6:42" x14ac:dyDescent="0.2">
      <c r="K546" s="6"/>
      <c r="L546" s="6"/>
      <c r="M546" s="6"/>
      <c r="N546" s="6"/>
      <c r="O546" s="6"/>
      <c r="AJ546" s="6">
        <f t="shared" si="148"/>
        <v>1000</v>
      </c>
      <c r="AK546" s="5">
        <v>529</v>
      </c>
      <c r="AM546" s="2" t="str">
        <f t="shared" si="149"/>
        <v>4</v>
      </c>
      <c r="AN546" s="2" t="str">
        <f t="shared" si="146"/>
        <v>3E8</v>
      </c>
      <c r="AO546" s="2"/>
      <c r="AP546" s="2" t="str">
        <f t="shared" si="147"/>
        <v>43E8</v>
      </c>
    </row>
    <row r="547" spans="6:42" x14ac:dyDescent="0.2">
      <c r="K547" s="6"/>
      <c r="L547" s="6"/>
      <c r="M547" s="6"/>
      <c r="N547" s="6"/>
      <c r="O547" s="6"/>
      <c r="AJ547" s="6">
        <f t="shared" si="148"/>
        <v>1000</v>
      </c>
      <c r="AK547" s="5">
        <v>530</v>
      </c>
      <c r="AM547" s="2" t="str">
        <f t="shared" si="149"/>
        <v>4</v>
      </c>
      <c r="AN547" s="2" t="str">
        <f t="shared" si="146"/>
        <v>3E8</v>
      </c>
      <c r="AO547" s="2"/>
      <c r="AP547" s="2" t="str">
        <f t="shared" si="147"/>
        <v>43E8</v>
      </c>
    </row>
    <row r="548" spans="6:42" x14ac:dyDescent="0.2">
      <c r="K548" s="6"/>
      <c r="L548" s="6"/>
      <c r="M548" s="6"/>
      <c r="N548" s="6"/>
      <c r="O548" s="6"/>
      <c r="AJ548" s="6">
        <f t="shared" si="148"/>
        <v>1000</v>
      </c>
      <c r="AK548" s="5">
        <v>531</v>
      </c>
      <c r="AM548" s="2" t="str">
        <f t="shared" si="149"/>
        <v>4</v>
      </c>
      <c r="AN548" s="2" t="str">
        <f t="shared" si="146"/>
        <v>3E8</v>
      </c>
      <c r="AO548" s="2"/>
      <c r="AP548" s="2" t="str">
        <f t="shared" si="147"/>
        <v>43E8</v>
      </c>
    </row>
    <row r="549" spans="6:42" x14ac:dyDescent="0.2">
      <c r="K549" s="6"/>
      <c r="L549" s="6"/>
      <c r="M549" s="6"/>
      <c r="N549" s="6"/>
      <c r="O549" s="6"/>
      <c r="AJ549" s="6">
        <f t="shared" si="148"/>
        <v>1000</v>
      </c>
      <c r="AK549" s="5">
        <v>532</v>
      </c>
      <c r="AM549" s="2" t="str">
        <f t="shared" si="149"/>
        <v>4</v>
      </c>
      <c r="AN549" s="2" t="str">
        <f t="shared" si="146"/>
        <v>3E8</v>
      </c>
      <c r="AO549" s="2"/>
      <c r="AP549" s="2" t="str">
        <f t="shared" si="147"/>
        <v>43E8</v>
      </c>
    </row>
    <row r="550" spans="6:42" x14ac:dyDescent="0.2">
      <c r="F550" s="1"/>
      <c r="K550" s="6"/>
      <c r="L550" s="6"/>
      <c r="M550" s="6"/>
      <c r="N550" s="6"/>
      <c r="O550" s="6"/>
      <c r="V550" s="1"/>
      <c r="AD550" s="1"/>
      <c r="AJ550" s="6">
        <f t="shared" si="148"/>
        <v>1000</v>
      </c>
      <c r="AK550" s="5">
        <v>533</v>
      </c>
      <c r="AM550" s="2" t="str">
        <f t="shared" si="149"/>
        <v>4</v>
      </c>
      <c r="AN550" s="2" t="str">
        <f t="shared" si="146"/>
        <v>3E8</v>
      </c>
      <c r="AO550" s="2"/>
      <c r="AP550" s="2" t="str">
        <f t="shared" si="147"/>
        <v>43E8</v>
      </c>
    </row>
    <row r="551" spans="6:42" x14ac:dyDescent="0.2">
      <c r="F551" s="1"/>
      <c r="K551" s="6"/>
      <c r="L551" s="6"/>
      <c r="M551" s="6"/>
      <c r="N551" s="6"/>
      <c r="O551" s="6"/>
      <c r="V551" s="1"/>
      <c r="AD551" s="1"/>
      <c r="AJ551" s="6">
        <f t="shared" si="148"/>
        <v>960</v>
      </c>
      <c r="AK551" s="5">
        <v>534</v>
      </c>
      <c r="AM551" s="2" t="str">
        <f t="shared" si="149"/>
        <v>4</v>
      </c>
      <c r="AN551" s="2" t="str">
        <f t="shared" si="146"/>
        <v>3C0</v>
      </c>
      <c r="AO551" s="2"/>
      <c r="AP551" s="2" t="str">
        <f t="shared" si="147"/>
        <v>43C0</v>
      </c>
    </row>
    <row r="552" spans="6:42" x14ac:dyDescent="0.2">
      <c r="F552" s="1"/>
      <c r="K552" s="6"/>
      <c r="L552" s="6"/>
      <c r="M552" s="6"/>
      <c r="N552" s="6"/>
      <c r="O552" s="6"/>
      <c r="V552" s="1"/>
      <c r="AD552" s="1"/>
      <c r="AJ552" s="6">
        <f t="shared" si="148"/>
        <v>920</v>
      </c>
      <c r="AK552" s="5">
        <v>535</v>
      </c>
      <c r="AM552" s="2" t="str">
        <f t="shared" si="149"/>
        <v>4</v>
      </c>
      <c r="AN552" s="2" t="str">
        <f t="shared" si="146"/>
        <v>398</v>
      </c>
      <c r="AO552" s="2"/>
      <c r="AP552" s="2" t="str">
        <f t="shared" si="147"/>
        <v>4398</v>
      </c>
    </row>
    <row r="553" spans="6:42" x14ac:dyDescent="0.2">
      <c r="F553" s="1"/>
      <c r="K553" s="6"/>
      <c r="L553" s="6"/>
      <c r="M553" s="6"/>
      <c r="N553" s="6"/>
      <c r="O553" s="6"/>
      <c r="V553" s="1"/>
      <c r="AD553" s="1"/>
      <c r="AJ553" s="6">
        <f t="shared" si="148"/>
        <v>880</v>
      </c>
      <c r="AK553" s="5">
        <v>536</v>
      </c>
      <c r="AM553" s="2" t="str">
        <f t="shared" si="149"/>
        <v>4</v>
      </c>
      <c r="AN553" s="2" t="str">
        <f t="shared" si="146"/>
        <v>370</v>
      </c>
      <c r="AO553" s="2"/>
      <c r="AP553" s="2" t="str">
        <f t="shared" si="147"/>
        <v>4370</v>
      </c>
    </row>
    <row r="554" spans="6:42" x14ac:dyDescent="0.2">
      <c r="F554" s="1"/>
      <c r="K554" s="6"/>
      <c r="L554" s="6"/>
      <c r="M554" s="6"/>
      <c r="N554" s="6"/>
      <c r="O554" s="6"/>
      <c r="V554" s="1"/>
      <c r="AD554" s="1"/>
      <c r="AJ554" s="6">
        <f t="shared" si="148"/>
        <v>840</v>
      </c>
      <c r="AK554" s="5">
        <v>537</v>
      </c>
      <c r="AM554" s="2" t="str">
        <f t="shared" si="149"/>
        <v>4</v>
      </c>
      <c r="AN554" s="2" t="str">
        <f t="shared" si="146"/>
        <v>348</v>
      </c>
      <c r="AO554" s="2"/>
      <c r="AP554" s="2" t="str">
        <f t="shared" si="147"/>
        <v>4348</v>
      </c>
    </row>
    <row r="555" spans="6:42" x14ac:dyDescent="0.2">
      <c r="F555" s="1"/>
      <c r="K555" s="6"/>
      <c r="L555" s="6"/>
      <c r="M555" s="6"/>
      <c r="N555" s="6"/>
      <c r="O555" s="6"/>
      <c r="V555" s="1"/>
      <c r="AD555" s="1"/>
      <c r="AJ555" s="6">
        <f t="shared" si="148"/>
        <v>800</v>
      </c>
      <c r="AK555" s="5">
        <v>538</v>
      </c>
      <c r="AM555" s="2" t="str">
        <f t="shared" si="149"/>
        <v>4</v>
      </c>
      <c r="AN555" s="2" t="str">
        <f t="shared" si="146"/>
        <v>320</v>
      </c>
      <c r="AO555" s="2"/>
      <c r="AP555" s="2" t="str">
        <f t="shared" si="147"/>
        <v>4320</v>
      </c>
    </row>
    <row r="556" spans="6:42" x14ac:dyDescent="0.2">
      <c r="F556" s="1"/>
      <c r="K556" s="6"/>
      <c r="L556" s="6"/>
      <c r="M556" s="6"/>
      <c r="N556" s="6"/>
      <c r="O556" s="6"/>
      <c r="V556" s="1"/>
      <c r="AD556" s="1"/>
      <c r="AJ556" s="6">
        <f t="shared" si="148"/>
        <v>760</v>
      </c>
      <c r="AK556" s="5">
        <v>539</v>
      </c>
      <c r="AM556" s="2" t="str">
        <f t="shared" si="149"/>
        <v>4</v>
      </c>
      <c r="AN556" s="2" t="str">
        <f t="shared" si="146"/>
        <v>2F8</v>
      </c>
      <c r="AO556" s="2"/>
      <c r="AP556" s="2" t="str">
        <f t="shared" si="147"/>
        <v>42F8</v>
      </c>
    </row>
    <row r="557" spans="6:42" x14ac:dyDescent="0.2">
      <c r="F557" s="1"/>
      <c r="K557" s="6"/>
      <c r="L557" s="6"/>
      <c r="M557" s="6"/>
      <c r="N557" s="6"/>
      <c r="O557" s="6"/>
      <c r="V557" s="1"/>
      <c r="AD557" s="1"/>
      <c r="AJ557" s="6">
        <f t="shared" si="148"/>
        <v>720</v>
      </c>
      <c r="AK557" s="5">
        <v>540</v>
      </c>
      <c r="AM557" s="2" t="str">
        <f t="shared" si="149"/>
        <v>4</v>
      </c>
      <c r="AN557" s="2" t="str">
        <f t="shared" si="146"/>
        <v>2D0</v>
      </c>
      <c r="AO557" s="2"/>
      <c r="AP557" s="2" t="str">
        <f t="shared" si="147"/>
        <v>42D0</v>
      </c>
    </row>
    <row r="558" spans="6:42" x14ac:dyDescent="0.2">
      <c r="F558" s="1"/>
      <c r="K558" s="6"/>
      <c r="L558" s="6"/>
      <c r="M558" s="6"/>
      <c r="N558" s="6"/>
      <c r="O558" s="6"/>
      <c r="V558" s="1"/>
      <c r="AD558" s="1"/>
      <c r="AJ558" s="6">
        <f t="shared" si="148"/>
        <v>680</v>
      </c>
      <c r="AK558" s="5">
        <v>541</v>
      </c>
      <c r="AM558" s="2" t="str">
        <f t="shared" si="149"/>
        <v>4</v>
      </c>
      <c r="AN558" s="2" t="str">
        <f t="shared" si="146"/>
        <v>2A8</v>
      </c>
      <c r="AO558" s="2"/>
      <c r="AP558" s="2" t="str">
        <f t="shared" si="147"/>
        <v>42A8</v>
      </c>
    </row>
    <row r="559" spans="6:42" x14ac:dyDescent="0.2">
      <c r="F559" s="1"/>
      <c r="K559" s="6"/>
      <c r="L559" s="6"/>
      <c r="M559" s="6"/>
      <c r="N559" s="6"/>
      <c r="O559" s="6"/>
      <c r="V559" s="1"/>
      <c r="AD559" s="1"/>
      <c r="AJ559" s="6">
        <f t="shared" si="148"/>
        <v>640</v>
      </c>
      <c r="AK559" s="5">
        <v>542</v>
      </c>
      <c r="AM559" s="2" t="str">
        <f t="shared" si="149"/>
        <v>4</v>
      </c>
      <c r="AN559" s="2" t="str">
        <f t="shared" si="146"/>
        <v>280</v>
      </c>
      <c r="AO559" s="2"/>
      <c r="AP559" s="2" t="str">
        <f t="shared" si="147"/>
        <v>4280</v>
      </c>
    </row>
    <row r="560" spans="6:42" x14ac:dyDescent="0.2">
      <c r="F560" s="1"/>
      <c r="K560" s="6"/>
      <c r="L560" s="6"/>
      <c r="M560" s="6"/>
      <c r="N560" s="6"/>
      <c r="O560" s="6"/>
      <c r="V560" s="1"/>
      <c r="AD560" s="1"/>
      <c r="AJ560" s="6">
        <f t="shared" si="148"/>
        <v>600</v>
      </c>
      <c r="AK560" s="5">
        <v>543</v>
      </c>
      <c r="AM560" s="2" t="str">
        <f t="shared" si="149"/>
        <v>4</v>
      </c>
      <c r="AN560" s="2" t="str">
        <f t="shared" si="146"/>
        <v>258</v>
      </c>
      <c r="AO560" s="2"/>
      <c r="AP560" s="2" t="str">
        <f t="shared" si="147"/>
        <v>4258</v>
      </c>
    </row>
    <row r="561" spans="6:42" x14ac:dyDescent="0.2">
      <c r="F561" s="1"/>
      <c r="K561" s="6"/>
      <c r="L561" s="6"/>
      <c r="M561" s="6"/>
      <c r="N561" s="6"/>
      <c r="O561" s="6"/>
      <c r="V561" s="1"/>
      <c r="AD561" s="1"/>
      <c r="AJ561" s="6">
        <f t="shared" si="148"/>
        <v>560</v>
      </c>
      <c r="AK561" s="5">
        <v>544</v>
      </c>
      <c r="AM561" s="2" t="str">
        <f t="shared" si="149"/>
        <v>4</v>
      </c>
      <c r="AN561" s="2" t="str">
        <f t="shared" si="146"/>
        <v>230</v>
      </c>
      <c r="AO561" s="2"/>
      <c r="AP561" s="2" t="str">
        <f t="shared" si="147"/>
        <v>4230</v>
      </c>
    </row>
    <row r="562" spans="6:42" x14ac:dyDescent="0.2">
      <c r="F562" s="1"/>
      <c r="K562" s="6"/>
      <c r="L562" s="6"/>
      <c r="M562" s="6"/>
      <c r="N562" s="6"/>
      <c r="O562" s="6"/>
      <c r="V562" s="1"/>
      <c r="AD562" s="1"/>
      <c r="AJ562" s="6">
        <f t="shared" si="148"/>
        <v>520</v>
      </c>
      <c r="AK562" s="5">
        <v>545</v>
      </c>
      <c r="AM562" s="2" t="str">
        <f t="shared" si="149"/>
        <v>4</v>
      </c>
      <c r="AN562" s="2" t="str">
        <f t="shared" si="146"/>
        <v>208</v>
      </c>
      <c r="AO562" s="2"/>
      <c r="AP562" s="2" t="str">
        <f t="shared" si="147"/>
        <v>4208</v>
      </c>
    </row>
    <row r="563" spans="6:42" x14ac:dyDescent="0.2">
      <c r="F563" s="1"/>
      <c r="K563" s="6"/>
      <c r="L563" s="6"/>
      <c r="M563" s="6"/>
      <c r="N563" s="6"/>
      <c r="O563" s="6"/>
      <c r="V563" s="1"/>
      <c r="AD563" s="1"/>
      <c r="AJ563" s="6">
        <f t="shared" si="148"/>
        <v>480</v>
      </c>
      <c r="AK563" s="5">
        <v>546</v>
      </c>
      <c r="AM563" s="2" t="str">
        <f t="shared" si="149"/>
        <v>4</v>
      </c>
      <c r="AN563" s="2" t="str">
        <f t="shared" si="146"/>
        <v>1E0</v>
      </c>
      <c r="AO563" s="2"/>
      <c r="AP563" s="2" t="str">
        <f t="shared" si="147"/>
        <v>41E0</v>
      </c>
    </row>
    <row r="564" spans="6:42" x14ac:dyDescent="0.2">
      <c r="F564" s="1"/>
      <c r="K564" s="6"/>
      <c r="L564" s="6"/>
      <c r="M564" s="6"/>
      <c r="N564" s="6"/>
      <c r="O564" s="6"/>
      <c r="V564" s="1"/>
      <c r="AD564" s="1"/>
      <c r="AJ564" s="6">
        <f t="shared" si="148"/>
        <v>440</v>
      </c>
      <c r="AK564" s="5">
        <v>547</v>
      </c>
      <c r="AM564" s="2" t="str">
        <f t="shared" si="149"/>
        <v>4</v>
      </c>
      <c r="AN564" s="2" t="str">
        <f t="shared" si="146"/>
        <v>1B8</v>
      </c>
      <c r="AO564" s="2"/>
      <c r="AP564" s="2" t="str">
        <f t="shared" si="147"/>
        <v>41B8</v>
      </c>
    </row>
    <row r="565" spans="6:42" x14ac:dyDescent="0.2">
      <c r="F565" s="1"/>
      <c r="K565" s="6"/>
      <c r="L565" s="6"/>
      <c r="M565" s="6"/>
      <c r="N565" s="6"/>
      <c r="O565" s="6"/>
      <c r="V565" s="1"/>
      <c r="AD565" s="1"/>
      <c r="AJ565" s="6">
        <f t="shared" si="148"/>
        <v>400</v>
      </c>
      <c r="AK565" s="5">
        <v>548</v>
      </c>
      <c r="AM565" s="2" t="str">
        <f t="shared" si="149"/>
        <v>4</v>
      </c>
      <c r="AN565" s="2" t="str">
        <f t="shared" si="146"/>
        <v>190</v>
      </c>
      <c r="AO565" s="2"/>
      <c r="AP565" s="2" t="str">
        <f t="shared" si="147"/>
        <v>4190</v>
      </c>
    </row>
    <row r="566" spans="6:42" x14ac:dyDescent="0.2">
      <c r="F566" s="1"/>
      <c r="K566" s="6"/>
      <c r="L566" s="6"/>
      <c r="M566" s="6"/>
      <c r="N566" s="6"/>
      <c r="O566" s="6"/>
      <c r="V566" s="1"/>
      <c r="AD566" s="1"/>
      <c r="AJ566" s="6">
        <f t="shared" si="148"/>
        <v>360</v>
      </c>
      <c r="AK566" s="5">
        <v>549</v>
      </c>
      <c r="AM566" s="2" t="str">
        <f t="shared" si="149"/>
        <v>4</v>
      </c>
      <c r="AN566" s="2" t="str">
        <f t="shared" si="146"/>
        <v>168</v>
      </c>
      <c r="AO566" s="2"/>
      <c r="AP566" s="2" t="str">
        <f t="shared" si="147"/>
        <v>4168</v>
      </c>
    </row>
    <row r="567" spans="6:42" x14ac:dyDescent="0.2">
      <c r="F567" s="1"/>
      <c r="K567" s="6"/>
      <c r="L567" s="6"/>
      <c r="M567" s="6"/>
      <c r="N567" s="6"/>
      <c r="O567" s="6"/>
      <c r="V567" s="1"/>
      <c r="AD567" s="1"/>
      <c r="AJ567" s="6">
        <f t="shared" si="148"/>
        <v>320</v>
      </c>
      <c r="AK567" s="5">
        <v>550</v>
      </c>
      <c r="AM567" s="2" t="str">
        <f t="shared" si="149"/>
        <v>4</v>
      </c>
      <c r="AN567" s="2" t="str">
        <f t="shared" si="146"/>
        <v>140</v>
      </c>
      <c r="AO567" s="2"/>
      <c r="AP567" s="2" t="str">
        <f t="shared" si="147"/>
        <v>4140</v>
      </c>
    </row>
    <row r="568" spans="6:42" x14ac:dyDescent="0.2">
      <c r="F568" s="1"/>
      <c r="K568" s="6"/>
      <c r="L568" s="6"/>
      <c r="M568" s="6"/>
      <c r="N568" s="6"/>
      <c r="O568" s="6"/>
      <c r="V568" s="1"/>
      <c r="AD568" s="1"/>
      <c r="AJ568" s="6">
        <f t="shared" si="148"/>
        <v>280</v>
      </c>
      <c r="AK568" s="5">
        <v>551</v>
      </c>
      <c r="AM568" s="2" t="str">
        <f t="shared" si="149"/>
        <v>4</v>
      </c>
      <c r="AN568" s="2" t="str">
        <f t="shared" si="146"/>
        <v>118</v>
      </c>
      <c r="AO568" s="2"/>
      <c r="AP568" s="2" t="str">
        <f t="shared" si="147"/>
        <v>4118</v>
      </c>
    </row>
    <row r="569" spans="6:42" x14ac:dyDescent="0.2">
      <c r="F569" s="1"/>
      <c r="K569" s="6"/>
      <c r="L569" s="6"/>
      <c r="M569" s="6"/>
      <c r="N569" s="6"/>
      <c r="O569" s="6"/>
      <c r="V569" s="1"/>
      <c r="AD569" s="1"/>
      <c r="AJ569" s="6">
        <f t="shared" si="148"/>
        <v>240</v>
      </c>
      <c r="AK569" s="5">
        <v>552</v>
      </c>
      <c r="AM569" s="2" t="str">
        <f t="shared" si="149"/>
        <v>4</v>
      </c>
      <c r="AN569" s="2" t="str">
        <f t="shared" si="146"/>
        <v>0F0</v>
      </c>
      <c r="AO569" s="2"/>
      <c r="AP569" s="2" t="str">
        <f t="shared" si="147"/>
        <v>40F0</v>
      </c>
    </row>
    <row r="570" spans="6:42" x14ac:dyDescent="0.2">
      <c r="K570" s="6"/>
      <c r="L570" s="6"/>
      <c r="M570" s="6"/>
      <c r="N570" s="6"/>
      <c r="O570" s="6"/>
      <c r="AJ570" s="6">
        <f t="shared" si="148"/>
        <v>200</v>
      </c>
      <c r="AK570" s="5">
        <v>553</v>
      </c>
      <c r="AM570" s="2" t="str">
        <f t="shared" si="149"/>
        <v>4</v>
      </c>
      <c r="AN570" s="2" t="str">
        <f t="shared" si="146"/>
        <v>0C8</v>
      </c>
      <c r="AO570" s="2"/>
      <c r="AP570" s="2" t="str">
        <f t="shared" si="147"/>
        <v>40C8</v>
      </c>
    </row>
    <row r="571" spans="6:42" x14ac:dyDescent="0.2">
      <c r="K571" s="6"/>
      <c r="L571" s="6"/>
      <c r="M571" s="6"/>
      <c r="N571" s="6"/>
      <c r="O571" s="6"/>
      <c r="AJ571" s="6">
        <f t="shared" si="148"/>
        <v>200</v>
      </c>
      <c r="AK571" s="5">
        <v>554</v>
      </c>
      <c r="AM571" s="2" t="str">
        <f t="shared" si="149"/>
        <v>4</v>
      </c>
      <c r="AN571" s="2" t="str">
        <f t="shared" si="146"/>
        <v>0C8</v>
      </c>
      <c r="AO571" s="2"/>
      <c r="AP571" s="2" t="str">
        <f t="shared" si="147"/>
        <v>40C8</v>
      </c>
    </row>
    <row r="572" spans="6:42" x14ac:dyDescent="0.2">
      <c r="K572" s="6"/>
      <c r="L572" s="6"/>
      <c r="M572" s="6"/>
      <c r="N572" s="6"/>
      <c r="O572" s="6"/>
      <c r="AJ572" s="6">
        <f t="shared" si="148"/>
        <v>200</v>
      </c>
      <c r="AK572" s="5">
        <v>555</v>
      </c>
      <c r="AM572" s="2" t="str">
        <f t="shared" si="149"/>
        <v>4</v>
      </c>
      <c r="AN572" s="2" t="str">
        <f t="shared" si="146"/>
        <v>0C8</v>
      </c>
      <c r="AO572" s="2"/>
      <c r="AP572" s="2" t="str">
        <f t="shared" si="147"/>
        <v>40C8</v>
      </c>
    </row>
    <row r="573" spans="6:42" x14ac:dyDescent="0.2">
      <c r="K573" s="6"/>
      <c r="L573" s="6"/>
      <c r="M573" s="6"/>
      <c r="N573" s="6"/>
      <c r="O573" s="6"/>
      <c r="AJ573" s="6">
        <f t="shared" si="148"/>
        <v>200</v>
      </c>
      <c r="AK573" s="5">
        <v>556</v>
      </c>
      <c r="AM573" s="2" t="str">
        <f t="shared" si="149"/>
        <v>4</v>
      </c>
      <c r="AN573" s="2" t="str">
        <f t="shared" si="146"/>
        <v>0C8</v>
      </c>
      <c r="AO573" s="2"/>
      <c r="AP573" s="2" t="str">
        <f t="shared" si="147"/>
        <v>40C8</v>
      </c>
    </row>
    <row r="574" spans="6:42" x14ac:dyDescent="0.2">
      <c r="K574" s="6"/>
      <c r="L574" s="6"/>
      <c r="M574" s="6"/>
      <c r="N574" s="6"/>
      <c r="O574" s="6"/>
      <c r="AJ574" s="6">
        <f t="shared" si="148"/>
        <v>200</v>
      </c>
      <c r="AK574" s="5">
        <v>557</v>
      </c>
      <c r="AM574" s="2" t="str">
        <f t="shared" si="149"/>
        <v>4</v>
      </c>
      <c r="AN574" s="2" t="str">
        <f t="shared" si="146"/>
        <v>0C8</v>
      </c>
      <c r="AO574" s="2"/>
      <c r="AP574" s="2" t="str">
        <f t="shared" si="147"/>
        <v>40C8</v>
      </c>
    </row>
    <row r="575" spans="6:42" x14ac:dyDescent="0.2">
      <c r="K575" s="6"/>
      <c r="L575" s="6"/>
      <c r="M575" s="6"/>
      <c r="N575" s="6"/>
      <c r="O575" s="6"/>
      <c r="AJ575" s="6">
        <f t="shared" si="148"/>
        <v>200</v>
      </c>
      <c r="AK575" s="5">
        <v>558</v>
      </c>
      <c r="AM575" s="2" t="str">
        <f t="shared" si="149"/>
        <v>4</v>
      </c>
      <c r="AN575" s="2" t="str">
        <f t="shared" si="146"/>
        <v>0C8</v>
      </c>
      <c r="AO575" s="2"/>
      <c r="AP575" s="2" t="str">
        <f t="shared" si="147"/>
        <v>40C8</v>
      </c>
    </row>
    <row r="576" spans="6:42" x14ac:dyDescent="0.2">
      <c r="K576" s="6"/>
      <c r="L576" s="6"/>
      <c r="M576" s="6"/>
      <c r="N576" s="6"/>
      <c r="O576" s="6"/>
      <c r="AJ576" s="6">
        <f t="shared" si="148"/>
        <v>200</v>
      </c>
      <c r="AK576" s="5">
        <v>559</v>
      </c>
      <c r="AM576" s="2" t="str">
        <f t="shared" si="149"/>
        <v>4</v>
      </c>
      <c r="AN576" s="2" t="str">
        <f t="shared" si="146"/>
        <v>0C8</v>
      </c>
      <c r="AO576" s="2"/>
      <c r="AP576" s="2" t="str">
        <f t="shared" si="147"/>
        <v>40C8</v>
      </c>
    </row>
    <row r="577" spans="11:42" x14ac:dyDescent="0.2">
      <c r="K577" s="6"/>
      <c r="L577" s="6"/>
      <c r="M577" s="6"/>
      <c r="N577" s="6"/>
      <c r="O577" s="6"/>
      <c r="AJ577" s="6">
        <f t="shared" si="148"/>
        <v>200</v>
      </c>
      <c r="AK577" s="5">
        <v>560</v>
      </c>
      <c r="AM577" s="2" t="str">
        <f t="shared" si="149"/>
        <v>4</v>
      </c>
      <c r="AN577" s="2" t="str">
        <f t="shared" si="146"/>
        <v>0C8</v>
      </c>
      <c r="AO577" s="2"/>
      <c r="AP577" s="2" t="str">
        <f t="shared" si="147"/>
        <v>40C8</v>
      </c>
    </row>
    <row r="578" spans="11:42" x14ac:dyDescent="0.2">
      <c r="K578" s="6"/>
      <c r="L578" s="6"/>
      <c r="M578" s="6"/>
      <c r="N578" s="6"/>
      <c r="O578" s="6"/>
      <c r="AJ578" s="6">
        <f t="shared" si="148"/>
        <v>200</v>
      </c>
      <c r="AK578" s="5">
        <v>561</v>
      </c>
      <c r="AM578" s="2" t="str">
        <f t="shared" si="149"/>
        <v>4</v>
      </c>
      <c r="AN578" s="2" t="str">
        <f t="shared" si="146"/>
        <v>0C8</v>
      </c>
      <c r="AO578" s="2"/>
      <c r="AP578" s="2" t="str">
        <f t="shared" si="147"/>
        <v>40C8</v>
      </c>
    </row>
    <row r="579" spans="11:42" x14ac:dyDescent="0.2">
      <c r="K579" s="6"/>
      <c r="L579" s="6"/>
      <c r="M579" s="6"/>
      <c r="N579" s="6"/>
      <c r="O579" s="6"/>
      <c r="AJ579" s="6">
        <f t="shared" si="148"/>
        <v>200</v>
      </c>
      <c r="AK579" s="5">
        <v>562</v>
      </c>
      <c r="AM579" s="2" t="str">
        <f t="shared" si="149"/>
        <v>4</v>
      </c>
      <c r="AN579" s="2" t="str">
        <f t="shared" si="146"/>
        <v>0C8</v>
      </c>
      <c r="AO579" s="2"/>
      <c r="AP579" s="2" t="str">
        <f t="shared" si="147"/>
        <v>40C8</v>
      </c>
    </row>
    <row r="580" spans="11:42" x14ac:dyDescent="0.2">
      <c r="K580" s="6"/>
      <c r="L580" s="6"/>
      <c r="M580" s="6"/>
      <c r="N580" s="6"/>
      <c r="O580" s="6"/>
      <c r="AJ580" s="6">
        <f t="shared" si="148"/>
        <v>200</v>
      </c>
      <c r="AK580" s="5">
        <v>563</v>
      </c>
      <c r="AM580" s="2" t="str">
        <f t="shared" si="149"/>
        <v>4</v>
      </c>
      <c r="AN580" s="2" t="str">
        <f t="shared" si="146"/>
        <v>0C8</v>
      </c>
      <c r="AO580" s="2"/>
      <c r="AP580" s="2" t="str">
        <f t="shared" si="147"/>
        <v>40C8</v>
      </c>
    </row>
    <row r="581" spans="11:42" x14ac:dyDescent="0.2">
      <c r="K581" s="6"/>
      <c r="L581" s="6"/>
      <c r="M581" s="6"/>
      <c r="N581" s="6"/>
      <c r="O581" s="6"/>
      <c r="AJ581" s="6">
        <f t="shared" si="148"/>
        <v>200</v>
      </c>
      <c r="AK581" s="5">
        <v>564</v>
      </c>
      <c r="AM581" s="2" t="str">
        <f t="shared" si="149"/>
        <v>4</v>
      </c>
      <c r="AN581" s="2" t="str">
        <f t="shared" si="146"/>
        <v>0C8</v>
      </c>
      <c r="AO581" s="2"/>
      <c r="AP581" s="2" t="str">
        <f t="shared" si="147"/>
        <v>40C8</v>
      </c>
    </row>
    <row r="582" spans="11:42" x14ac:dyDescent="0.2">
      <c r="K582" s="6"/>
      <c r="L582" s="6"/>
      <c r="M582" s="6"/>
      <c r="N582" s="6"/>
      <c r="O582" s="6"/>
      <c r="AJ582" s="6">
        <f t="shared" si="148"/>
        <v>200</v>
      </c>
      <c r="AK582" s="5">
        <v>565</v>
      </c>
      <c r="AM582" s="2" t="str">
        <f t="shared" si="149"/>
        <v>4</v>
      </c>
      <c r="AN582" s="2" t="str">
        <f t="shared" si="146"/>
        <v>0C8</v>
      </c>
      <c r="AO582" s="2"/>
      <c r="AP582" s="2" t="str">
        <f t="shared" si="147"/>
        <v>40C8</v>
      </c>
    </row>
    <row r="583" spans="11:42" x14ac:dyDescent="0.2">
      <c r="K583" s="6"/>
      <c r="L583" s="6"/>
      <c r="M583" s="6"/>
      <c r="N583" s="6"/>
      <c r="O583" s="6"/>
      <c r="AJ583" s="6">
        <f t="shared" si="148"/>
        <v>200</v>
      </c>
      <c r="AK583" s="5">
        <v>566</v>
      </c>
      <c r="AM583" s="2" t="str">
        <f t="shared" si="149"/>
        <v>4</v>
      </c>
      <c r="AN583" s="2" t="str">
        <f t="shared" si="146"/>
        <v>0C8</v>
      </c>
      <c r="AO583" s="2"/>
      <c r="AP583" s="2" t="str">
        <f t="shared" si="147"/>
        <v>40C8</v>
      </c>
    </row>
    <row r="584" spans="11:42" x14ac:dyDescent="0.2">
      <c r="K584" s="6"/>
      <c r="L584" s="6"/>
      <c r="M584" s="6"/>
      <c r="N584" s="6"/>
      <c r="O584" s="6"/>
      <c r="AJ584" s="6">
        <f t="shared" si="148"/>
        <v>200</v>
      </c>
      <c r="AK584" s="5">
        <v>567</v>
      </c>
      <c r="AM584" s="2" t="str">
        <f t="shared" si="149"/>
        <v>4</v>
      </c>
      <c r="AN584" s="2" t="str">
        <f t="shared" si="146"/>
        <v>0C8</v>
      </c>
      <c r="AO584" s="2"/>
      <c r="AP584" s="2" t="str">
        <f t="shared" si="147"/>
        <v>40C8</v>
      </c>
    </row>
    <row r="585" spans="11:42" x14ac:dyDescent="0.2">
      <c r="K585" s="6"/>
      <c r="L585" s="6"/>
      <c r="M585" s="6"/>
      <c r="N585" s="6"/>
      <c r="O585" s="6"/>
      <c r="AJ585" s="6">
        <f t="shared" si="148"/>
        <v>200</v>
      </c>
      <c r="AK585" s="5">
        <v>568</v>
      </c>
      <c r="AM585" s="2" t="str">
        <f t="shared" si="149"/>
        <v>4</v>
      </c>
      <c r="AN585" s="2" t="str">
        <f t="shared" si="146"/>
        <v>0C8</v>
      </c>
      <c r="AO585" s="2"/>
      <c r="AP585" s="2" t="str">
        <f t="shared" si="147"/>
        <v>40C8</v>
      </c>
    </row>
    <row r="586" spans="11:42" x14ac:dyDescent="0.2">
      <c r="K586" s="6"/>
      <c r="L586" s="6"/>
      <c r="M586" s="6"/>
      <c r="N586" s="6"/>
      <c r="O586" s="6"/>
      <c r="AJ586" s="6">
        <f t="shared" si="148"/>
        <v>200</v>
      </c>
      <c r="AK586" s="5">
        <v>569</v>
      </c>
      <c r="AM586" s="2" t="str">
        <f t="shared" si="149"/>
        <v>4</v>
      </c>
      <c r="AN586" s="2" t="str">
        <f t="shared" si="146"/>
        <v>0C8</v>
      </c>
      <c r="AO586" s="2"/>
      <c r="AP586" s="2" t="str">
        <f t="shared" si="147"/>
        <v>40C8</v>
      </c>
    </row>
    <row r="587" spans="11:42" x14ac:dyDescent="0.2">
      <c r="K587" s="6"/>
      <c r="L587" s="6"/>
      <c r="M587" s="6"/>
      <c r="N587" s="6"/>
      <c r="O587" s="6"/>
      <c r="AJ587" s="6">
        <f t="shared" si="148"/>
        <v>200</v>
      </c>
      <c r="AK587" s="5">
        <v>570</v>
      </c>
      <c r="AM587" s="2" t="str">
        <f t="shared" si="149"/>
        <v>4</v>
      </c>
      <c r="AN587" s="2" t="str">
        <f t="shared" si="146"/>
        <v>0C8</v>
      </c>
      <c r="AO587" s="2"/>
      <c r="AP587" s="2" t="str">
        <f t="shared" si="147"/>
        <v>40C8</v>
      </c>
    </row>
    <row r="588" spans="11:42" x14ac:dyDescent="0.2">
      <c r="K588" s="6"/>
      <c r="L588" s="6"/>
      <c r="M588" s="6"/>
      <c r="N588" s="6"/>
      <c r="O588" s="6"/>
      <c r="AJ588" s="6">
        <f t="shared" si="148"/>
        <v>200</v>
      </c>
      <c r="AK588" s="5">
        <v>571</v>
      </c>
      <c r="AM588" s="2" t="str">
        <f t="shared" si="149"/>
        <v>4</v>
      </c>
      <c r="AN588" s="2" t="str">
        <f t="shared" si="146"/>
        <v>0C8</v>
      </c>
      <c r="AO588" s="2"/>
      <c r="AP588" s="2" t="str">
        <f t="shared" si="147"/>
        <v>40C8</v>
      </c>
    </row>
    <row r="589" spans="11:42" x14ac:dyDescent="0.2">
      <c r="K589" s="6"/>
      <c r="L589" s="6"/>
      <c r="M589" s="6"/>
      <c r="N589" s="6"/>
      <c r="O589" s="6"/>
      <c r="AJ589" s="6">
        <f t="shared" si="148"/>
        <v>200</v>
      </c>
      <c r="AK589" s="5">
        <v>572</v>
      </c>
      <c r="AM589" s="2" t="str">
        <f t="shared" si="149"/>
        <v>4</v>
      </c>
      <c r="AN589" s="2" t="str">
        <f t="shared" si="146"/>
        <v>0C8</v>
      </c>
      <c r="AO589" s="2"/>
      <c r="AP589" s="2" t="str">
        <f t="shared" si="147"/>
        <v>40C8</v>
      </c>
    </row>
    <row r="590" spans="11:42" x14ac:dyDescent="0.2">
      <c r="K590" s="6"/>
      <c r="L590" s="6"/>
      <c r="M590" s="6"/>
      <c r="N590" s="6"/>
      <c r="O590" s="6"/>
      <c r="AJ590" s="6">
        <f t="shared" si="148"/>
        <v>200</v>
      </c>
      <c r="AK590" s="5">
        <v>573</v>
      </c>
      <c r="AM590" s="2" t="str">
        <f t="shared" si="149"/>
        <v>4</v>
      </c>
      <c r="AN590" s="2" t="str">
        <f t="shared" si="146"/>
        <v>0C8</v>
      </c>
      <c r="AO590" s="2"/>
      <c r="AP590" s="2" t="str">
        <f t="shared" si="147"/>
        <v>40C8</v>
      </c>
    </row>
    <row r="591" spans="11:42" x14ac:dyDescent="0.2">
      <c r="K591" s="6"/>
      <c r="L591" s="6"/>
      <c r="M591" s="6"/>
      <c r="N591" s="6"/>
      <c r="O591" s="6"/>
      <c r="AJ591" s="6">
        <f t="shared" si="148"/>
        <v>240</v>
      </c>
      <c r="AK591" s="5">
        <v>574</v>
      </c>
      <c r="AM591" s="2" t="str">
        <f t="shared" si="149"/>
        <v>4</v>
      </c>
      <c r="AN591" s="2" t="str">
        <f t="shared" si="146"/>
        <v>0F0</v>
      </c>
      <c r="AO591" s="2"/>
      <c r="AP591" s="2" t="str">
        <f t="shared" si="147"/>
        <v>40F0</v>
      </c>
    </row>
    <row r="592" spans="11:42" x14ac:dyDescent="0.2">
      <c r="K592" s="6"/>
      <c r="L592" s="6"/>
      <c r="M592" s="6"/>
      <c r="N592" s="6"/>
      <c r="O592" s="6"/>
      <c r="AJ592" s="6">
        <f t="shared" si="148"/>
        <v>280</v>
      </c>
      <c r="AK592" s="5">
        <v>575</v>
      </c>
      <c r="AM592" s="2" t="str">
        <f t="shared" si="149"/>
        <v>4</v>
      </c>
      <c r="AN592" s="2" t="str">
        <f t="shared" si="146"/>
        <v>118</v>
      </c>
      <c r="AO592" s="2"/>
      <c r="AP592" s="2" t="str">
        <f t="shared" si="147"/>
        <v>4118</v>
      </c>
    </row>
    <row r="593" spans="11:42" x14ac:dyDescent="0.2">
      <c r="K593" s="6"/>
      <c r="L593" s="6"/>
      <c r="M593" s="6"/>
      <c r="N593" s="6"/>
      <c r="O593" s="6"/>
      <c r="AJ593" s="6">
        <f t="shared" si="148"/>
        <v>320</v>
      </c>
      <c r="AK593" s="5">
        <v>576</v>
      </c>
      <c r="AM593" s="2" t="str">
        <f t="shared" si="149"/>
        <v>4</v>
      </c>
      <c r="AN593" s="2" t="str">
        <f t="shared" si="146"/>
        <v>140</v>
      </c>
      <c r="AO593" s="2"/>
      <c r="AP593" s="2" t="str">
        <f t="shared" si="147"/>
        <v>4140</v>
      </c>
    </row>
    <row r="594" spans="11:42" x14ac:dyDescent="0.2">
      <c r="K594" s="6"/>
      <c r="L594" s="6"/>
      <c r="M594" s="6"/>
      <c r="N594" s="6"/>
      <c r="O594" s="6"/>
      <c r="AJ594" s="6">
        <f t="shared" si="148"/>
        <v>360</v>
      </c>
      <c r="AK594" s="5">
        <v>577</v>
      </c>
      <c r="AM594" s="2" t="str">
        <f t="shared" si="149"/>
        <v>4</v>
      </c>
      <c r="AN594" s="2" t="str">
        <f t="shared" ref="AN594:AN657" si="150">DEC2HEX(AJ594,3)</f>
        <v>168</v>
      </c>
      <c r="AO594" s="2"/>
      <c r="AP594" s="2" t="str">
        <f t="shared" ref="AP594:AP657" si="151">CONCATENATE(AM594,AN594)</f>
        <v>4168</v>
      </c>
    </row>
    <row r="595" spans="11:42" x14ac:dyDescent="0.2">
      <c r="K595" s="6"/>
      <c r="L595" s="6"/>
      <c r="M595" s="6"/>
      <c r="N595" s="6"/>
      <c r="O595" s="6"/>
      <c r="AJ595" s="6">
        <f t="shared" ref="AJ595:AJ658" si="152">ROUNDDOWN(($O83*$O$16+$I$6*100)*10,0)</f>
        <v>400</v>
      </c>
      <c r="AK595" s="5">
        <v>578</v>
      </c>
      <c r="AM595" s="2" t="str">
        <f t="shared" ref="AM595:AM658" si="153">BIN2HEX(K83+10*L83+100*M83+1000*N83,1)</f>
        <v>4</v>
      </c>
      <c r="AN595" s="2" t="str">
        <f t="shared" si="150"/>
        <v>190</v>
      </c>
      <c r="AO595" s="2"/>
      <c r="AP595" s="2" t="str">
        <f t="shared" si="151"/>
        <v>4190</v>
      </c>
    </row>
    <row r="596" spans="11:42" x14ac:dyDescent="0.2">
      <c r="K596" s="6"/>
      <c r="L596" s="6"/>
      <c r="M596" s="6"/>
      <c r="N596" s="6"/>
      <c r="O596" s="6"/>
      <c r="AJ596" s="6">
        <f t="shared" si="152"/>
        <v>440</v>
      </c>
      <c r="AK596" s="5">
        <v>579</v>
      </c>
      <c r="AM596" s="2" t="str">
        <f t="shared" si="153"/>
        <v>4</v>
      </c>
      <c r="AN596" s="2" t="str">
        <f t="shared" si="150"/>
        <v>1B8</v>
      </c>
      <c r="AO596" s="2"/>
      <c r="AP596" s="2" t="str">
        <f t="shared" si="151"/>
        <v>41B8</v>
      </c>
    </row>
    <row r="597" spans="11:42" x14ac:dyDescent="0.2">
      <c r="K597" s="6"/>
      <c r="L597" s="6"/>
      <c r="M597" s="6"/>
      <c r="N597" s="6"/>
      <c r="O597" s="6"/>
      <c r="AJ597" s="6">
        <f t="shared" si="152"/>
        <v>480</v>
      </c>
      <c r="AK597" s="5">
        <v>580</v>
      </c>
      <c r="AM597" s="2" t="str">
        <f t="shared" si="153"/>
        <v>4</v>
      </c>
      <c r="AN597" s="2" t="str">
        <f t="shared" si="150"/>
        <v>1E0</v>
      </c>
      <c r="AO597" s="2"/>
      <c r="AP597" s="2" t="str">
        <f t="shared" si="151"/>
        <v>41E0</v>
      </c>
    </row>
    <row r="598" spans="11:42" x14ac:dyDescent="0.2">
      <c r="K598" s="6"/>
      <c r="L598" s="6"/>
      <c r="M598" s="6"/>
      <c r="N598" s="6"/>
      <c r="O598" s="6"/>
      <c r="AJ598" s="6">
        <f t="shared" si="152"/>
        <v>520</v>
      </c>
      <c r="AK598" s="5">
        <v>581</v>
      </c>
      <c r="AM598" s="2" t="str">
        <f t="shared" si="153"/>
        <v>4</v>
      </c>
      <c r="AN598" s="2" t="str">
        <f t="shared" si="150"/>
        <v>208</v>
      </c>
      <c r="AO598" s="2"/>
      <c r="AP598" s="2" t="str">
        <f t="shared" si="151"/>
        <v>4208</v>
      </c>
    </row>
    <row r="599" spans="11:42" x14ac:dyDescent="0.2">
      <c r="K599" s="6"/>
      <c r="L599" s="6"/>
      <c r="M599" s="6"/>
      <c r="N599" s="6"/>
      <c r="O599" s="6"/>
      <c r="AJ599" s="6">
        <f t="shared" si="152"/>
        <v>560</v>
      </c>
      <c r="AK599" s="5">
        <v>582</v>
      </c>
      <c r="AM599" s="2" t="str">
        <f t="shared" si="153"/>
        <v>4</v>
      </c>
      <c r="AN599" s="2" t="str">
        <f t="shared" si="150"/>
        <v>230</v>
      </c>
      <c r="AO599" s="2"/>
      <c r="AP599" s="2" t="str">
        <f t="shared" si="151"/>
        <v>4230</v>
      </c>
    </row>
    <row r="600" spans="11:42" x14ac:dyDescent="0.2">
      <c r="K600" s="6"/>
      <c r="L600" s="6"/>
      <c r="M600" s="6"/>
      <c r="N600" s="6"/>
      <c r="O600" s="6"/>
      <c r="AJ600" s="6">
        <f t="shared" si="152"/>
        <v>600</v>
      </c>
      <c r="AK600" s="5">
        <v>583</v>
      </c>
      <c r="AM600" s="2" t="str">
        <f t="shared" si="153"/>
        <v>4</v>
      </c>
      <c r="AN600" s="2" t="str">
        <f t="shared" si="150"/>
        <v>258</v>
      </c>
      <c r="AO600" s="2"/>
      <c r="AP600" s="2" t="str">
        <f t="shared" si="151"/>
        <v>4258</v>
      </c>
    </row>
    <row r="601" spans="11:42" x14ac:dyDescent="0.2">
      <c r="K601" s="6"/>
      <c r="L601" s="6"/>
      <c r="M601" s="6"/>
      <c r="N601" s="6"/>
      <c r="O601" s="6"/>
      <c r="AJ601" s="6">
        <f t="shared" si="152"/>
        <v>640</v>
      </c>
      <c r="AK601" s="5">
        <v>584</v>
      </c>
      <c r="AM601" s="2" t="str">
        <f t="shared" si="153"/>
        <v>4</v>
      </c>
      <c r="AN601" s="2" t="str">
        <f t="shared" si="150"/>
        <v>280</v>
      </c>
      <c r="AO601" s="2"/>
      <c r="AP601" s="2" t="str">
        <f t="shared" si="151"/>
        <v>4280</v>
      </c>
    </row>
    <row r="602" spans="11:42" x14ac:dyDescent="0.2">
      <c r="K602" s="6"/>
      <c r="L602" s="6"/>
      <c r="M602" s="6"/>
      <c r="N602" s="6"/>
      <c r="O602" s="6"/>
      <c r="AJ602" s="6">
        <f t="shared" si="152"/>
        <v>680</v>
      </c>
      <c r="AK602" s="5">
        <v>585</v>
      </c>
      <c r="AM602" s="2" t="str">
        <f t="shared" si="153"/>
        <v>4</v>
      </c>
      <c r="AN602" s="2" t="str">
        <f t="shared" si="150"/>
        <v>2A8</v>
      </c>
      <c r="AO602" s="2"/>
      <c r="AP602" s="2" t="str">
        <f t="shared" si="151"/>
        <v>42A8</v>
      </c>
    </row>
    <row r="603" spans="11:42" x14ac:dyDescent="0.2">
      <c r="K603" s="6"/>
      <c r="L603" s="6"/>
      <c r="M603" s="6"/>
      <c r="N603" s="6"/>
      <c r="O603" s="6"/>
      <c r="AJ603" s="6">
        <f t="shared" si="152"/>
        <v>720</v>
      </c>
      <c r="AK603" s="5">
        <v>586</v>
      </c>
      <c r="AM603" s="2" t="str">
        <f t="shared" si="153"/>
        <v>4</v>
      </c>
      <c r="AN603" s="2" t="str">
        <f t="shared" si="150"/>
        <v>2D0</v>
      </c>
      <c r="AO603" s="2"/>
      <c r="AP603" s="2" t="str">
        <f t="shared" si="151"/>
        <v>42D0</v>
      </c>
    </row>
    <row r="604" spans="11:42" x14ac:dyDescent="0.2">
      <c r="K604" s="6"/>
      <c r="L604" s="6"/>
      <c r="M604" s="6"/>
      <c r="N604" s="6"/>
      <c r="O604" s="6"/>
      <c r="AJ604" s="6">
        <f t="shared" si="152"/>
        <v>760</v>
      </c>
      <c r="AK604" s="5">
        <v>587</v>
      </c>
      <c r="AM604" s="2" t="str">
        <f t="shared" si="153"/>
        <v>4</v>
      </c>
      <c r="AN604" s="2" t="str">
        <f t="shared" si="150"/>
        <v>2F8</v>
      </c>
      <c r="AO604" s="2"/>
      <c r="AP604" s="2" t="str">
        <f t="shared" si="151"/>
        <v>42F8</v>
      </c>
    </row>
    <row r="605" spans="11:42" x14ac:dyDescent="0.2">
      <c r="K605" s="6"/>
      <c r="L605" s="6"/>
      <c r="M605" s="6"/>
      <c r="N605" s="6"/>
      <c r="O605" s="6"/>
      <c r="AJ605" s="6">
        <f t="shared" si="152"/>
        <v>800</v>
      </c>
      <c r="AK605" s="5">
        <v>588</v>
      </c>
      <c r="AM605" s="2" t="str">
        <f t="shared" si="153"/>
        <v>4</v>
      </c>
      <c r="AN605" s="2" t="str">
        <f t="shared" si="150"/>
        <v>320</v>
      </c>
      <c r="AO605" s="2"/>
      <c r="AP605" s="2" t="str">
        <f t="shared" si="151"/>
        <v>4320</v>
      </c>
    </row>
    <row r="606" spans="11:42" x14ac:dyDescent="0.2">
      <c r="K606" s="6"/>
      <c r="L606" s="6"/>
      <c r="M606" s="6"/>
      <c r="N606" s="6"/>
      <c r="O606" s="6"/>
      <c r="AJ606" s="6">
        <f t="shared" si="152"/>
        <v>840</v>
      </c>
      <c r="AK606" s="5">
        <v>589</v>
      </c>
      <c r="AM606" s="2" t="str">
        <f t="shared" si="153"/>
        <v>4</v>
      </c>
      <c r="AN606" s="2" t="str">
        <f t="shared" si="150"/>
        <v>348</v>
      </c>
      <c r="AO606" s="2"/>
      <c r="AP606" s="2" t="str">
        <f t="shared" si="151"/>
        <v>4348</v>
      </c>
    </row>
    <row r="607" spans="11:42" x14ac:dyDescent="0.2">
      <c r="K607" s="6"/>
      <c r="L607" s="6"/>
      <c r="M607" s="6"/>
      <c r="N607" s="6"/>
      <c r="O607" s="6"/>
      <c r="AJ607" s="6">
        <f t="shared" si="152"/>
        <v>880</v>
      </c>
      <c r="AK607" s="5">
        <v>590</v>
      </c>
      <c r="AM607" s="2" t="str">
        <f t="shared" si="153"/>
        <v>4</v>
      </c>
      <c r="AN607" s="2" t="str">
        <f t="shared" si="150"/>
        <v>370</v>
      </c>
      <c r="AO607" s="2"/>
      <c r="AP607" s="2" t="str">
        <f t="shared" si="151"/>
        <v>4370</v>
      </c>
    </row>
    <row r="608" spans="11:42" x14ac:dyDescent="0.2">
      <c r="K608" s="6"/>
      <c r="L608" s="6"/>
      <c r="M608" s="6"/>
      <c r="N608" s="6"/>
      <c r="O608" s="6"/>
      <c r="AJ608" s="6">
        <f t="shared" si="152"/>
        <v>920</v>
      </c>
      <c r="AK608" s="5">
        <v>591</v>
      </c>
      <c r="AM608" s="2" t="str">
        <f t="shared" si="153"/>
        <v>4</v>
      </c>
      <c r="AN608" s="2" t="str">
        <f t="shared" si="150"/>
        <v>398</v>
      </c>
      <c r="AO608" s="2"/>
      <c r="AP608" s="2" t="str">
        <f t="shared" si="151"/>
        <v>4398</v>
      </c>
    </row>
    <row r="609" spans="11:42" x14ac:dyDescent="0.2">
      <c r="K609" s="6"/>
      <c r="L609" s="6"/>
      <c r="M609" s="6"/>
      <c r="N609" s="6"/>
      <c r="O609" s="6"/>
      <c r="AJ609" s="6">
        <f t="shared" si="152"/>
        <v>960</v>
      </c>
      <c r="AK609" s="5">
        <v>592</v>
      </c>
      <c r="AM609" s="2" t="str">
        <f t="shared" si="153"/>
        <v>4</v>
      </c>
      <c r="AN609" s="2" t="str">
        <f t="shared" si="150"/>
        <v>3C0</v>
      </c>
      <c r="AO609" s="2"/>
      <c r="AP609" s="2" t="str">
        <f t="shared" si="151"/>
        <v>43C0</v>
      </c>
    </row>
    <row r="610" spans="11:42" x14ac:dyDescent="0.2">
      <c r="K610" s="6"/>
      <c r="L610" s="6"/>
      <c r="M610" s="6"/>
      <c r="N610" s="6"/>
      <c r="O610" s="6"/>
      <c r="AJ610" s="6">
        <f t="shared" si="152"/>
        <v>1000</v>
      </c>
      <c r="AK610" s="5">
        <v>593</v>
      </c>
      <c r="AM610" s="2" t="str">
        <f t="shared" si="153"/>
        <v>4</v>
      </c>
      <c r="AN610" s="2" t="str">
        <f t="shared" si="150"/>
        <v>3E8</v>
      </c>
      <c r="AO610" s="2"/>
      <c r="AP610" s="2" t="str">
        <f t="shared" si="151"/>
        <v>43E8</v>
      </c>
    </row>
    <row r="611" spans="11:42" x14ac:dyDescent="0.2">
      <c r="K611" s="6"/>
      <c r="L611" s="6"/>
      <c r="M611" s="6"/>
      <c r="N611" s="6"/>
      <c r="O611" s="6"/>
      <c r="AJ611" s="6">
        <f t="shared" si="152"/>
        <v>1000</v>
      </c>
      <c r="AK611" s="5">
        <v>594</v>
      </c>
      <c r="AM611" s="2" t="str">
        <f t="shared" si="153"/>
        <v>4</v>
      </c>
      <c r="AN611" s="2" t="str">
        <f t="shared" si="150"/>
        <v>3E8</v>
      </c>
      <c r="AO611" s="2"/>
      <c r="AP611" s="2" t="str">
        <f t="shared" si="151"/>
        <v>43E8</v>
      </c>
    </row>
    <row r="612" spans="11:42" x14ac:dyDescent="0.2">
      <c r="K612" s="6"/>
      <c r="L612" s="6"/>
      <c r="M612" s="6"/>
      <c r="N612" s="6"/>
      <c r="O612" s="6"/>
      <c r="AJ612" s="6">
        <f t="shared" si="152"/>
        <v>1000</v>
      </c>
      <c r="AK612" s="5">
        <v>595</v>
      </c>
      <c r="AM612" s="2" t="str">
        <f t="shared" si="153"/>
        <v>4</v>
      </c>
      <c r="AN612" s="2" t="str">
        <f t="shared" si="150"/>
        <v>3E8</v>
      </c>
      <c r="AO612" s="2"/>
      <c r="AP612" s="2" t="str">
        <f t="shared" si="151"/>
        <v>43E8</v>
      </c>
    </row>
    <row r="613" spans="11:42" x14ac:dyDescent="0.2">
      <c r="K613" s="6"/>
      <c r="L613" s="6"/>
      <c r="M613" s="6"/>
      <c r="N613" s="6"/>
      <c r="O613" s="6"/>
      <c r="AJ613" s="6">
        <f t="shared" si="152"/>
        <v>1000</v>
      </c>
      <c r="AK613" s="5">
        <v>596</v>
      </c>
      <c r="AM613" s="2" t="str">
        <f t="shared" si="153"/>
        <v>4</v>
      </c>
      <c r="AN613" s="2" t="str">
        <f t="shared" si="150"/>
        <v>3E8</v>
      </c>
      <c r="AO613" s="2"/>
      <c r="AP613" s="2" t="str">
        <f t="shared" si="151"/>
        <v>43E8</v>
      </c>
    </row>
    <row r="614" spans="11:42" x14ac:dyDescent="0.2">
      <c r="K614" s="6"/>
      <c r="L614" s="6"/>
      <c r="M614" s="6"/>
      <c r="N614" s="6"/>
      <c r="O614" s="6"/>
      <c r="AJ614" s="6">
        <f t="shared" si="152"/>
        <v>1000</v>
      </c>
      <c r="AK614" s="5">
        <v>597</v>
      </c>
      <c r="AM614" s="2" t="str">
        <f t="shared" si="153"/>
        <v>4</v>
      </c>
      <c r="AN614" s="2" t="str">
        <f t="shared" si="150"/>
        <v>3E8</v>
      </c>
      <c r="AO614" s="2"/>
      <c r="AP614" s="2" t="str">
        <f t="shared" si="151"/>
        <v>43E8</v>
      </c>
    </row>
    <row r="615" spans="11:42" x14ac:dyDescent="0.2">
      <c r="K615" s="6"/>
      <c r="L615" s="6"/>
      <c r="M615" s="6"/>
      <c r="N615" s="6"/>
      <c r="O615" s="6"/>
      <c r="AJ615" s="6">
        <f t="shared" si="152"/>
        <v>1000</v>
      </c>
      <c r="AK615" s="5">
        <v>598</v>
      </c>
      <c r="AM615" s="2" t="str">
        <f t="shared" si="153"/>
        <v>4</v>
      </c>
      <c r="AN615" s="2" t="str">
        <f t="shared" si="150"/>
        <v>3E8</v>
      </c>
      <c r="AO615" s="2"/>
      <c r="AP615" s="2" t="str">
        <f t="shared" si="151"/>
        <v>43E8</v>
      </c>
    </row>
    <row r="616" spans="11:42" x14ac:dyDescent="0.2">
      <c r="K616" s="6"/>
      <c r="L616" s="6"/>
      <c r="M616" s="6"/>
      <c r="N616" s="6"/>
      <c r="O616" s="6"/>
      <c r="AJ616" s="6">
        <f t="shared" si="152"/>
        <v>1000</v>
      </c>
      <c r="AK616" s="5">
        <v>599</v>
      </c>
      <c r="AM616" s="2" t="str">
        <f t="shared" si="153"/>
        <v>4</v>
      </c>
      <c r="AN616" s="2" t="str">
        <f t="shared" si="150"/>
        <v>3E8</v>
      </c>
      <c r="AO616" s="2"/>
      <c r="AP616" s="2" t="str">
        <f t="shared" si="151"/>
        <v>43E8</v>
      </c>
    </row>
    <row r="617" spans="11:42" x14ac:dyDescent="0.2">
      <c r="K617" s="6"/>
      <c r="L617" s="6"/>
      <c r="M617" s="6"/>
      <c r="N617" s="6"/>
      <c r="O617" s="6"/>
      <c r="AJ617" s="6">
        <f t="shared" si="152"/>
        <v>1000</v>
      </c>
      <c r="AK617" s="5">
        <v>600</v>
      </c>
      <c r="AM617" s="2" t="str">
        <f t="shared" si="153"/>
        <v>4</v>
      </c>
      <c r="AN617" s="2" t="str">
        <f t="shared" si="150"/>
        <v>3E8</v>
      </c>
      <c r="AO617" s="2"/>
      <c r="AP617" s="2" t="str">
        <f t="shared" si="151"/>
        <v>43E8</v>
      </c>
    </row>
    <row r="618" spans="11:42" x14ac:dyDescent="0.2">
      <c r="K618" s="6"/>
      <c r="L618" s="6"/>
      <c r="M618" s="6"/>
      <c r="N618" s="6"/>
      <c r="O618" s="6"/>
      <c r="AJ618" s="6">
        <f t="shared" si="152"/>
        <v>1000</v>
      </c>
      <c r="AK618" s="5">
        <v>601</v>
      </c>
      <c r="AM618" s="2" t="str">
        <f t="shared" si="153"/>
        <v>4</v>
      </c>
      <c r="AN618" s="2" t="str">
        <f t="shared" si="150"/>
        <v>3E8</v>
      </c>
      <c r="AO618" s="2"/>
      <c r="AP618" s="2" t="str">
        <f t="shared" si="151"/>
        <v>43E8</v>
      </c>
    </row>
    <row r="619" spans="11:42" x14ac:dyDescent="0.2">
      <c r="K619" s="6"/>
      <c r="L619" s="6"/>
      <c r="M619" s="6"/>
      <c r="N619" s="6"/>
      <c r="O619" s="6"/>
      <c r="AJ619" s="6">
        <f t="shared" si="152"/>
        <v>1000</v>
      </c>
      <c r="AK619" s="5">
        <v>602</v>
      </c>
      <c r="AM619" s="2" t="str">
        <f t="shared" si="153"/>
        <v>4</v>
      </c>
      <c r="AN619" s="2" t="str">
        <f t="shared" si="150"/>
        <v>3E8</v>
      </c>
      <c r="AO619" s="2"/>
      <c r="AP619" s="2" t="str">
        <f t="shared" si="151"/>
        <v>43E8</v>
      </c>
    </row>
    <row r="620" spans="11:42" x14ac:dyDescent="0.2">
      <c r="K620" s="6"/>
      <c r="L620" s="6"/>
      <c r="M620" s="6"/>
      <c r="N620" s="6"/>
      <c r="O620" s="6"/>
      <c r="AJ620" s="6">
        <f t="shared" si="152"/>
        <v>1000</v>
      </c>
      <c r="AK620" s="5">
        <v>603</v>
      </c>
      <c r="AM620" s="2" t="str">
        <f t="shared" si="153"/>
        <v>4</v>
      </c>
      <c r="AN620" s="2" t="str">
        <f t="shared" si="150"/>
        <v>3E8</v>
      </c>
      <c r="AO620" s="2"/>
      <c r="AP620" s="2" t="str">
        <f t="shared" si="151"/>
        <v>43E8</v>
      </c>
    </row>
    <row r="621" spans="11:42" x14ac:dyDescent="0.2">
      <c r="K621" s="6"/>
      <c r="L621" s="6"/>
      <c r="M621" s="6"/>
      <c r="N621" s="6"/>
      <c r="O621" s="6"/>
      <c r="AJ621" s="6">
        <f t="shared" si="152"/>
        <v>1000</v>
      </c>
      <c r="AK621" s="5">
        <v>604</v>
      </c>
      <c r="AM621" s="2" t="str">
        <f t="shared" si="153"/>
        <v>4</v>
      </c>
      <c r="AN621" s="2" t="str">
        <f t="shared" si="150"/>
        <v>3E8</v>
      </c>
      <c r="AO621" s="2"/>
      <c r="AP621" s="2" t="str">
        <f t="shared" si="151"/>
        <v>43E8</v>
      </c>
    </row>
    <row r="622" spans="11:42" x14ac:dyDescent="0.2">
      <c r="K622" s="6"/>
      <c r="L622" s="6"/>
      <c r="M622" s="6"/>
      <c r="N622" s="6"/>
      <c r="O622" s="6"/>
      <c r="AJ622" s="6">
        <f t="shared" si="152"/>
        <v>1000</v>
      </c>
      <c r="AK622" s="5">
        <v>605</v>
      </c>
      <c r="AM622" s="2" t="str">
        <f t="shared" si="153"/>
        <v>4</v>
      </c>
      <c r="AN622" s="2" t="str">
        <f t="shared" si="150"/>
        <v>3E8</v>
      </c>
      <c r="AO622" s="2"/>
      <c r="AP622" s="2" t="str">
        <f t="shared" si="151"/>
        <v>43E8</v>
      </c>
    </row>
    <row r="623" spans="11:42" x14ac:dyDescent="0.2">
      <c r="K623" s="6"/>
      <c r="L623" s="6"/>
      <c r="M623" s="6"/>
      <c r="N623" s="6"/>
      <c r="O623" s="6"/>
      <c r="AJ623" s="6">
        <f t="shared" si="152"/>
        <v>1000</v>
      </c>
      <c r="AK623" s="5">
        <v>606</v>
      </c>
      <c r="AM623" s="2" t="str">
        <f t="shared" si="153"/>
        <v>4</v>
      </c>
      <c r="AN623" s="2" t="str">
        <f t="shared" si="150"/>
        <v>3E8</v>
      </c>
      <c r="AO623" s="2"/>
      <c r="AP623" s="2" t="str">
        <f t="shared" si="151"/>
        <v>43E8</v>
      </c>
    </row>
    <row r="624" spans="11:42" x14ac:dyDescent="0.2">
      <c r="K624" s="6"/>
      <c r="L624" s="6"/>
      <c r="M624" s="6"/>
      <c r="N624" s="6"/>
      <c r="O624" s="6"/>
      <c r="AJ624" s="6">
        <f t="shared" si="152"/>
        <v>1000</v>
      </c>
      <c r="AK624" s="5">
        <v>607</v>
      </c>
      <c r="AM624" s="2" t="str">
        <f t="shared" si="153"/>
        <v>4</v>
      </c>
      <c r="AN624" s="2" t="str">
        <f t="shared" si="150"/>
        <v>3E8</v>
      </c>
      <c r="AO624" s="2"/>
      <c r="AP624" s="2" t="str">
        <f t="shared" si="151"/>
        <v>43E8</v>
      </c>
    </row>
    <row r="625" spans="11:42" x14ac:dyDescent="0.2">
      <c r="K625" s="6"/>
      <c r="L625" s="6"/>
      <c r="M625" s="6"/>
      <c r="N625" s="6"/>
      <c r="O625" s="6"/>
      <c r="AJ625" s="6">
        <f t="shared" si="152"/>
        <v>1000</v>
      </c>
      <c r="AK625" s="5">
        <v>608</v>
      </c>
      <c r="AM625" s="2" t="str">
        <f t="shared" si="153"/>
        <v>4</v>
      </c>
      <c r="AN625" s="2" t="str">
        <f t="shared" si="150"/>
        <v>3E8</v>
      </c>
      <c r="AO625" s="2"/>
      <c r="AP625" s="2" t="str">
        <f t="shared" si="151"/>
        <v>43E8</v>
      </c>
    </row>
    <row r="626" spans="11:42" x14ac:dyDescent="0.2">
      <c r="K626" s="6"/>
      <c r="L626" s="6"/>
      <c r="M626" s="6"/>
      <c r="N626" s="6"/>
      <c r="O626" s="6"/>
      <c r="AJ626" s="6">
        <f t="shared" si="152"/>
        <v>1000</v>
      </c>
      <c r="AK626" s="5">
        <v>609</v>
      </c>
      <c r="AM626" s="2" t="str">
        <f t="shared" si="153"/>
        <v>4</v>
      </c>
      <c r="AN626" s="2" t="str">
        <f t="shared" si="150"/>
        <v>3E8</v>
      </c>
      <c r="AO626" s="2"/>
      <c r="AP626" s="2" t="str">
        <f t="shared" si="151"/>
        <v>43E8</v>
      </c>
    </row>
    <row r="627" spans="11:42" x14ac:dyDescent="0.2">
      <c r="K627" s="6"/>
      <c r="L627" s="6"/>
      <c r="M627" s="6"/>
      <c r="N627" s="6"/>
      <c r="O627" s="6"/>
      <c r="AJ627" s="6">
        <f t="shared" si="152"/>
        <v>1000</v>
      </c>
      <c r="AK627" s="5">
        <v>610</v>
      </c>
      <c r="AM627" s="2" t="str">
        <f t="shared" si="153"/>
        <v>4</v>
      </c>
      <c r="AN627" s="2" t="str">
        <f t="shared" si="150"/>
        <v>3E8</v>
      </c>
      <c r="AO627" s="2"/>
      <c r="AP627" s="2" t="str">
        <f t="shared" si="151"/>
        <v>43E8</v>
      </c>
    </row>
    <row r="628" spans="11:42" x14ac:dyDescent="0.2">
      <c r="K628" s="6"/>
      <c r="L628" s="6"/>
      <c r="M628" s="6"/>
      <c r="N628" s="6"/>
      <c r="O628" s="6"/>
      <c r="AJ628" s="6">
        <f t="shared" si="152"/>
        <v>1000</v>
      </c>
      <c r="AK628" s="5">
        <v>611</v>
      </c>
      <c r="AM628" s="2" t="str">
        <f t="shared" si="153"/>
        <v>4</v>
      </c>
      <c r="AN628" s="2" t="str">
        <f t="shared" si="150"/>
        <v>3E8</v>
      </c>
      <c r="AO628" s="2"/>
      <c r="AP628" s="2" t="str">
        <f t="shared" si="151"/>
        <v>43E8</v>
      </c>
    </row>
    <row r="629" spans="11:42" x14ac:dyDescent="0.2">
      <c r="K629" s="6"/>
      <c r="L629" s="6"/>
      <c r="M629" s="6"/>
      <c r="N629" s="6"/>
      <c r="O629" s="6"/>
      <c r="AJ629" s="6">
        <f t="shared" si="152"/>
        <v>1000</v>
      </c>
      <c r="AK629" s="5">
        <v>612</v>
      </c>
      <c r="AM629" s="2" t="str">
        <f t="shared" si="153"/>
        <v>6</v>
      </c>
      <c r="AN629" s="2" t="str">
        <f t="shared" si="150"/>
        <v>3E8</v>
      </c>
      <c r="AO629" s="2"/>
      <c r="AP629" s="2" t="str">
        <f t="shared" si="151"/>
        <v>63E8</v>
      </c>
    </row>
    <row r="630" spans="11:42" x14ac:dyDescent="0.2">
      <c r="K630" s="6"/>
      <c r="L630" s="6"/>
      <c r="M630" s="6"/>
      <c r="N630" s="6"/>
      <c r="O630" s="6"/>
      <c r="AJ630" s="6">
        <f t="shared" si="152"/>
        <v>1000</v>
      </c>
      <c r="AK630" s="5">
        <v>613</v>
      </c>
      <c r="AM630" s="2" t="str">
        <f t="shared" si="153"/>
        <v>6</v>
      </c>
      <c r="AN630" s="2" t="str">
        <f t="shared" si="150"/>
        <v>3E8</v>
      </c>
      <c r="AO630" s="2"/>
      <c r="AP630" s="2" t="str">
        <f t="shared" si="151"/>
        <v>63E8</v>
      </c>
    </row>
    <row r="631" spans="11:42" x14ac:dyDescent="0.2">
      <c r="K631" s="6"/>
      <c r="L631" s="6"/>
      <c r="M631" s="6"/>
      <c r="N631" s="6"/>
      <c r="O631" s="6"/>
      <c r="AJ631" s="6">
        <f t="shared" si="152"/>
        <v>950</v>
      </c>
      <c r="AK631" s="5">
        <v>614</v>
      </c>
      <c r="AM631" s="2" t="str">
        <f t="shared" si="153"/>
        <v>6</v>
      </c>
      <c r="AN631" s="2" t="str">
        <f t="shared" si="150"/>
        <v>3B6</v>
      </c>
      <c r="AO631" s="2"/>
      <c r="AP631" s="2" t="str">
        <f t="shared" si="151"/>
        <v>63B6</v>
      </c>
    </row>
    <row r="632" spans="11:42" x14ac:dyDescent="0.2">
      <c r="K632" s="6"/>
      <c r="L632" s="6"/>
      <c r="M632" s="6"/>
      <c r="N632" s="6"/>
      <c r="O632" s="6"/>
      <c r="AJ632" s="6">
        <f t="shared" si="152"/>
        <v>900</v>
      </c>
      <c r="AK632" s="5">
        <v>615</v>
      </c>
      <c r="AM632" s="2" t="str">
        <f t="shared" si="153"/>
        <v>6</v>
      </c>
      <c r="AN632" s="2" t="str">
        <f t="shared" si="150"/>
        <v>384</v>
      </c>
      <c r="AO632" s="2"/>
      <c r="AP632" s="2" t="str">
        <f t="shared" si="151"/>
        <v>6384</v>
      </c>
    </row>
    <row r="633" spans="11:42" x14ac:dyDescent="0.2">
      <c r="K633" s="6"/>
      <c r="L633" s="6"/>
      <c r="M633" s="6"/>
      <c r="N633" s="6"/>
      <c r="O633" s="6"/>
      <c r="AJ633" s="6">
        <f t="shared" si="152"/>
        <v>850</v>
      </c>
      <c r="AK633" s="5">
        <v>616</v>
      </c>
      <c r="AM633" s="2" t="str">
        <f t="shared" si="153"/>
        <v>6</v>
      </c>
      <c r="AN633" s="2" t="str">
        <f t="shared" si="150"/>
        <v>352</v>
      </c>
      <c r="AO633" s="2"/>
      <c r="AP633" s="2" t="str">
        <f t="shared" si="151"/>
        <v>6352</v>
      </c>
    </row>
    <row r="634" spans="11:42" x14ac:dyDescent="0.2">
      <c r="K634" s="6"/>
      <c r="L634" s="6"/>
      <c r="M634" s="6"/>
      <c r="N634" s="6"/>
      <c r="O634" s="6"/>
      <c r="AJ634" s="6">
        <f t="shared" si="152"/>
        <v>800</v>
      </c>
      <c r="AK634" s="5">
        <v>617</v>
      </c>
      <c r="AM634" s="2" t="str">
        <f t="shared" si="153"/>
        <v>6</v>
      </c>
      <c r="AN634" s="2" t="str">
        <f t="shared" si="150"/>
        <v>320</v>
      </c>
      <c r="AO634" s="2"/>
      <c r="AP634" s="2" t="str">
        <f t="shared" si="151"/>
        <v>6320</v>
      </c>
    </row>
    <row r="635" spans="11:42" x14ac:dyDescent="0.2">
      <c r="K635" s="6"/>
      <c r="L635" s="6"/>
      <c r="M635" s="6"/>
      <c r="N635" s="6"/>
      <c r="O635" s="6"/>
      <c r="AJ635" s="6">
        <f t="shared" si="152"/>
        <v>750</v>
      </c>
      <c r="AK635" s="5">
        <v>618</v>
      </c>
      <c r="AM635" s="2" t="str">
        <f t="shared" si="153"/>
        <v>6</v>
      </c>
      <c r="AN635" s="2" t="str">
        <f t="shared" si="150"/>
        <v>2EE</v>
      </c>
      <c r="AO635" s="2"/>
      <c r="AP635" s="2" t="str">
        <f t="shared" si="151"/>
        <v>62EE</v>
      </c>
    </row>
    <row r="636" spans="11:42" x14ac:dyDescent="0.2">
      <c r="K636" s="6"/>
      <c r="L636" s="6"/>
      <c r="M636" s="6"/>
      <c r="N636" s="6"/>
      <c r="O636" s="6"/>
      <c r="AJ636" s="6">
        <f t="shared" si="152"/>
        <v>700</v>
      </c>
      <c r="AK636" s="5">
        <v>619</v>
      </c>
      <c r="AM636" s="2" t="str">
        <f t="shared" si="153"/>
        <v>6</v>
      </c>
      <c r="AN636" s="2" t="str">
        <f t="shared" si="150"/>
        <v>2BC</v>
      </c>
      <c r="AO636" s="2"/>
      <c r="AP636" s="2" t="str">
        <f t="shared" si="151"/>
        <v>62BC</v>
      </c>
    </row>
    <row r="637" spans="11:42" x14ac:dyDescent="0.2">
      <c r="K637" s="6"/>
      <c r="L637" s="6"/>
      <c r="M637" s="6"/>
      <c r="N637" s="6"/>
      <c r="O637" s="6"/>
      <c r="AJ637" s="6">
        <f t="shared" si="152"/>
        <v>650</v>
      </c>
      <c r="AK637" s="5">
        <v>620</v>
      </c>
      <c r="AM637" s="2" t="str">
        <f t="shared" si="153"/>
        <v>6</v>
      </c>
      <c r="AN637" s="2" t="str">
        <f t="shared" si="150"/>
        <v>28A</v>
      </c>
      <c r="AO637" s="2"/>
      <c r="AP637" s="2" t="str">
        <f t="shared" si="151"/>
        <v>628A</v>
      </c>
    </row>
    <row r="638" spans="11:42" x14ac:dyDescent="0.2">
      <c r="K638" s="6"/>
      <c r="L638" s="6"/>
      <c r="M638" s="6"/>
      <c r="N638" s="6"/>
      <c r="O638" s="6"/>
      <c r="AJ638" s="6">
        <f t="shared" si="152"/>
        <v>600</v>
      </c>
      <c r="AK638" s="5">
        <v>621</v>
      </c>
      <c r="AM638" s="2" t="str">
        <f t="shared" si="153"/>
        <v>6</v>
      </c>
      <c r="AN638" s="2" t="str">
        <f t="shared" si="150"/>
        <v>258</v>
      </c>
      <c r="AO638" s="2"/>
      <c r="AP638" s="2" t="str">
        <f t="shared" si="151"/>
        <v>6258</v>
      </c>
    </row>
    <row r="639" spans="11:42" x14ac:dyDescent="0.2">
      <c r="K639" s="6"/>
      <c r="L639" s="6"/>
      <c r="M639" s="6"/>
      <c r="N639" s="6"/>
      <c r="O639" s="6"/>
      <c r="AJ639" s="6">
        <f t="shared" si="152"/>
        <v>550</v>
      </c>
      <c r="AK639" s="5">
        <v>622</v>
      </c>
      <c r="AM639" s="2" t="str">
        <f t="shared" si="153"/>
        <v>6</v>
      </c>
      <c r="AN639" s="2" t="str">
        <f t="shared" si="150"/>
        <v>226</v>
      </c>
      <c r="AO639" s="2"/>
      <c r="AP639" s="2" t="str">
        <f t="shared" si="151"/>
        <v>6226</v>
      </c>
    </row>
    <row r="640" spans="11:42" x14ac:dyDescent="0.2">
      <c r="K640" s="6"/>
      <c r="L640" s="6"/>
      <c r="M640" s="6"/>
      <c r="N640" s="6"/>
      <c r="O640" s="6"/>
      <c r="AJ640" s="6">
        <f t="shared" si="152"/>
        <v>500</v>
      </c>
      <c r="AK640" s="5">
        <v>623</v>
      </c>
      <c r="AM640" s="2" t="str">
        <f t="shared" si="153"/>
        <v>6</v>
      </c>
      <c r="AN640" s="2" t="str">
        <f t="shared" si="150"/>
        <v>1F4</v>
      </c>
      <c r="AO640" s="2"/>
      <c r="AP640" s="2" t="str">
        <f t="shared" si="151"/>
        <v>61F4</v>
      </c>
    </row>
    <row r="641" spans="6:42" x14ac:dyDescent="0.2">
      <c r="F641" s="1"/>
      <c r="K641" s="6"/>
      <c r="L641" s="6"/>
      <c r="M641" s="6"/>
      <c r="N641" s="6"/>
      <c r="O641" s="6"/>
      <c r="V641" s="1"/>
      <c r="AD641" s="1"/>
      <c r="AJ641" s="6">
        <f t="shared" si="152"/>
        <v>450</v>
      </c>
      <c r="AK641" s="5">
        <v>624</v>
      </c>
      <c r="AM641" s="2" t="str">
        <f t="shared" si="153"/>
        <v>6</v>
      </c>
      <c r="AN641" s="2" t="str">
        <f t="shared" si="150"/>
        <v>1C2</v>
      </c>
      <c r="AO641" s="2"/>
      <c r="AP641" s="2" t="str">
        <f t="shared" si="151"/>
        <v>61C2</v>
      </c>
    </row>
    <row r="642" spans="6:42" x14ac:dyDescent="0.2">
      <c r="F642" s="1"/>
      <c r="K642" s="6"/>
      <c r="L642" s="6"/>
      <c r="M642" s="6"/>
      <c r="N642" s="6"/>
      <c r="O642" s="6"/>
      <c r="V642" s="1"/>
      <c r="AD642" s="1"/>
      <c r="AJ642" s="6">
        <f t="shared" si="152"/>
        <v>400</v>
      </c>
      <c r="AK642" s="5">
        <v>625</v>
      </c>
      <c r="AM642" s="2" t="str">
        <f t="shared" si="153"/>
        <v>6</v>
      </c>
      <c r="AN642" s="2" t="str">
        <f t="shared" si="150"/>
        <v>190</v>
      </c>
      <c r="AO642" s="2"/>
      <c r="AP642" s="2" t="str">
        <f t="shared" si="151"/>
        <v>6190</v>
      </c>
    </row>
    <row r="643" spans="6:42" x14ac:dyDescent="0.2">
      <c r="F643" s="1"/>
      <c r="K643" s="6"/>
      <c r="L643" s="6"/>
      <c r="M643" s="6"/>
      <c r="N643" s="6"/>
      <c r="O643" s="6"/>
      <c r="V643" s="1"/>
      <c r="AD643" s="1"/>
      <c r="AJ643" s="6">
        <f t="shared" si="152"/>
        <v>350</v>
      </c>
      <c r="AK643" s="5">
        <v>626</v>
      </c>
      <c r="AM643" s="2" t="str">
        <f t="shared" si="153"/>
        <v>6</v>
      </c>
      <c r="AN643" s="2" t="str">
        <f t="shared" si="150"/>
        <v>15E</v>
      </c>
      <c r="AO643" s="2"/>
      <c r="AP643" s="2" t="str">
        <f t="shared" si="151"/>
        <v>615E</v>
      </c>
    </row>
    <row r="644" spans="6:42" x14ac:dyDescent="0.2">
      <c r="F644" s="1"/>
      <c r="K644" s="6"/>
      <c r="L644" s="6"/>
      <c r="M644" s="6"/>
      <c r="N644" s="6"/>
      <c r="O644" s="6"/>
      <c r="V644" s="1"/>
      <c r="AD644" s="1"/>
      <c r="AJ644" s="6">
        <f t="shared" si="152"/>
        <v>300</v>
      </c>
      <c r="AK644" s="5">
        <v>627</v>
      </c>
      <c r="AM644" s="2" t="str">
        <f t="shared" si="153"/>
        <v>6</v>
      </c>
      <c r="AN644" s="2" t="str">
        <f t="shared" si="150"/>
        <v>12C</v>
      </c>
      <c r="AO644" s="2"/>
      <c r="AP644" s="2" t="str">
        <f t="shared" si="151"/>
        <v>612C</v>
      </c>
    </row>
    <row r="645" spans="6:42" x14ac:dyDescent="0.2">
      <c r="F645" s="1"/>
      <c r="K645" s="6"/>
      <c r="L645" s="6"/>
      <c r="M645" s="6"/>
      <c r="N645" s="6"/>
      <c r="O645" s="6"/>
      <c r="V645" s="1"/>
      <c r="AD645" s="1"/>
      <c r="AJ645" s="6">
        <f t="shared" si="152"/>
        <v>250</v>
      </c>
      <c r="AK645" s="5">
        <v>628</v>
      </c>
      <c r="AM645" s="2" t="str">
        <f t="shared" si="153"/>
        <v>6</v>
      </c>
      <c r="AN645" s="2" t="str">
        <f t="shared" si="150"/>
        <v>0FA</v>
      </c>
      <c r="AO645" s="2"/>
      <c r="AP645" s="2" t="str">
        <f t="shared" si="151"/>
        <v>60FA</v>
      </c>
    </row>
    <row r="646" spans="6:42" x14ac:dyDescent="0.2">
      <c r="F646" s="1"/>
      <c r="K646" s="6"/>
      <c r="L646" s="6"/>
      <c r="M646" s="6"/>
      <c r="N646" s="6"/>
      <c r="O646" s="6"/>
      <c r="V646" s="1"/>
      <c r="AD646" s="1"/>
      <c r="AJ646" s="6">
        <f t="shared" si="152"/>
        <v>200</v>
      </c>
      <c r="AK646" s="5">
        <v>629</v>
      </c>
      <c r="AM646" s="2" t="str">
        <f t="shared" si="153"/>
        <v>6</v>
      </c>
      <c r="AN646" s="2" t="str">
        <f t="shared" si="150"/>
        <v>0C8</v>
      </c>
      <c r="AO646" s="2"/>
      <c r="AP646" s="2" t="str">
        <f t="shared" si="151"/>
        <v>60C8</v>
      </c>
    </row>
    <row r="647" spans="6:42" x14ac:dyDescent="0.2">
      <c r="F647" s="1"/>
      <c r="K647" s="6"/>
      <c r="L647" s="6"/>
      <c r="M647" s="6"/>
      <c r="N647" s="6"/>
      <c r="O647" s="6"/>
      <c r="V647" s="1"/>
      <c r="AD647" s="1"/>
      <c r="AJ647" s="6">
        <f t="shared" si="152"/>
        <v>150</v>
      </c>
      <c r="AK647" s="5">
        <v>630</v>
      </c>
      <c r="AM647" s="2" t="str">
        <f t="shared" si="153"/>
        <v>6</v>
      </c>
      <c r="AN647" s="2" t="str">
        <f t="shared" si="150"/>
        <v>096</v>
      </c>
      <c r="AO647" s="2"/>
      <c r="AP647" s="2" t="str">
        <f t="shared" si="151"/>
        <v>6096</v>
      </c>
    </row>
    <row r="648" spans="6:42" x14ac:dyDescent="0.2">
      <c r="F648" s="1"/>
      <c r="K648" s="6"/>
      <c r="L648" s="6"/>
      <c r="M648" s="6"/>
      <c r="N648" s="6"/>
      <c r="O648" s="6"/>
      <c r="V648" s="1"/>
      <c r="AD648" s="1"/>
      <c r="AJ648" s="6">
        <f t="shared" si="152"/>
        <v>100</v>
      </c>
      <c r="AK648" s="5">
        <v>631</v>
      </c>
      <c r="AM648" s="2" t="str">
        <f t="shared" si="153"/>
        <v>6</v>
      </c>
      <c r="AN648" s="2" t="str">
        <f t="shared" si="150"/>
        <v>064</v>
      </c>
      <c r="AO648" s="2"/>
      <c r="AP648" s="2" t="str">
        <f t="shared" si="151"/>
        <v>6064</v>
      </c>
    </row>
    <row r="649" spans="6:42" x14ac:dyDescent="0.2">
      <c r="F649" s="1"/>
      <c r="K649" s="6"/>
      <c r="L649" s="6"/>
      <c r="M649" s="6"/>
      <c r="N649" s="6"/>
      <c r="O649" s="6"/>
      <c r="V649" s="1"/>
      <c r="AD649" s="1"/>
      <c r="AJ649" s="6">
        <f t="shared" si="152"/>
        <v>50</v>
      </c>
      <c r="AK649" s="5">
        <v>632</v>
      </c>
      <c r="AM649" s="2" t="str">
        <f t="shared" si="153"/>
        <v>6</v>
      </c>
      <c r="AN649" s="2" t="str">
        <f t="shared" si="150"/>
        <v>032</v>
      </c>
      <c r="AO649" s="2"/>
      <c r="AP649" s="2" t="str">
        <f t="shared" si="151"/>
        <v>6032</v>
      </c>
    </row>
    <row r="650" spans="6:42" x14ac:dyDescent="0.2">
      <c r="F650" s="1"/>
      <c r="K650" s="6"/>
      <c r="L650" s="6"/>
      <c r="M650" s="6"/>
      <c r="N650" s="6"/>
      <c r="O650" s="6"/>
      <c r="V650" s="1"/>
      <c r="AD650" s="1"/>
      <c r="AJ650" s="6">
        <f t="shared" si="152"/>
        <v>0</v>
      </c>
      <c r="AK650" s="5">
        <v>633</v>
      </c>
      <c r="AM650" s="2" t="str">
        <f t="shared" si="153"/>
        <v>6</v>
      </c>
      <c r="AN650" s="2" t="str">
        <f t="shared" si="150"/>
        <v>000</v>
      </c>
      <c r="AO650" s="2"/>
      <c r="AP650" s="2" t="str">
        <f t="shared" si="151"/>
        <v>6000</v>
      </c>
    </row>
    <row r="651" spans="6:42" x14ac:dyDescent="0.2">
      <c r="F651" s="1"/>
      <c r="K651" s="6"/>
      <c r="L651" s="6"/>
      <c r="M651" s="6"/>
      <c r="N651" s="6"/>
      <c r="O651" s="6"/>
      <c r="V651" s="1"/>
      <c r="AD651" s="1"/>
      <c r="AJ651" s="6">
        <f t="shared" si="152"/>
        <v>0</v>
      </c>
      <c r="AK651" s="5">
        <v>634</v>
      </c>
      <c r="AM651" s="2" t="str">
        <f t="shared" si="153"/>
        <v>6</v>
      </c>
      <c r="AN651" s="2" t="str">
        <f t="shared" si="150"/>
        <v>000</v>
      </c>
      <c r="AO651" s="2"/>
      <c r="AP651" s="2" t="str">
        <f t="shared" si="151"/>
        <v>6000</v>
      </c>
    </row>
    <row r="652" spans="6:42" x14ac:dyDescent="0.2">
      <c r="F652" s="1"/>
      <c r="K652" s="6"/>
      <c r="L652" s="6"/>
      <c r="M652" s="6"/>
      <c r="N652" s="6"/>
      <c r="O652" s="6"/>
      <c r="V652" s="1"/>
      <c r="AD652" s="1"/>
      <c r="AJ652" s="6">
        <f t="shared" si="152"/>
        <v>0</v>
      </c>
      <c r="AK652" s="5">
        <v>635</v>
      </c>
      <c r="AM652" s="2" t="str">
        <f t="shared" si="153"/>
        <v>6</v>
      </c>
      <c r="AN652" s="2" t="str">
        <f t="shared" si="150"/>
        <v>000</v>
      </c>
      <c r="AO652" s="2"/>
      <c r="AP652" s="2" t="str">
        <f t="shared" si="151"/>
        <v>6000</v>
      </c>
    </row>
    <row r="653" spans="6:42" x14ac:dyDescent="0.2">
      <c r="F653" s="1"/>
      <c r="K653" s="6"/>
      <c r="L653" s="6"/>
      <c r="M653" s="6"/>
      <c r="N653" s="6"/>
      <c r="O653" s="6"/>
      <c r="V653" s="1"/>
      <c r="AD653" s="1"/>
      <c r="AJ653" s="6">
        <f t="shared" si="152"/>
        <v>0</v>
      </c>
      <c r="AK653" s="5">
        <v>636</v>
      </c>
      <c r="AM653" s="2" t="str">
        <f t="shared" si="153"/>
        <v>6</v>
      </c>
      <c r="AN653" s="2" t="str">
        <f t="shared" si="150"/>
        <v>000</v>
      </c>
      <c r="AO653" s="2"/>
      <c r="AP653" s="2" t="str">
        <f t="shared" si="151"/>
        <v>6000</v>
      </c>
    </row>
    <row r="654" spans="6:42" x14ac:dyDescent="0.2">
      <c r="F654" s="1"/>
      <c r="K654" s="6"/>
      <c r="L654" s="6"/>
      <c r="M654" s="6"/>
      <c r="N654" s="6"/>
      <c r="O654" s="6"/>
      <c r="V654" s="1"/>
      <c r="AD654" s="1"/>
      <c r="AJ654" s="6">
        <f t="shared" si="152"/>
        <v>0</v>
      </c>
      <c r="AK654" s="5">
        <v>637</v>
      </c>
      <c r="AM654" s="2" t="str">
        <f t="shared" si="153"/>
        <v>6</v>
      </c>
      <c r="AN654" s="2" t="str">
        <f t="shared" si="150"/>
        <v>000</v>
      </c>
      <c r="AO654" s="2"/>
      <c r="AP654" s="2" t="str">
        <f t="shared" si="151"/>
        <v>6000</v>
      </c>
    </row>
    <row r="655" spans="6:42" x14ac:dyDescent="0.2">
      <c r="F655" s="1"/>
      <c r="K655" s="6"/>
      <c r="L655" s="6"/>
      <c r="M655" s="6"/>
      <c r="N655" s="6"/>
      <c r="O655" s="6"/>
      <c r="V655" s="1"/>
      <c r="AD655" s="1"/>
      <c r="AJ655" s="6">
        <f t="shared" si="152"/>
        <v>0</v>
      </c>
      <c r="AK655" s="5">
        <v>638</v>
      </c>
      <c r="AM655" s="2" t="str">
        <f t="shared" si="153"/>
        <v>6</v>
      </c>
      <c r="AN655" s="2" t="str">
        <f t="shared" si="150"/>
        <v>000</v>
      </c>
      <c r="AO655" s="2"/>
      <c r="AP655" s="2" t="str">
        <f t="shared" si="151"/>
        <v>6000</v>
      </c>
    </row>
    <row r="656" spans="6:42" x14ac:dyDescent="0.2">
      <c r="F656" s="1"/>
      <c r="K656" s="6"/>
      <c r="L656" s="6"/>
      <c r="M656" s="6"/>
      <c r="N656" s="6"/>
      <c r="O656" s="6"/>
      <c r="V656" s="1"/>
      <c r="AD656" s="1"/>
      <c r="AJ656" s="6">
        <f t="shared" si="152"/>
        <v>0</v>
      </c>
      <c r="AK656" s="5">
        <v>639</v>
      </c>
      <c r="AM656" s="2" t="str">
        <f t="shared" si="153"/>
        <v>6</v>
      </c>
      <c r="AN656" s="2" t="str">
        <f t="shared" si="150"/>
        <v>000</v>
      </c>
      <c r="AO656" s="2"/>
      <c r="AP656" s="2" t="str">
        <f t="shared" si="151"/>
        <v>6000</v>
      </c>
    </row>
    <row r="657" spans="6:42" x14ac:dyDescent="0.2">
      <c r="F657" s="1"/>
      <c r="K657" s="6"/>
      <c r="L657" s="6"/>
      <c r="M657" s="6"/>
      <c r="N657" s="6"/>
      <c r="O657" s="6"/>
      <c r="V657" s="1"/>
      <c r="AD657" s="1"/>
      <c r="AJ657" s="6">
        <f t="shared" si="152"/>
        <v>0</v>
      </c>
      <c r="AK657" s="5">
        <v>640</v>
      </c>
      <c r="AM657" s="2" t="str">
        <f t="shared" si="153"/>
        <v>6</v>
      </c>
      <c r="AN657" s="2" t="str">
        <f t="shared" si="150"/>
        <v>000</v>
      </c>
      <c r="AO657" s="2"/>
      <c r="AP657" s="2" t="str">
        <f t="shared" si="151"/>
        <v>6000</v>
      </c>
    </row>
    <row r="658" spans="6:42" x14ac:dyDescent="0.2">
      <c r="F658" s="1"/>
      <c r="K658" s="6"/>
      <c r="L658" s="6"/>
      <c r="M658" s="6"/>
      <c r="N658" s="6"/>
      <c r="O658" s="6"/>
      <c r="V658" s="1"/>
      <c r="AD658" s="1"/>
      <c r="AJ658" s="6">
        <f t="shared" si="152"/>
        <v>0</v>
      </c>
      <c r="AK658" s="5">
        <v>641</v>
      </c>
      <c r="AM658" s="2" t="str">
        <f t="shared" si="153"/>
        <v>6</v>
      </c>
      <c r="AN658" s="2" t="str">
        <f t="shared" ref="AN658:AN718" si="154">DEC2HEX(AJ658,3)</f>
        <v>000</v>
      </c>
      <c r="AO658" s="2"/>
      <c r="AP658" s="2" t="str">
        <f t="shared" ref="AP658:AP718" si="155">CONCATENATE(AM658,AN658)</f>
        <v>6000</v>
      </c>
    </row>
    <row r="659" spans="6:42" x14ac:dyDescent="0.2">
      <c r="F659" s="1"/>
      <c r="K659" s="6"/>
      <c r="L659" s="6"/>
      <c r="M659" s="6"/>
      <c r="N659" s="6"/>
      <c r="O659" s="6"/>
      <c r="V659" s="1"/>
      <c r="AD659" s="1"/>
      <c r="AJ659" s="6">
        <f t="shared" ref="AJ659:AJ722" si="156">ROUNDDOWN(($O147*$O$16+$I$6*100)*10,0)</f>
        <v>0</v>
      </c>
      <c r="AK659" s="5">
        <v>642</v>
      </c>
      <c r="AM659" s="2" t="str">
        <f t="shared" ref="AM659:AM722" si="157">BIN2HEX(K147+10*L147+100*M147+1000*N147,1)</f>
        <v>6</v>
      </c>
      <c r="AN659" s="2" t="str">
        <f t="shared" si="154"/>
        <v>000</v>
      </c>
      <c r="AO659" s="2"/>
      <c r="AP659" s="2" t="str">
        <f t="shared" si="155"/>
        <v>6000</v>
      </c>
    </row>
    <row r="660" spans="6:42" x14ac:dyDescent="0.2">
      <c r="F660" s="1"/>
      <c r="K660" s="6"/>
      <c r="L660" s="6"/>
      <c r="M660" s="6"/>
      <c r="N660" s="6"/>
      <c r="O660" s="6"/>
      <c r="V660" s="1"/>
      <c r="AD660" s="1"/>
      <c r="AJ660" s="6">
        <f t="shared" si="156"/>
        <v>0</v>
      </c>
      <c r="AK660" s="5">
        <v>643</v>
      </c>
      <c r="AM660" s="2" t="str">
        <f t="shared" si="157"/>
        <v>6</v>
      </c>
      <c r="AN660" s="2" t="str">
        <f t="shared" si="154"/>
        <v>000</v>
      </c>
      <c r="AO660" s="2"/>
      <c r="AP660" s="2" t="str">
        <f t="shared" si="155"/>
        <v>6000</v>
      </c>
    </row>
    <row r="661" spans="6:42" x14ac:dyDescent="0.2">
      <c r="K661" s="6"/>
      <c r="L661" s="6"/>
      <c r="M661" s="6"/>
      <c r="N661" s="6"/>
      <c r="O661" s="6"/>
      <c r="AJ661" s="6">
        <f t="shared" si="156"/>
        <v>0</v>
      </c>
      <c r="AK661" s="5">
        <v>644</v>
      </c>
      <c r="AM661" s="2" t="str">
        <f t="shared" si="157"/>
        <v>6</v>
      </c>
      <c r="AN661" s="2" t="str">
        <f t="shared" si="154"/>
        <v>000</v>
      </c>
      <c r="AO661" s="2"/>
      <c r="AP661" s="2" t="str">
        <f t="shared" si="155"/>
        <v>6000</v>
      </c>
    </row>
    <row r="662" spans="6:42" x14ac:dyDescent="0.2">
      <c r="K662" s="6"/>
      <c r="L662" s="6"/>
      <c r="M662" s="6"/>
      <c r="N662" s="6"/>
      <c r="O662" s="6"/>
      <c r="AJ662" s="6">
        <f t="shared" si="156"/>
        <v>0</v>
      </c>
      <c r="AK662" s="5">
        <v>645</v>
      </c>
      <c r="AM662" s="2" t="str">
        <f t="shared" si="157"/>
        <v>6</v>
      </c>
      <c r="AN662" s="2" t="str">
        <f t="shared" si="154"/>
        <v>000</v>
      </c>
      <c r="AO662" s="2"/>
      <c r="AP662" s="2" t="str">
        <f t="shared" si="155"/>
        <v>6000</v>
      </c>
    </row>
    <row r="663" spans="6:42" x14ac:dyDescent="0.2">
      <c r="K663" s="6"/>
      <c r="L663" s="6"/>
      <c r="M663" s="6"/>
      <c r="N663" s="6"/>
      <c r="O663" s="6"/>
      <c r="AJ663" s="6">
        <f t="shared" si="156"/>
        <v>0</v>
      </c>
      <c r="AK663" s="5">
        <v>646</v>
      </c>
      <c r="AM663" s="2" t="str">
        <f t="shared" si="157"/>
        <v>6</v>
      </c>
      <c r="AN663" s="2" t="str">
        <f t="shared" si="154"/>
        <v>000</v>
      </c>
      <c r="AO663" s="2"/>
      <c r="AP663" s="2" t="str">
        <f t="shared" si="155"/>
        <v>6000</v>
      </c>
    </row>
    <row r="664" spans="6:42" x14ac:dyDescent="0.2">
      <c r="K664" s="6"/>
      <c r="L664" s="6"/>
      <c r="M664" s="6"/>
      <c r="N664" s="6"/>
      <c r="O664" s="6"/>
      <c r="AJ664" s="6">
        <f t="shared" si="156"/>
        <v>0</v>
      </c>
      <c r="AK664" s="5">
        <v>647</v>
      </c>
      <c r="AM664" s="2" t="str">
        <f t="shared" si="157"/>
        <v>6</v>
      </c>
      <c r="AN664" s="2" t="str">
        <f t="shared" si="154"/>
        <v>000</v>
      </c>
      <c r="AO664" s="2"/>
      <c r="AP664" s="2" t="str">
        <f t="shared" si="155"/>
        <v>6000</v>
      </c>
    </row>
    <row r="665" spans="6:42" x14ac:dyDescent="0.2">
      <c r="K665" s="6"/>
      <c r="L665" s="6"/>
      <c r="M665" s="6"/>
      <c r="N665" s="6"/>
      <c r="O665" s="6"/>
      <c r="AJ665" s="6">
        <f t="shared" si="156"/>
        <v>0</v>
      </c>
      <c r="AK665" s="5">
        <v>648</v>
      </c>
      <c r="AM665" s="2" t="str">
        <f t="shared" si="157"/>
        <v>6</v>
      </c>
      <c r="AN665" s="2" t="str">
        <f t="shared" si="154"/>
        <v>000</v>
      </c>
      <c r="AO665" s="2"/>
      <c r="AP665" s="2" t="str">
        <f t="shared" si="155"/>
        <v>6000</v>
      </c>
    </row>
    <row r="666" spans="6:42" x14ac:dyDescent="0.2">
      <c r="K666" s="6"/>
      <c r="L666" s="6"/>
      <c r="M666" s="6"/>
      <c r="N666" s="6"/>
      <c r="O666" s="6"/>
      <c r="AJ666" s="6">
        <f t="shared" si="156"/>
        <v>0</v>
      </c>
      <c r="AK666" s="5">
        <v>649</v>
      </c>
      <c r="AM666" s="2" t="str">
        <f t="shared" si="157"/>
        <v>6</v>
      </c>
      <c r="AN666" s="2" t="str">
        <f t="shared" si="154"/>
        <v>000</v>
      </c>
      <c r="AO666" s="2"/>
      <c r="AP666" s="2" t="str">
        <f t="shared" si="155"/>
        <v>6000</v>
      </c>
    </row>
    <row r="667" spans="6:42" x14ac:dyDescent="0.2">
      <c r="K667" s="6"/>
      <c r="L667" s="6"/>
      <c r="M667" s="6"/>
      <c r="N667" s="6"/>
      <c r="O667" s="6"/>
      <c r="AJ667" s="6">
        <f t="shared" si="156"/>
        <v>0</v>
      </c>
      <c r="AK667" s="5">
        <v>650</v>
      </c>
      <c r="AM667" s="2" t="str">
        <f t="shared" si="157"/>
        <v>6</v>
      </c>
      <c r="AN667" s="2" t="str">
        <f t="shared" si="154"/>
        <v>000</v>
      </c>
      <c r="AO667" s="2"/>
      <c r="AP667" s="2" t="str">
        <f t="shared" si="155"/>
        <v>6000</v>
      </c>
    </row>
    <row r="668" spans="6:42" x14ac:dyDescent="0.2">
      <c r="K668" s="6"/>
      <c r="L668" s="6"/>
      <c r="M668" s="6"/>
      <c r="N668" s="6"/>
      <c r="O668" s="6"/>
      <c r="AJ668" s="6">
        <f t="shared" si="156"/>
        <v>0</v>
      </c>
      <c r="AK668" s="5">
        <v>651</v>
      </c>
      <c r="AM668" s="2" t="str">
        <f t="shared" si="157"/>
        <v>6</v>
      </c>
      <c r="AN668" s="2" t="str">
        <f t="shared" si="154"/>
        <v>000</v>
      </c>
      <c r="AO668" s="2"/>
      <c r="AP668" s="2" t="str">
        <f t="shared" si="155"/>
        <v>6000</v>
      </c>
    </row>
    <row r="669" spans="6:42" x14ac:dyDescent="0.2">
      <c r="K669" s="6"/>
      <c r="L669" s="6"/>
      <c r="M669" s="6"/>
      <c r="N669" s="6"/>
      <c r="O669" s="6"/>
      <c r="AJ669" s="6">
        <f t="shared" si="156"/>
        <v>0</v>
      </c>
      <c r="AK669" s="5">
        <v>652</v>
      </c>
      <c r="AM669" s="2" t="str">
        <f t="shared" si="157"/>
        <v>6</v>
      </c>
      <c r="AN669" s="2" t="str">
        <f t="shared" si="154"/>
        <v>000</v>
      </c>
      <c r="AO669" s="2"/>
      <c r="AP669" s="2" t="str">
        <f t="shared" si="155"/>
        <v>6000</v>
      </c>
    </row>
    <row r="670" spans="6:42" x14ac:dyDescent="0.2">
      <c r="K670" s="6"/>
      <c r="L670" s="6"/>
      <c r="M670" s="6"/>
      <c r="N670" s="6"/>
      <c r="O670" s="6"/>
      <c r="AJ670" s="6">
        <f t="shared" si="156"/>
        <v>0</v>
      </c>
      <c r="AK670" s="5">
        <v>653</v>
      </c>
      <c r="AM670" s="2" t="str">
        <f t="shared" si="157"/>
        <v>6</v>
      </c>
      <c r="AN670" s="2" t="str">
        <f t="shared" si="154"/>
        <v>000</v>
      </c>
      <c r="AO670" s="2"/>
      <c r="AP670" s="2" t="str">
        <f t="shared" si="155"/>
        <v>6000</v>
      </c>
    </row>
    <row r="671" spans="6:42" x14ac:dyDescent="0.2">
      <c r="K671" s="6"/>
      <c r="L671" s="6"/>
      <c r="M671" s="6"/>
      <c r="N671" s="6"/>
      <c r="O671" s="6"/>
      <c r="AJ671" s="6">
        <f t="shared" si="156"/>
        <v>60</v>
      </c>
      <c r="AK671" s="5">
        <v>654</v>
      </c>
      <c r="AM671" s="2" t="str">
        <f t="shared" si="157"/>
        <v>6</v>
      </c>
      <c r="AN671" s="2" t="str">
        <f t="shared" si="154"/>
        <v>03C</v>
      </c>
      <c r="AO671" s="2"/>
      <c r="AP671" s="2" t="str">
        <f t="shared" si="155"/>
        <v>603C</v>
      </c>
    </row>
    <row r="672" spans="6:42" x14ac:dyDescent="0.2">
      <c r="K672" s="6"/>
      <c r="L672" s="6"/>
      <c r="M672" s="6"/>
      <c r="N672" s="6"/>
      <c r="O672" s="6"/>
      <c r="AJ672" s="6">
        <f t="shared" si="156"/>
        <v>120</v>
      </c>
      <c r="AK672" s="5">
        <v>655</v>
      </c>
      <c r="AM672" s="2" t="str">
        <f t="shared" si="157"/>
        <v>6</v>
      </c>
      <c r="AN672" s="2" t="str">
        <f t="shared" si="154"/>
        <v>078</v>
      </c>
      <c r="AO672" s="2"/>
      <c r="AP672" s="2" t="str">
        <f t="shared" si="155"/>
        <v>6078</v>
      </c>
    </row>
    <row r="673" spans="11:42" x14ac:dyDescent="0.2">
      <c r="K673" s="6"/>
      <c r="L673" s="6"/>
      <c r="M673" s="6"/>
      <c r="N673" s="6"/>
      <c r="O673" s="6"/>
      <c r="AJ673" s="6">
        <f t="shared" si="156"/>
        <v>180</v>
      </c>
      <c r="AK673" s="5">
        <v>656</v>
      </c>
      <c r="AM673" s="2" t="str">
        <f t="shared" si="157"/>
        <v>6</v>
      </c>
      <c r="AN673" s="2" t="str">
        <f t="shared" si="154"/>
        <v>0B4</v>
      </c>
      <c r="AO673" s="2"/>
      <c r="AP673" s="2" t="str">
        <f t="shared" si="155"/>
        <v>60B4</v>
      </c>
    </row>
    <row r="674" spans="11:42" x14ac:dyDescent="0.2">
      <c r="K674" s="6"/>
      <c r="L674" s="6"/>
      <c r="M674" s="6"/>
      <c r="N674" s="6"/>
      <c r="O674" s="6"/>
      <c r="AJ674" s="6">
        <f t="shared" si="156"/>
        <v>240</v>
      </c>
      <c r="AK674" s="5">
        <v>657</v>
      </c>
      <c r="AM674" s="2" t="str">
        <f t="shared" si="157"/>
        <v>6</v>
      </c>
      <c r="AN674" s="2" t="str">
        <f t="shared" si="154"/>
        <v>0F0</v>
      </c>
      <c r="AO674" s="2"/>
      <c r="AP674" s="2" t="str">
        <f t="shared" si="155"/>
        <v>60F0</v>
      </c>
    </row>
    <row r="675" spans="11:42" x14ac:dyDescent="0.2">
      <c r="K675" s="6"/>
      <c r="L675" s="6"/>
      <c r="M675" s="6"/>
      <c r="N675" s="6"/>
      <c r="O675" s="6"/>
      <c r="AJ675" s="6">
        <f t="shared" si="156"/>
        <v>300</v>
      </c>
      <c r="AK675" s="5">
        <v>658</v>
      </c>
      <c r="AM675" s="2" t="str">
        <f t="shared" si="157"/>
        <v>6</v>
      </c>
      <c r="AN675" s="2" t="str">
        <f t="shared" si="154"/>
        <v>12C</v>
      </c>
      <c r="AO675" s="2"/>
      <c r="AP675" s="2" t="str">
        <f t="shared" si="155"/>
        <v>612C</v>
      </c>
    </row>
    <row r="676" spans="11:42" x14ac:dyDescent="0.2">
      <c r="K676" s="6"/>
      <c r="L676" s="6"/>
      <c r="M676" s="6"/>
      <c r="N676" s="6"/>
      <c r="O676" s="6"/>
      <c r="AJ676" s="6">
        <f t="shared" si="156"/>
        <v>360</v>
      </c>
      <c r="AK676" s="5">
        <v>659</v>
      </c>
      <c r="AM676" s="2" t="str">
        <f t="shared" si="157"/>
        <v>6</v>
      </c>
      <c r="AN676" s="2" t="str">
        <f t="shared" si="154"/>
        <v>168</v>
      </c>
      <c r="AO676" s="2"/>
      <c r="AP676" s="2" t="str">
        <f t="shared" si="155"/>
        <v>6168</v>
      </c>
    </row>
    <row r="677" spans="11:42" x14ac:dyDescent="0.2">
      <c r="K677" s="6"/>
      <c r="L677" s="6"/>
      <c r="M677" s="6"/>
      <c r="N677" s="6"/>
      <c r="O677" s="6"/>
      <c r="AJ677" s="6">
        <f t="shared" si="156"/>
        <v>420</v>
      </c>
      <c r="AK677" s="5">
        <v>660</v>
      </c>
      <c r="AM677" s="2" t="str">
        <f t="shared" si="157"/>
        <v>6</v>
      </c>
      <c r="AN677" s="2" t="str">
        <f t="shared" si="154"/>
        <v>1A4</v>
      </c>
      <c r="AO677" s="2"/>
      <c r="AP677" s="2" t="str">
        <f t="shared" si="155"/>
        <v>61A4</v>
      </c>
    </row>
    <row r="678" spans="11:42" x14ac:dyDescent="0.2">
      <c r="K678" s="6"/>
      <c r="L678" s="6"/>
      <c r="M678" s="6"/>
      <c r="N678" s="6"/>
      <c r="O678" s="6"/>
      <c r="AJ678" s="6">
        <f t="shared" si="156"/>
        <v>480</v>
      </c>
      <c r="AK678" s="5">
        <v>661</v>
      </c>
      <c r="AM678" s="2" t="str">
        <f t="shared" si="157"/>
        <v>6</v>
      </c>
      <c r="AN678" s="2" t="str">
        <f t="shared" si="154"/>
        <v>1E0</v>
      </c>
      <c r="AO678" s="2"/>
      <c r="AP678" s="2" t="str">
        <f t="shared" si="155"/>
        <v>61E0</v>
      </c>
    </row>
    <row r="679" spans="11:42" x14ac:dyDescent="0.2">
      <c r="K679" s="6"/>
      <c r="L679" s="6"/>
      <c r="M679" s="6"/>
      <c r="N679" s="6"/>
      <c r="O679" s="6"/>
      <c r="AJ679" s="6">
        <f t="shared" si="156"/>
        <v>540</v>
      </c>
      <c r="AK679" s="5">
        <v>662</v>
      </c>
      <c r="AM679" s="2" t="str">
        <f t="shared" si="157"/>
        <v>6</v>
      </c>
      <c r="AN679" s="2" t="str">
        <f t="shared" si="154"/>
        <v>21C</v>
      </c>
      <c r="AO679" s="2"/>
      <c r="AP679" s="2" t="str">
        <f t="shared" si="155"/>
        <v>621C</v>
      </c>
    </row>
    <row r="680" spans="11:42" x14ac:dyDescent="0.2">
      <c r="K680" s="6"/>
      <c r="L680" s="6"/>
      <c r="M680" s="6"/>
      <c r="N680" s="6"/>
      <c r="O680" s="6"/>
      <c r="AJ680" s="6">
        <f t="shared" si="156"/>
        <v>600</v>
      </c>
      <c r="AK680" s="5">
        <v>663</v>
      </c>
      <c r="AM680" s="2" t="str">
        <f t="shared" si="157"/>
        <v>6</v>
      </c>
      <c r="AN680" s="2" t="str">
        <f t="shared" si="154"/>
        <v>258</v>
      </c>
      <c r="AO680" s="2"/>
      <c r="AP680" s="2" t="str">
        <f t="shared" si="155"/>
        <v>6258</v>
      </c>
    </row>
    <row r="681" spans="11:42" x14ac:dyDescent="0.2">
      <c r="K681" s="6"/>
      <c r="L681" s="6"/>
      <c r="M681" s="6"/>
      <c r="N681" s="6"/>
      <c r="O681" s="6"/>
      <c r="AJ681" s="6">
        <f t="shared" si="156"/>
        <v>600</v>
      </c>
      <c r="AK681" s="5">
        <v>664</v>
      </c>
      <c r="AM681" s="2" t="str">
        <f t="shared" si="157"/>
        <v>6</v>
      </c>
      <c r="AN681" s="2" t="str">
        <f t="shared" si="154"/>
        <v>258</v>
      </c>
      <c r="AO681" s="2"/>
      <c r="AP681" s="2" t="str">
        <f t="shared" si="155"/>
        <v>6258</v>
      </c>
    </row>
    <row r="682" spans="11:42" x14ac:dyDescent="0.2">
      <c r="K682" s="6"/>
      <c r="L682" s="6"/>
      <c r="M682" s="6"/>
      <c r="N682" s="6"/>
      <c r="O682" s="6"/>
      <c r="AJ682" s="6">
        <f t="shared" si="156"/>
        <v>600</v>
      </c>
      <c r="AK682" s="5">
        <v>665</v>
      </c>
      <c r="AM682" s="2" t="str">
        <f t="shared" si="157"/>
        <v>6</v>
      </c>
      <c r="AN682" s="2" t="str">
        <f t="shared" si="154"/>
        <v>258</v>
      </c>
      <c r="AO682" s="2"/>
      <c r="AP682" s="2" t="str">
        <f t="shared" si="155"/>
        <v>6258</v>
      </c>
    </row>
    <row r="683" spans="11:42" x14ac:dyDescent="0.2">
      <c r="K683" s="6"/>
      <c r="L683" s="6"/>
      <c r="M683" s="6"/>
      <c r="N683" s="6"/>
      <c r="O683" s="6"/>
      <c r="AJ683" s="6">
        <f t="shared" si="156"/>
        <v>600</v>
      </c>
      <c r="AK683" s="5">
        <v>666</v>
      </c>
      <c r="AM683" s="2" t="str">
        <f t="shared" si="157"/>
        <v>6</v>
      </c>
      <c r="AN683" s="2" t="str">
        <f t="shared" si="154"/>
        <v>258</v>
      </c>
      <c r="AO683" s="2"/>
      <c r="AP683" s="2" t="str">
        <f t="shared" si="155"/>
        <v>6258</v>
      </c>
    </row>
    <row r="684" spans="11:42" x14ac:dyDescent="0.2">
      <c r="K684" s="6"/>
      <c r="L684" s="6"/>
      <c r="M684" s="6"/>
      <c r="N684" s="6"/>
      <c r="O684" s="6"/>
      <c r="AJ684" s="6">
        <f t="shared" si="156"/>
        <v>600</v>
      </c>
      <c r="AK684" s="5">
        <v>667</v>
      </c>
      <c r="AM684" s="2" t="str">
        <f t="shared" si="157"/>
        <v>6</v>
      </c>
      <c r="AN684" s="2" t="str">
        <f t="shared" si="154"/>
        <v>258</v>
      </c>
      <c r="AO684" s="2"/>
      <c r="AP684" s="2" t="str">
        <f t="shared" si="155"/>
        <v>6258</v>
      </c>
    </row>
    <row r="685" spans="11:42" x14ac:dyDescent="0.2">
      <c r="K685" s="6"/>
      <c r="L685" s="6"/>
      <c r="M685" s="6"/>
      <c r="N685" s="6"/>
      <c r="O685" s="6"/>
      <c r="AJ685" s="6">
        <f t="shared" si="156"/>
        <v>600</v>
      </c>
      <c r="AK685" s="5">
        <v>668</v>
      </c>
      <c r="AM685" s="2" t="str">
        <f t="shared" si="157"/>
        <v>6</v>
      </c>
      <c r="AN685" s="2" t="str">
        <f t="shared" si="154"/>
        <v>258</v>
      </c>
      <c r="AO685" s="2"/>
      <c r="AP685" s="2" t="str">
        <f t="shared" si="155"/>
        <v>6258</v>
      </c>
    </row>
    <row r="686" spans="11:42" x14ac:dyDescent="0.2">
      <c r="K686" s="6"/>
      <c r="L686" s="6"/>
      <c r="M686" s="6"/>
      <c r="N686" s="6"/>
      <c r="O686" s="6"/>
      <c r="AJ686" s="6">
        <f t="shared" si="156"/>
        <v>600</v>
      </c>
      <c r="AK686" s="5">
        <v>669</v>
      </c>
      <c r="AM686" s="2" t="str">
        <f t="shared" si="157"/>
        <v>6</v>
      </c>
      <c r="AN686" s="2" t="str">
        <f t="shared" si="154"/>
        <v>258</v>
      </c>
      <c r="AO686" s="2"/>
      <c r="AP686" s="2" t="str">
        <f t="shared" si="155"/>
        <v>6258</v>
      </c>
    </row>
    <row r="687" spans="11:42" x14ac:dyDescent="0.2">
      <c r="K687" s="6"/>
      <c r="L687" s="6"/>
      <c r="M687" s="6"/>
      <c r="N687" s="6"/>
      <c r="O687" s="6"/>
      <c r="AJ687" s="6">
        <f t="shared" si="156"/>
        <v>600</v>
      </c>
      <c r="AK687" s="5">
        <v>670</v>
      </c>
      <c r="AM687" s="2" t="str">
        <f t="shared" si="157"/>
        <v>6</v>
      </c>
      <c r="AN687" s="2" t="str">
        <f t="shared" si="154"/>
        <v>258</v>
      </c>
      <c r="AO687" s="2"/>
      <c r="AP687" s="2" t="str">
        <f t="shared" si="155"/>
        <v>6258</v>
      </c>
    </row>
    <row r="688" spans="11:42" x14ac:dyDescent="0.2">
      <c r="K688" s="6"/>
      <c r="L688" s="6"/>
      <c r="M688" s="6"/>
      <c r="N688" s="6"/>
      <c r="O688" s="6"/>
      <c r="AJ688" s="6">
        <f t="shared" si="156"/>
        <v>600</v>
      </c>
      <c r="AK688" s="5">
        <v>671</v>
      </c>
      <c r="AM688" s="2" t="str">
        <f t="shared" si="157"/>
        <v>6</v>
      </c>
      <c r="AN688" s="2" t="str">
        <f t="shared" si="154"/>
        <v>258</v>
      </c>
      <c r="AO688" s="2"/>
      <c r="AP688" s="2" t="str">
        <f t="shared" si="155"/>
        <v>6258</v>
      </c>
    </row>
    <row r="689" spans="11:42" x14ac:dyDescent="0.2">
      <c r="K689" s="6"/>
      <c r="L689" s="6"/>
      <c r="M689" s="6"/>
      <c r="N689" s="6"/>
      <c r="O689" s="6"/>
      <c r="AJ689" s="6">
        <f t="shared" si="156"/>
        <v>600</v>
      </c>
      <c r="AK689" s="5">
        <v>672</v>
      </c>
      <c r="AM689" s="2" t="str">
        <f t="shared" si="157"/>
        <v>6</v>
      </c>
      <c r="AN689" s="2" t="str">
        <f t="shared" si="154"/>
        <v>258</v>
      </c>
      <c r="AO689" s="2"/>
      <c r="AP689" s="2" t="str">
        <f t="shared" si="155"/>
        <v>6258</v>
      </c>
    </row>
    <row r="690" spans="11:42" x14ac:dyDescent="0.2">
      <c r="K690" s="6"/>
      <c r="L690" s="6"/>
      <c r="M690" s="6"/>
      <c r="N690" s="6"/>
      <c r="O690" s="6"/>
      <c r="AJ690" s="6">
        <f t="shared" si="156"/>
        <v>600</v>
      </c>
      <c r="AK690" s="5">
        <v>673</v>
      </c>
      <c r="AM690" s="2" t="str">
        <f t="shared" si="157"/>
        <v>6</v>
      </c>
      <c r="AN690" s="2" t="str">
        <f t="shared" si="154"/>
        <v>258</v>
      </c>
      <c r="AO690" s="2"/>
      <c r="AP690" s="2" t="str">
        <f t="shared" si="155"/>
        <v>6258</v>
      </c>
    </row>
    <row r="691" spans="11:42" x14ac:dyDescent="0.2">
      <c r="K691" s="6"/>
      <c r="L691" s="6"/>
      <c r="M691" s="6"/>
      <c r="N691" s="6"/>
      <c r="O691" s="6"/>
      <c r="AJ691" s="6">
        <f t="shared" si="156"/>
        <v>600</v>
      </c>
      <c r="AK691" s="5">
        <v>674</v>
      </c>
      <c r="AM691" s="2" t="str">
        <f t="shared" si="157"/>
        <v>6</v>
      </c>
      <c r="AN691" s="2" t="str">
        <f t="shared" si="154"/>
        <v>258</v>
      </c>
      <c r="AO691" s="2"/>
      <c r="AP691" s="2" t="str">
        <f t="shared" si="155"/>
        <v>6258</v>
      </c>
    </row>
    <row r="692" spans="11:42" x14ac:dyDescent="0.2">
      <c r="K692" s="6"/>
      <c r="L692" s="6"/>
      <c r="M692" s="6"/>
      <c r="N692" s="6"/>
      <c r="O692" s="6"/>
      <c r="AJ692" s="6">
        <f t="shared" si="156"/>
        <v>600</v>
      </c>
      <c r="AK692" s="5">
        <v>675</v>
      </c>
      <c r="AM692" s="2" t="str">
        <f t="shared" si="157"/>
        <v>6</v>
      </c>
      <c r="AN692" s="2" t="str">
        <f t="shared" si="154"/>
        <v>258</v>
      </c>
      <c r="AO692" s="2"/>
      <c r="AP692" s="2" t="str">
        <f t="shared" si="155"/>
        <v>6258</v>
      </c>
    </row>
    <row r="693" spans="11:42" x14ac:dyDescent="0.2">
      <c r="K693" s="6"/>
      <c r="L693" s="6"/>
      <c r="M693" s="6"/>
      <c r="N693" s="6"/>
      <c r="O693" s="6"/>
      <c r="AJ693" s="6">
        <f t="shared" si="156"/>
        <v>600</v>
      </c>
      <c r="AK693" s="5">
        <v>676</v>
      </c>
      <c r="AM693" s="2" t="str">
        <f t="shared" si="157"/>
        <v>6</v>
      </c>
      <c r="AN693" s="2" t="str">
        <f t="shared" si="154"/>
        <v>258</v>
      </c>
      <c r="AO693" s="2"/>
      <c r="AP693" s="2" t="str">
        <f t="shared" si="155"/>
        <v>6258</v>
      </c>
    </row>
    <row r="694" spans="11:42" x14ac:dyDescent="0.2">
      <c r="K694" s="6"/>
      <c r="L694" s="6"/>
      <c r="M694" s="6"/>
      <c r="N694" s="6"/>
      <c r="O694" s="6"/>
      <c r="AJ694" s="6">
        <f t="shared" si="156"/>
        <v>600</v>
      </c>
      <c r="AK694" s="5">
        <v>677</v>
      </c>
      <c r="AM694" s="2" t="str">
        <f t="shared" si="157"/>
        <v>6</v>
      </c>
      <c r="AN694" s="2" t="str">
        <f t="shared" si="154"/>
        <v>258</v>
      </c>
      <c r="AO694" s="2"/>
      <c r="AP694" s="2" t="str">
        <f t="shared" si="155"/>
        <v>6258</v>
      </c>
    </row>
    <row r="695" spans="11:42" x14ac:dyDescent="0.2">
      <c r="K695" s="6"/>
      <c r="L695" s="6"/>
      <c r="M695" s="6"/>
      <c r="N695" s="6"/>
      <c r="O695" s="6"/>
      <c r="AJ695" s="6">
        <f t="shared" si="156"/>
        <v>600</v>
      </c>
      <c r="AK695" s="5">
        <v>678</v>
      </c>
      <c r="AM695" s="2" t="str">
        <f t="shared" si="157"/>
        <v>6</v>
      </c>
      <c r="AN695" s="2" t="str">
        <f t="shared" si="154"/>
        <v>258</v>
      </c>
      <c r="AO695" s="2"/>
      <c r="AP695" s="2" t="str">
        <f t="shared" si="155"/>
        <v>6258</v>
      </c>
    </row>
    <row r="696" spans="11:42" x14ac:dyDescent="0.2">
      <c r="K696" s="6"/>
      <c r="L696" s="6"/>
      <c r="M696" s="6"/>
      <c r="N696" s="6"/>
      <c r="O696" s="6"/>
      <c r="AJ696" s="6">
        <f t="shared" si="156"/>
        <v>600</v>
      </c>
      <c r="AK696" s="5">
        <v>679</v>
      </c>
      <c r="AM696" s="2" t="str">
        <f t="shared" si="157"/>
        <v>6</v>
      </c>
      <c r="AN696" s="2" t="str">
        <f t="shared" si="154"/>
        <v>258</v>
      </c>
      <c r="AO696" s="2"/>
      <c r="AP696" s="2" t="str">
        <f t="shared" si="155"/>
        <v>6258</v>
      </c>
    </row>
    <row r="697" spans="11:42" x14ac:dyDescent="0.2">
      <c r="K697" s="6"/>
      <c r="L697" s="6"/>
      <c r="M697" s="6"/>
      <c r="N697" s="6"/>
      <c r="O697" s="6"/>
      <c r="AJ697" s="6">
        <f t="shared" si="156"/>
        <v>600</v>
      </c>
      <c r="AK697" s="5">
        <v>680</v>
      </c>
      <c r="AM697" s="2" t="str">
        <f t="shared" si="157"/>
        <v>6</v>
      </c>
      <c r="AN697" s="2" t="str">
        <f t="shared" si="154"/>
        <v>258</v>
      </c>
      <c r="AO697" s="2"/>
      <c r="AP697" s="2" t="str">
        <f t="shared" si="155"/>
        <v>6258</v>
      </c>
    </row>
    <row r="698" spans="11:42" x14ac:dyDescent="0.2">
      <c r="K698" s="6"/>
      <c r="L698" s="6"/>
      <c r="M698" s="6"/>
      <c r="N698" s="6"/>
      <c r="O698" s="6"/>
      <c r="AJ698" s="6">
        <f t="shared" si="156"/>
        <v>600</v>
      </c>
      <c r="AK698" s="5">
        <v>681</v>
      </c>
      <c r="AM698" s="2" t="str">
        <f t="shared" si="157"/>
        <v>6</v>
      </c>
      <c r="AN698" s="2" t="str">
        <f t="shared" si="154"/>
        <v>258</v>
      </c>
      <c r="AO698" s="2"/>
      <c r="AP698" s="2" t="str">
        <f t="shared" si="155"/>
        <v>6258</v>
      </c>
    </row>
    <row r="699" spans="11:42" x14ac:dyDescent="0.2">
      <c r="K699" s="6"/>
      <c r="L699" s="6"/>
      <c r="M699" s="6"/>
      <c r="N699" s="6"/>
      <c r="O699" s="6"/>
      <c r="AJ699" s="6">
        <f t="shared" si="156"/>
        <v>600</v>
      </c>
      <c r="AK699" s="5">
        <v>682</v>
      </c>
      <c r="AM699" s="2" t="str">
        <f t="shared" si="157"/>
        <v>6</v>
      </c>
      <c r="AN699" s="2" t="str">
        <f t="shared" si="154"/>
        <v>258</v>
      </c>
      <c r="AO699" s="2"/>
      <c r="AP699" s="2" t="str">
        <f t="shared" si="155"/>
        <v>6258</v>
      </c>
    </row>
    <row r="700" spans="11:42" x14ac:dyDescent="0.2">
      <c r="K700" s="6"/>
      <c r="L700" s="6"/>
      <c r="M700" s="6"/>
      <c r="N700" s="6"/>
      <c r="O700" s="6"/>
      <c r="AJ700" s="6">
        <f t="shared" si="156"/>
        <v>600</v>
      </c>
      <c r="AK700" s="5">
        <v>683</v>
      </c>
      <c r="AM700" s="2" t="str">
        <f t="shared" si="157"/>
        <v>6</v>
      </c>
      <c r="AN700" s="2" t="str">
        <f t="shared" si="154"/>
        <v>258</v>
      </c>
      <c r="AO700" s="2"/>
      <c r="AP700" s="2" t="str">
        <f t="shared" si="155"/>
        <v>6258</v>
      </c>
    </row>
    <row r="701" spans="11:42" x14ac:dyDescent="0.2">
      <c r="K701" s="6"/>
      <c r="L701" s="6"/>
      <c r="M701" s="6"/>
      <c r="N701" s="6"/>
      <c r="O701" s="6"/>
      <c r="AJ701" s="6">
        <f t="shared" si="156"/>
        <v>690</v>
      </c>
      <c r="AK701" s="5">
        <v>684</v>
      </c>
      <c r="AM701" s="2" t="str">
        <f t="shared" si="157"/>
        <v>6</v>
      </c>
      <c r="AN701" s="2" t="str">
        <f t="shared" si="154"/>
        <v>2B2</v>
      </c>
      <c r="AO701" s="2"/>
      <c r="AP701" s="2" t="str">
        <f t="shared" si="155"/>
        <v>62B2</v>
      </c>
    </row>
    <row r="702" spans="11:42" x14ac:dyDescent="0.2">
      <c r="K702" s="6"/>
      <c r="L702" s="6"/>
      <c r="M702" s="6"/>
      <c r="N702" s="6"/>
      <c r="O702" s="6"/>
      <c r="AJ702" s="6">
        <f t="shared" si="156"/>
        <v>780</v>
      </c>
      <c r="AK702" s="5">
        <v>685</v>
      </c>
      <c r="AM702" s="2" t="str">
        <f t="shared" si="157"/>
        <v>6</v>
      </c>
      <c r="AN702" s="2" t="str">
        <f t="shared" si="154"/>
        <v>30C</v>
      </c>
      <c r="AO702" s="2"/>
      <c r="AP702" s="2" t="str">
        <f t="shared" si="155"/>
        <v>630C</v>
      </c>
    </row>
    <row r="703" spans="11:42" x14ac:dyDescent="0.2">
      <c r="K703" s="6"/>
      <c r="L703" s="6"/>
      <c r="M703" s="6"/>
      <c r="N703" s="6"/>
      <c r="O703" s="6"/>
      <c r="AJ703" s="6">
        <f t="shared" si="156"/>
        <v>870</v>
      </c>
      <c r="AK703" s="5">
        <v>686</v>
      </c>
      <c r="AM703" s="2" t="str">
        <f t="shared" si="157"/>
        <v>6</v>
      </c>
      <c r="AN703" s="2" t="str">
        <f t="shared" si="154"/>
        <v>366</v>
      </c>
      <c r="AO703" s="2"/>
      <c r="AP703" s="2" t="str">
        <f t="shared" si="155"/>
        <v>6366</v>
      </c>
    </row>
    <row r="704" spans="11:42" x14ac:dyDescent="0.2">
      <c r="K704" s="6"/>
      <c r="L704" s="6"/>
      <c r="M704" s="6"/>
      <c r="N704" s="6"/>
      <c r="O704" s="6"/>
      <c r="AJ704" s="6">
        <f t="shared" si="156"/>
        <v>960</v>
      </c>
      <c r="AK704" s="5">
        <v>687</v>
      </c>
      <c r="AM704" s="2" t="str">
        <f t="shared" si="157"/>
        <v>6</v>
      </c>
      <c r="AN704" s="2" t="str">
        <f t="shared" si="154"/>
        <v>3C0</v>
      </c>
      <c r="AO704" s="2"/>
      <c r="AP704" s="2" t="str">
        <f t="shared" si="155"/>
        <v>63C0</v>
      </c>
    </row>
    <row r="705" spans="11:42" x14ac:dyDescent="0.2">
      <c r="K705" s="6"/>
      <c r="L705" s="6"/>
      <c r="M705" s="6"/>
      <c r="N705" s="6"/>
      <c r="O705" s="6"/>
      <c r="AJ705" s="6">
        <f t="shared" si="156"/>
        <v>1050</v>
      </c>
      <c r="AK705" s="5">
        <v>688</v>
      </c>
      <c r="AM705" s="2" t="str">
        <f t="shared" si="157"/>
        <v>6</v>
      </c>
      <c r="AN705" s="2" t="str">
        <f t="shared" si="154"/>
        <v>41A</v>
      </c>
      <c r="AO705" s="2"/>
      <c r="AP705" s="2" t="str">
        <f t="shared" si="155"/>
        <v>641A</v>
      </c>
    </row>
    <row r="706" spans="11:42" x14ac:dyDescent="0.2">
      <c r="K706" s="6"/>
      <c r="L706" s="6"/>
      <c r="M706" s="6"/>
      <c r="N706" s="6"/>
      <c r="O706" s="6"/>
      <c r="AJ706" s="6">
        <f t="shared" si="156"/>
        <v>1140</v>
      </c>
      <c r="AK706" s="5">
        <v>689</v>
      </c>
      <c r="AM706" s="2" t="str">
        <f t="shared" si="157"/>
        <v>6</v>
      </c>
      <c r="AN706" s="2" t="str">
        <f t="shared" si="154"/>
        <v>474</v>
      </c>
      <c r="AO706" s="2"/>
      <c r="AP706" s="2" t="str">
        <f t="shared" si="155"/>
        <v>6474</v>
      </c>
    </row>
    <row r="707" spans="11:42" x14ac:dyDescent="0.2">
      <c r="K707" s="6"/>
      <c r="L707" s="6"/>
      <c r="M707" s="6"/>
      <c r="N707" s="6"/>
      <c r="O707" s="6"/>
      <c r="AJ707" s="6">
        <f t="shared" si="156"/>
        <v>1230</v>
      </c>
      <c r="AK707" s="5">
        <v>690</v>
      </c>
      <c r="AM707" s="2" t="str">
        <f t="shared" si="157"/>
        <v>6</v>
      </c>
      <c r="AN707" s="2" t="str">
        <f t="shared" si="154"/>
        <v>4CE</v>
      </c>
      <c r="AO707" s="2"/>
      <c r="AP707" s="2" t="str">
        <f t="shared" si="155"/>
        <v>64CE</v>
      </c>
    </row>
    <row r="708" spans="11:42" x14ac:dyDescent="0.2">
      <c r="K708" s="6"/>
      <c r="L708" s="6"/>
      <c r="M708" s="6"/>
      <c r="N708" s="6"/>
      <c r="O708" s="6"/>
      <c r="AJ708" s="6">
        <f t="shared" si="156"/>
        <v>1320</v>
      </c>
      <c r="AK708" s="5">
        <v>691</v>
      </c>
      <c r="AM708" s="2" t="str">
        <f t="shared" si="157"/>
        <v>6</v>
      </c>
      <c r="AN708" s="2" t="str">
        <f t="shared" si="154"/>
        <v>528</v>
      </c>
      <c r="AO708" s="2"/>
      <c r="AP708" s="2" t="str">
        <f t="shared" si="155"/>
        <v>6528</v>
      </c>
    </row>
    <row r="709" spans="11:42" x14ac:dyDescent="0.2">
      <c r="K709" s="6"/>
      <c r="L709" s="6"/>
      <c r="M709" s="6"/>
      <c r="N709" s="6"/>
      <c r="O709" s="6"/>
      <c r="AJ709" s="6">
        <f t="shared" si="156"/>
        <v>1410</v>
      </c>
      <c r="AK709" s="5">
        <v>692</v>
      </c>
      <c r="AM709" s="2" t="str">
        <f t="shared" si="157"/>
        <v>6</v>
      </c>
      <c r="AN709" s="2" t="str">
        <f t="shared" si="154"/>
        <v>582</v>
      </c>
      <c r="AO709" s="2"/>
      <c r="AP709" s="2" t="str">
        <f t="shared" si="155"/>
        <v>6582</v>
      </c>
    </row>
    <row r="710" spans="11:42" x14ac:dyDescent="0.2">
      <c r="K710" s="6"/>
      <c r="L710" s="6"/>
      <c r="M710" s="6"/>
      <c r="N710" s="6"/>
      <c r="O710" s="6"/>
      <c r="AJ710" s="6">
        <f t="shared" si="156"/>
        <v>1500</v>
      </c>
      <c r="AK710" s="5">
        <v>693</v>
      </c>
      <c r="AM710" s="2" t="str">
        <f t="shared" si="157"/>
        <v>6</v>
      </c>
      <c r="AN710" s="2" t="str">
        <f t="shared" si="154"/>
        <v>5DC</v>
      </c>
      <c r="AO710" s="2"/>
      <c r="AP710" s="2" t="str">
        <f t="shared" si="155"/>
        <v>65DC</v>
      </c>
    </row>
    <row r="711" spans="11:42" x14ac:dyDescent="0.2">
      <c r="K711" s="6"/>
      <c r="L711" s="6"/>
      <c r="M711" s="6"/>
      <c r="N711" s="6"/>
      <c r="O711" s="6"/>
      <c r="AJ711" s="6">
        <f t="shared" si="156"/>
        <v>1500</v>
      </c>
      <c r="AK711" s="5">
        <v>694</v>
      </c>
      <c r="AM711" s="2" t="str">
        <f t="shared" si="157"/>
        <v>6</v>
      </c>
      <c r="AN711" s="2" t="str">
        <f t="shared" si="154"/>
        <v>5DC</v>
      </c>
      <c r="AO711" s="2"/>
      <c r="AP711" s="2" t="str">
        <f t="shared" si="155"/>
        <v>65DC</v>
      </c>
    </row>
    <row r="712" spans="11:42" x14ac:dyDescent="0.2">
      <c r="K712" s="6"/>
      <c r="L712" s="6"/>
      <c r="M712" s="6"/>
      <c r="N712" s="6"/>
      <c r="O712" s="6"/>
      <c r="AJ712" s="6">
        <f t="shared" si="156"/>
        <v>1500</v>
      </c>
      <c r="AK712" s="5">
        <v>695</v>
      </c>
      <c r="AM712" s="2" t="str">
        <f t="shared" si="157"/>
        <v>6</v>
      </c>
      <c r="AN712" s="2" t="str">
        <f t="shared" si="154"/>
        <v>5DC</v>
      </c>
      <c r="AO712" s="2"/>
      <c r="AP712" s="2" t="str">
        <f t="shared" si="155"/>
        <v>65DC</v>
      </c>
    </row>
    <row r="713" spans="11:42" x14ac:dyDescent="0.2">
      <c r="K713" s="6"/>
      <c r="L713" s="6"/>
      <c r="M713" s="6"/>
      <c r="N713" s="6"/>
      <c r="O713" s="6"/>
      <c r="AJ713" s="6">
        <f t="shared" si="156"/>
        <v>1500</v>
      </c>
      <c r="AK713" s="5">
        <v>696</v>
      </c>
      <c r="AM713" s="2" t="str">
        <f t="shared" si="157"/>
        <v>6</v>
      </c>
      <c r="AN713" s="2" t="str">
        <f t="shared" si="154"/>
        <v>5DC</v>
      </c>
      <c r="AO713" s="2"/>
      <c r="AP713" s="2" t="str">
        <f t="shared" si="155"/>
        <v>65DC</v>
      </c>
    </row>
    <row r="714" spans="11:42" x14ac:dyDescent="0.2">
      <c r="K714" s="6"/>
      <c r="L714" s="6"/>
      <c r="M714" s="6"/>
      <c r="N714" s="6"/>
      <c r="O714" s="6"/>
      <c r="AJ714" s="6">
        <f t="shared" si="156"/>
        <v>1500</v>
      </c>
      <c r="AK714" s="5">
        <v>697</v>
      </c>
      <c r="AM714" s="2" t="str">
        <f t="shared" si="157"/>
        <v>6</v>
      </c>
      <c r="AN714" s="2" t="str">
        <f t="shared" si="154"/>
        <v>5DC</v>
      </c>
      <c r="AO714" s="2"/>
      <c r="AP714" s="2" t="str">
        <f t="shared" si="155"/>
        <v>65DC</v>
      </c>
    </row>
    <row r="715" spans="11:42" x14ac:dyDescent="0.2">
      <c r="K715" s="6"/>
      <c r="L715" s="6"/>
      <c r="M715" s="6"/>
      <c r="N715" s="6"/>
      <c r="O715" s="6"/>
      <c r="AJ715" s="6">
        <f t="shared" si="156"/>
        <v>1500</v>
      </c>
      <c r="AK715" s="5">
        <v>698</v>
      </c>
      <c r="AM715" s="2" t="str">
        <f t="shared" si="157"/>
        <v>6</v>
      </c>
      <c r="AN715" s="2" t="str">
        <f t="shared" si="154"/>
        <v>5DC</v>
      </c>
      <c r="AO715" s="2"/>
      <c r="AP715" s="2" t="str">
        <f t="shared" si="155"/>
        <v>65DC</v>
      </c>
    </row>
    <row r="716" spans="11:42" x14ac:dyDescent="0.2">
      <c r="K716" s="6"/>
      <c r="L716" s="6"/>
      <c r="M716" s="6"/>
      <c r="N716" s="6"/>
      <c r="O716" s="6"/>
      <c r="AJ716" s="6">
        <f t="shared" si="156"/>
        <v>1500</v>
      </c>
      <c r="AK716" s="5">
        <v>699</v>
      </c>
      <c r="AM716" s="2" t="str">
        <f t="shared" si="157"/>
        <v>6</v>
      </c>
      <c r="AN716" s="2" t="str">
        <f t="shared" si="154"/>
        <v>5DC</v>
      </c>
      <c r="AO716" s="2"/>
      <c r="AP716" s="2" t="str">
        <f t="shared" si="155"/>
        <v>65DC</v>
      </c>
    </row>
    <row r="717" spans="11:42" x14ac:dyDescent="0.2">
      <c r="K717" s="6"/>
      <c r="L717" s="6"/>
      <c r="M717" s="6"/>
      <c r="N717" s="6"/>
      <c r="O717" s="6"/>
      <c r="AJ717" s="6">
        <f t="shared" si="156"/>
        <v>1500</v>
      </c>
      <c r="AK717" s="5">
        <v>700</v>
      </c>
      <c r="AM717" s="2" t="str">
        <f t="shared" si="157"/>
        <v>6</v>
      </c>
      <c r="AN717" s="2" t="str">
        <f t="shared" si="154"/>
        <v>5DC</v>
      </c>
      <c r="AO717" s="2"/>
      <c r="AP717" s="2" t="str">
        <f t="shared" si="155"/>
        <v>65DC</v>
      </c>
    </row>
    <row r="718" spans="11:42" x14ac:dyDescent="0.2">
      <c r="K718" s="6"/>
      <c r="L718" s="6"/>
      <c r="M718" s="6"/>
      <c r="N718" s="6"/>
      <c r="O718" s="6"/>
      <c r="AJ718" s="6">
        <f t="shared" si="156"/>
        <v>1500</v>
      </c>
      <c r="AK718" s="5">
        <v>701</v>
      </c>
      <c r="AM718" s="2" t="str">
        <f t="shared" si="157"/>
        <v>6</v>
      </c>
      <c r="AN718" s="2" t="str">
        <f t="shared" si="154"/>
        <v>5DC</v>
      </c>
      <c r="AO718" s="2"/>
      <c r="AP718" s="2" t="str">
        <f t="shared" si="155"/>
        <v>65DC</v>
      </c>
    </row>
    <row r="719" spans="11:42" x14ac:dyDescent="0.2">
      <c r="K719" s="6"/>
      <c r="L719" s="6"/>
      <c r="M719" s="6"/>
      <c r="N719" s="6"/>
      <c r="O719" s="6"/>
      <c r="AJ719" s="6">
        <f t="shared" si="156"/>
        <v>1500</v>
      </c>
      <c r="AK719" s="5">
        <v>702</v>
      </c>
      <c r="AM719" s="2" t="str">
        <f t="shared" si="157"/>
        <v>6</v>
      </c>
      <c r="AN719" s="2" t="str">
        <f t="shared" ref="AN719:AN735" si="158">DEC2HEX(AJ719,3)</f>
        <v>5DC</v>
      </c>
      <c r="AO719" s="2"/>
      <c r="AP719" s="2" t="str">
        <f t="shared" ref="AP719:AP735" si="159">CONCATENATE(AM719,AN719)</f>
        <v>65DC</v>
      </c>
    </row>
    <row r="720" spans="11:42" x14ac:dyDescent="0.2">
      <c r="K720" s="6"/>
      <c r="L720" s="6"/>
      <c r="M720" s="6"/>
      <c r="N720" s="6"/>
      <c r="O720" s="6"/>
      <c r="AJ720" s="6">
        <f t="shared" si="156"/>
        <v>1500</v>
      </c>
      <c r="AK720" s="5">
        <v>703</v>
      </c>
      <c r="AM720" s="2" t="str">
        <f t="shared" si="157"/>
        <v>6</v>
      </c>
      <c r="AN720" s="2" t="str">
        <f t="shared" si="158"/>
        <v>5DC</v>
      </c>
      <c r="AO720" s="2"/>
      <c r="AP720" s="2" t="str">
        <f t="shared" si="159"/>
        <v>65DC</v>
      </c>
    </row>
    <row r="721" spans="11:42" x14ac:dyDescent="0.2">
      <c r="K721" s="6"/>
      <c r="L721" s="6"/>
      <c r="M721" s="6"/>
      <c r="N721" s="6"/>
      <c r="O721" s="6"/>
      <c r="AJ721" s="6">
        <f t="shared" si="156"/>
        <v>1500</v>
      </c>
      <c r="AK721" s="5">
        <v>704</v>
      </c>
      <c r="AM721" s="2" t="str">
        <f t="shared" si="157"/>
        <v>6</v>
      </c>
      <c r="AN721" s="2" t="str">
        <f t="shared" si="158"/>
        <v>5DC</v>
      </c>
      <c r="AO721" s="2"/>
      <c r="AP721" s="2" t="str">
        <f t="shared" si="159"/>
        <v>65DC</v>
      </c>
    </row>
    <row r="722" spans="11:42" x14ac:dyDescent="0.2">
      <c r="K722" s="6"/>
      <c r="L722" s="6"/>
      <c r="M722" s="6"/>
      <c r="N722" s="6"/>
      <c r="O722" s="6"/>
      <c r="AJ722" s="6">
        <f t="shared" si="156"/>
        <v>1500</v>
      </c>
      <c r="AK722" s="5">
        <v>705</v>
      </c>
      <c r="AM722" s="2" t="str">
        <f t="shared" si="157"/>
        <v>6</v>
      </c>
      <c r="AN722" s="2" t="str">
        <f t="shared" si="158"/>
        <v>5DC</v>
      </c>
      <c r="AO722" s="2"/>
      <c r="AP722" s="2" t="str">
        <f t="shared" si="159"/>
        <v>65DC</v>
      </c>
    </row>
    <row r="723" spans="11:42" x14ac:dyDescent="0.2">
      <c r="K723" s="6"/>
      <c r="L723" s="6"/>
      <c r="M723" s="6"/>
      <c r="N723" s="6"/>
      <c r="O723" s="6"/>
      <c r="AJ723" s="6">
        <f t="shared" ref="AJ723:AJ786" si="160">ROUNDDOWN(($O211*$O$16+$I$6*100)*10,0)</f>
        <v>1500</v>
      </c>
      <c r="AK723" s="5">
        <v>706</v>
      </c>
      <c r="AM723" s="2" t="str">
        <f t="shared" ref="AM723:AM786" si="161">BIN2HEX(K211+10*L211+100*M211+1000*N211,1)</f>
        <v>6</v>
      </c>
      <c r="AN723" s="2" t="str">
        <f t="shared" si="158"/>
        <v>5DC</v>
      </c>
      <c r="AO723" s="2"/>
      <c r="AP723" s="2" t="str">
        <f t="shared" si="159"/>
        <v>65DC</v>
      </c>
    </row>
    <row r="724" spans="11:42" x14ac:dyDescent="0.2">
      <c r="K724" s="6"/>
      <c r="L724" s="6"/>
      <c r="M724" s="6"/>
      <c r="N724" s="6"/>
      <c r="O724" s="6"/>
      <c r="AJ724" s="6">
        <f t="shared" si="160"/>
        <v>1500</v>
      </c>
      <c r="AK724" s="5">
        <v>707</v>
      </c>
      <c r="AM724" s="2" t="str">
        <f t="shared" si="161"/>
        <v>6</v>
      </c>
      <c r="AN724" s="2" t="str">
        <f t="shared" si="158"/>
        <v>5DC</v>
      </c>
      <c r="AO724" s="2"/>
      <c r="AP724" s="2" t="str">
        <f t="shared" si="159"/>
        <v>65DC</v>
      </c>
    </row>
    <row r="725" spans="11:42" x14ac:dyDescent="0.2">
      <c r="K725" s="6"/>
      <c r="L725" s="6"/>
      <c r="M725" s="6"/>
      <c r="N725" s="6"/>
      <c r="O725" s="6"/>
      <c r="AJ725" s="6">
        <f t="shared" si="160"/>
        <v>1500</v>
      </c>
      <c r="AK725" s="5">
        <v>708</v>
      </c>
      <c r="AM725" s="2" t="str">
        <f t="shared" si="161"/>
        <v>6</v>
      </c>
      <c r="AN725" s="2" t="str">
        <f t="shared" si="158"/>
        <v>5DC</v>
      </c>
      <c r="AO725" s="2"/>
      <c r="AP725" s="2" t="str">
        <f t="shared" si="159"/>
        <v>65DC</v>
      </c>
    </row>
    <row r="726" spans="11:42" x14ac:dyDescent="0.2">
      <c r="K726" s="6"/>
      <c r="L726" s="6"/>
      <c r="M726" s="6"/>
      <c r="N726" s="6"/>
      <c r="O726" s="6"/>
      <c r="AJ726" s="6">
        <f t="shared" si="160"/>
        <v>1500</v>
      </c>
      <c r="AK726" s="5">
        <v>709</v>
      </c>
      <c r="AM726" s="2" t="str">
        <f t="shared" si="161"/>
        <v>6</v>
      </c>
      <c r="AN726" s="2" t="str">
        <f t="shared" si="158"/>
        <v>5DC</v>
      </c>
      <c r="AO726" s="2"/>
      <c r="AP726" s="2" t="str">
        <f t="shared" si="159"/>
        <v>65DC</v>
      </c>
    </row>
    <row r="727" spans="11:42" x14ac:dyDescent="0.2">
      <c r="K727" s="6"/>
      <c r="L727" s="6"/>
      <c r="M727" s="6"/>
      <c r="N727" s="6"/>
      <c r="O727" s="6"/>
      <c r="AJ727" s="6">
        <f t="shared" si="160"/>
        <v>1500</v>
      </c>
      <c r="AK727" s="5">
        <v>710</v>
      </c>
      <c r="AM727" s="2" t="str">
        <f t="shared" si="161"/>
        <v>6</v>
      </c>
      <c r="AN727" s="2" t="str">
        <f t="shared" si="158"/>
        <v>5DC</v>
      </c>
      <c r="AO727" s="2"/>
      <c r="AP727" s="2" t="str">
        <f t="shared" si="159"/>
        <v>65DC</v>
      </c>
    </row>
    <row r="728" spans="11:42" x14ac:dyDescent="0.2">
      <c r="K728" s="6"/>
      <c r="L728" s="6"/>
      <c r="M728" s="6"/>
      <c r="N728" s="6"/>
      <c r="O728" s="6"/>
      <c r="AJ728" s="6">
        <f t="shared" si="160"/>
        <v>1500</v>
      </c>
      <c r="AK728" s="5">
        <v>711</v>
      </c>
      <c r="AM728" s="2" t="str">
        <f t="shared" si="161"/>
        <v>6</v>
      </c>
      <c r="AN728" s="2" t="str">
        <f t="shared" si="158"/>
        <v>5DC</v>
      </c>
      <c r="AO728" s="2"/>
      <c r="AP728" s="2" t="str">
        <f t="shared" si="159"/>
        <v>65DC</v>
      </c>
    </row>
    <row r="729" spans="11:42" x14ac:dyDescent="0.2">
      <c r="K729" s="6"/>
      <c r="L729" s="6"/>
      <c r="M729" s="6"/>
      <c r="N729" s="6"/>
      <c r="O729" s="6"/>
      <c r="AJ729" s="6">
        <f t="shared" si="160"/>
        <v>1500</v>
      </c>
      <c r="AK729" s="5">
        <v>712</v>
      </c>
      <c r="AM729" s="2" t="str">
        <f t="shared" si="161"/>
        <v>6</v>
      </c>
      <c r="AN729" s="2" t="str">
        <f t="shared" si="158"/>
        <v>5DC</v>
      </c>
      <c r="AO729" s="2"/>
      <c r="AP729" s="2" t="str">
        <f t="shared" si="159"/>
        <v>65DC</v>
      </c>
    </row>
    <row r="730" spans="11:42" x14ac:dyDescent="0.2">
      <c r="K730" s="6"/>
      <c r="L730" s="6"/>
      <c r="M730" s="6"/>
      <c r="N730" s="6"/>
      <c r="O730" s="6"/>
      <c r="AJ730" s="6">
        <f t="shared" si="160"/>
        <v>1500</v>
      </c>
      <c r="AK730" s="5">
        <v>713</v>
      </c>
      <c r="AM730" s="2" t="str">
        <f t="shared" si="161"/>
        <v>6</v>
      </c>
      <c r="AN730" s="2" t="str">
        <f t="shared" si="158"/>
        <v>5DC</v>
      </c>
      <c r="AO730" s="2"/>
      <c r="AP730" s="2" t="str">
        <f t="shared" si="159"/>
        <v>65DC</v>
      </c>
    </row>
    <row r="731" spans="11:42" x14ac:dyDescent="0.2">
      <c r="K731" s="6"/>
      <c r="L731" s="6"/>
      <c r="M731" s="6"/>
      <c r="N731" s="6"/>
      <c r="O731" s="6"/>
      <c r="AJ731" s="6">
        <f t="shared" si="160"/>
        <v>1500</v>
      </c>
      <c r="AK731" s="5">
        <v>714</v>
      </c>
      <c r="AM731" s="2" t="str">
        <f t="shared" si="161"/>
        <v>6</v>
      </c>
      <c r="AN731" s="2" t="str">
        <f t="shared" si="158"/>
        <v>5DC</v>
      </c>
      <c r="AO731" s="2"/>
      <c r="AP731" s="2" t="str">
        <f t="shared" si="159"/>
        <v>65DC</v>
      </c>
    </row>
    <row r="732" spans="11:42" x14ac:dyDescent="0.2">
      <c r="K732" s="6"/>
      <c r="L732" s="6"/>
      <c r="M732" s="6"/>
      <c r="N732" s="6"/>
      <c r="O732" s="6"/>
      <c r="AJ732" s="6">
        <f t="shared" si="160"/>
        <v>1500</v>
      </c>
      <c r="AK732" s="5">
        <v>715</v>
      </c>
      <c r="AM732" s="2" t="str">
        <f t="shared" si="161"/>
        <v>6</v>
      </c>
      <c r="AN732" s="2" t="str">
        <f t="shared" si="158"/>
        <v>5DC</v>
      </c>
      <c r="AO732" s="2"/>
      <c r="AP732" s="2" t="str">
        <f t="shared" si="159"/>
        <v>65DC</v>
      </c>
    </row>
    <row r="733" spans="11:42" x14ac:dyDescent="0.2">
      <c r="K733" s="6"/>
      <c r="L733" s="6"/>
      <c r="M733" s="6"/>
      <c r="N733" s="6"/>
      <c r="O733" s="6"/>
      <c r="AJ733" s="6">
        <f t="shared" si="160"/>
        <v>1500</v>
      </c>
      <c r="AK733" s="5">
        <v>716</v>
      </c>
      <c r="AM733" s="2" t="str">
        <f t="shared" si="161"/>
        <v>6</v>
      </c>
      <c r="AN733" s="2" t="str">
        <f t="shared" si="158"/>
        <v>5DC</v>
      </c>
      <c r="AO733" s="2"/>
      <c r="AP733" s="2" t="str">
        <f t="shared" si="159"/>
        <v>65DC</v>
      </c>
    </row>
    <row r="734" spans="11:42" x14ac:dyDescent="0.2">
      <c r="K734" s="6"/>
      <c r="L734" s="6"/>
      <c r="M734" s="6"/>
      <c r="N734" s="6"/>
      <c r="O734" s="6"/>
      <c r="AJ734" s="6">
        <f t="shared" si="160"/>
        <v>1500</v>
      </c>
      <c r="AK734" s="5">
        <v>717</v>
      </c>
      <c r="AM734" s="2" t="str">
        <f t="shared" si="161"/>
        <v>6</v>
      </c>
      <c r="AN734" s="2" t="str">
        <f t="shared" si="158"/>
        <v>5DC</v>
      </c>
      <c r="AO734" s="2"/>
      <c r="AP734" s="2" t="str">
        <f t="shared" si="159"/>
        <v>65DC</v>
      </c>
    </row>
    <row r="735" spans="11:42" x14ac:dyDescent="0.2">
      <c r="K735" s="6"/>
      <c r="L735" s="6"/>
      <c r="M735" s="6"/>
      <c r="N735" s="6"/>
      <c r="O735" s="6"/>
      <c r="AJ735" s="6">
        <f t="shared" si="160"/>
        <v>1500</v>
      </c>
      <c r="AK735" s="5">
        <v>718</v>
      </c>
      <c r="AM735" s="2" t="str">
        <f t="shared" si="161"/>
        <v>6</v>
      </c>
      <c r="AN735" s="2" t="str">
        <f t="shared" si="158"/>
        <v>5DC</v>
      </c>
      <c r="AO735" s="2"/>
      <c r="AP735" s="2" t="str">
        <f t="shared" si="159"/>
        <v>65DC</v>
      </c>
    </row>
    <row r="736" spans="11:42" x14ac:dyDescent="0.2">
      <c r="K736" s="6"/>
      <c r="L736" s="6"/>
      <c r="M736" s="6"/>
      <c r="N736" s="6"/>
      <c r="O736" s="6"/>
      <c r="AJ736" s="6">
        <f t="shared" si="160"/>
        <v>1500</v>
      </c>
      <c r="AK736" s="5">
        <v>719</v>
      </c>
      <c r="AM736" s="2" t="str">
        <f t="shared" si="161"/>
        <v>6</v>
      </c>
      <c r="AN736" s="2" t="str">
        <f t="shared" ref="AN736:AN799" si="162">DEC2HEX(AJ736,3)</f>
        <v>5DC</v>
      </c>
      <c r="AO736" s="2"/>
      <c r="AP736" s="2" t="str">
        <f t="shared" ref="AP736:AP799" si="163">CONCATENATE(AM736,AN736)</f>
        <v>65DC</v>
      </c>
    </row>
    <row r="737" spans="11:42" x14ac:dyDescent="0.2">
      <c r="K737" s="6"/>
      <c r="L737" s="6"/>
      <c r="M737" s="6"/>
      <c r="N737" s="6"/>
      <c r="O737" s="6"/>
      <c r="AJ737" s="6">
        <f t="shared" si="160"/>
        <v>1500</v>
      </c>
      <c r="AK737" s="5">
        <v>720</v>
      </c>
      <c r="AM737" s="2" t="str">
        <f t="shared" si="161"/>
        <v>6</v>
      </c>
      <c r="AN737" s="2" t="str">
        <f t="shared" si="162"/>
        <v>5DC</v>
      </c>
      <c r="AO737" s="2"/>
      <c r="AP737" s="2" t="str">
        <f t="shared" si="163"/>
        <v>65DC</v>
      </c>
    </row>
    <row r="738" spans="11:42" x14ac:dyDescent="0.2">
      <c r="K738" s="6"/>
      <c r="L738" s="6"/>
      <c r="M738" s="6"/>
      <c r="N738" s="6"/>
      <c r="O738" s="6"/>
      <c r="AJ738" s="6">
        <f t="shared" si="160"/>
        <v>1500</v>
      </c>
      <c r="AK738" s="5">
        <v>721</v>
      </c>
      <c r="AM738" s="2" t="str">
        <f t="shared" si="161"/>
        <v>6</v>
      </c>
      <c r="AN738" s="2" t="str">
        <f t="shared" si="162"/>
        <v>5DC</v>
      </c>
      <c r="AO738" s="2"/>
      <c r="AP738" s="2" t="str">
        <f t="shared" si="163"/>
        <v>65DC</v>
      </c>
    </row>
    <row r="739" spans="11:42" x14ac:dyDescent="0.2">
      <c r="K739" s="6"/>
      <c r="L739" s="6"/>
      <c r="M739" s="6"/>
      <c r="N739" s="6"/>
      <c r="O739" s="6"/>
      <c r="AJ739" s="6">
        <f t="shared" si="160"/>
        <v>1500</v>
      </c>
      <c r="AK739" s="5">
        <v>722</v>
      </c>
      <c r="AM739" s="2" t="str">
        <f t="shared" si="161"/>
        <v>6</v>
      </c>
      <c r="AN739" s="2" t="str">
        <f t="shared" si="162"/>
        <v>5DC</v>
      </c>
      <c r="AO739" s="2"/>
      <c r="AP739" s="2" t="str">
        <f t="shared" si="163"/>
        <v>65DC</v>
      </c>
    </row>
    <row r="740" spans="11:42" x14ac:dyDescent="0.2">
      <c r="K740" s="6"/>
      <c r="L740" s="6"/>
      <c r="M740" s="6"/>
      <c r="N740" s="6"/>
      <c r="O740" s="6"/>
      <c r="AJ740" s="6">
        <f t="shared" si="160"/>
        <v>1500</v>
      </c>
      <c r="AK740" s="5">
        <v>723</v>
      </c>
      <c r="AM740" s="2" t="str">
        <f t="shared" si="161"/>
        <v>6</v>
      </c>
      <c r="AN740" s="2" t="str">
        <f t="shared" si="162"/>
        <v>5DC</v>
      </c>
      <c r="AO740" s="2"/>
      <c r="AP740" s="2" t="str">
        <f t="shared" si="163"/>
        <v>65DC</v>
      </c>
    </row>
    <row r="741" spans="11:42" x14ac:dyDescent="0.2">
      <c r="K741" s="6"/>
      <c r="L741" s="6"/>
      <c r="M741" s="6"/>
      <c r="N741" s="6"/>
      <c r="O741" s="6"/>
      <c r="AJ741" s="6">
        <f t="shared" si="160"/>
        <v>1500</v>
      </c>
      <c r="AK741" s="5">
        <v>724</v>
      </c>
      <c r="AM741" s="2" t="str">
        <f t="shared" si="161"/>
        <v>6</v>
      </c>
      <c r="AN741" s="2" t="str">
        <f t="shared" si="162"/>
        <v>5DC</v>
      </c>
      <c r="AO741" s="2"/>
      <c r="AP741" s="2" t="str">
        <f t="shared" si="163"/>
        <v>65DC</v>
      </c>
    </row>
    <row r="742" spans="11:42" x14ac:dyDescent="0.2">
      <c r="K742" s="6"/>
      <c r="L742" s="6"/>
      <c r="M742" s="6"/>
      <c r="N742" s="6"/>
      <c r="O742" s="6"/>
      <c r="AJ742" s="6">
        <f t="shared" si="160"/>
        <v>1500</v>
      </c>
      <c r="AK742" s="5">
        <v>725</v>
      </c>
      <c r="AM742" s="2" t="str">
        <f t="shared" si="161"/>
        <v>6</v>
      </c>
      <c r="AN742" s="2" t="str">
        <f t="shared" si="162"/>
        <v>5DC</v>
      </c>
      <c r="AO742" s="2"/>
      <c r="AP742" s="2" t="str">
        <f t="shared" si="163"/>
        <v>65DC</v>
      </c>
    </row>
    <row r="743" spans="11:42" x14ac:dyDescent="0.2">
      <c r="K743" s="6"/>
      <c r="L743" s="6"/>
      <c r="M743" s="6"/>
      <c r="N743" s="6"/>
      <c r="O743" s="6"/>
      <c r="AJ743" s="6">
        <f t="shared" si="160"/>
        <v>1500</v>
      </c>
      <c r="AK743" s="5">
        <v>726</v>
      </c>
      <c r="AM743" s="2" t="str">
        <f t="shared" si="161"/>
        <v>6</v>
      </c>
      <c r="AN743" s="2" t="str">
        <f t="shared" si="162"/>
        <v>5DC</v>
      </c>
      <c r="AO743" s="2"/>
      <c r="AP743" s="2" t="str">
        <f t="shared" si="163"/>
        <v>65DC</v>
      </c>
    </row>
    <row r="744" spans="11:42" x14ac:dyDescent="0.2">
      <c r="K744" s="6"/>
      <c r="L744" s="6"/>
      <c r="M744" s="6"/>
      <c r="N744" s="6"/>
      <c r="O744" s="6"/>
      <c r="AJ744" s="6">
        <f t="shared" si="160"/>
        <v>1500</v>
      </c>
      <c r="AK744" s="5">
        <v>727</v>
      </c>
      <c r="AM744" s="2" t="str">
        <f t="shared" si="161"/>
        <v>6</v>
      </c>
      <c r="AN744" s="2" t="str">
        <f t="shared" si="162"/>
        <v>5DC</v>
      </c>
      <c r="AO744" s="2"/>
      <c r="AP744" s="2" t="str">
        <f t="shared" si="163"/>
        <v>65DC</v>
      </c>
    </row>
    <row r="745" spans="11:42" x14ac:dyDescent="0.2">
      <c r="K745" s="6"/>
      <c r="L745" s="6"/>
      <c r="M745" s="6"/>
      <c r="N745" s="6"/>
      <c r="O745" s="6"/>
      <c r="AJ745" s="6">
        <f t="shared" si="160"/>
        <v>1500</v>
      </c>
      <c r="AK745" s="5">
        <v>728</v>
      </c>
      <c r="AM745" s="2" t="str">
        <f t="shared" si="161"/>
        <v>6</v>
      </c>
      <c r="AN745" s="2" t="str">
        <f t="shared" si="162"/>
        <v>5DC</v>
      </c>
      <c r="AO745" s="2"/>
      <c r="AP745" s="2" t="str">
        <f t="shared" si="163"/>
        <v>65DC</v>
      </c>
    </row>
    <row r="746" spans="11:42" x14ac:dyDescent="0.2">
      <c r="K746" s="6"/>
      <c r="L746" s="6"/>
      <c r="M746" s="6"/>
      <c r="N746" s="6"/>
      <c r="O746" s="6"/>
      <c r="AJ746" s="6">
        <f t="shared" si="160"/>
        <v>1500</v>
      </c>
      <c r="AK746" s="5">
        <v>729</v>
      </c>
      <c r="AM746" s="2" t="str">
        <f t="shared" si="161"/>
        <v>6</v>
      </c>
      <c r="AN746" s="2" t="str">
        <f t="shared" si="162"/>
        <v>5DC</v>
      </c>
      <c r="AO746" s="2"/>
      <c r="AP746" s="2" t="str">
        <f t="shared" si="163"/>
        <v>65DC</v>
      </c>
    </row>
    <row r="747" spans="11:42" x14ac:dyDescent="0.2">
      <c r="K747" s="6"/>
      <c r="L747" s="6"/>
      <c r="M747" s="6"/>
      <c r="N747" s="6"/>
      <c r="O747" s="6"/>
      <c r="AJ747" s="6">
        <f t="shared" si="160"/>
        <v>1500</v>
      </c>
      <c r="AK747" s="5">
        <v>730</v>
      </c>
      <c r="AM747" s="2" t="str">
        <f t="shared" si="161"/>
        <v>6</v>
      </c>
      <c r="AN747" s="2" t="str">
        <f t="shared" si="162"/>
        <v>5DC</v>
      </c>
      <c r="AO747" s="2"/>
      <c r="AP747" s="2" t="str">
        <f t="shared" si="163"/>
        <v>65DC</v>
      </c>
    </row>
    <row r="748" spans="11:42" x14ac:dyDescent="0.2">
      <c r="K748" s="6"/>
      <c r="L748" s="6"/>
      <c r="M748" s="6"/>
      <c r="N748" s="6"/>
      <c r="O748" s="6"/>
      <c r="AJ748" s="6">
        <f t="shared" si="160"/>
        <v>1500</v>
      </c>
      <c r="AK748" s="5">
        <v>731</v>
      </c>
      <c r="AM748" s="2" t="str">
        <f t="shared" si="161"/>
        <v>6</v>
      </c>
      <c r="AN748" s="2" t="str">
        <f t="shared" si="162"/>
        <v>5DC</v>
      </c>
      <c r="AO748" s="2"/>
      <c r="AP748" s="2" t="str">
        <f t="shared" si="163"/>
        <v>65DC</v>
      </c>
    </row>
    <row r="749" spans="11:42" x14ac:dyDescent="0.2">
      <c r="K749" s="6"/>
      <c r="L749" s="6"/>
      <c r="M749" s="6"/>
      <c r="N749" s="6"/>
      <c r="O749" s="6"/>
      <c r="AJ749" s="6">
        <f t="shared" si="160"/>
        <v>1500</v>
      </c>
      <c r="AK749" s="5">
        <v>732</v>
      </c>
      <c r="AM749" s="2" t="str">
        <f t="shared" si="161"/>
        <v>6</v>
      </c>
      <c r="AN749" s="2" t="str">
        <f t="shared" si="162"/>
        <v>5DC</v>
      </c>
      <c r="AO749" s="2"/>
      <c r="AP749" s="2" t="str">
        <f t="shared" si="163"/>
        <v>65DC</v>
      </c>
    </row>
    <row r="750" spans="11:42" x14ac:dyDescent="0.2">
      <c r="K750" s="6"/>
      <c r="L750" s="6"/>
      <c r="M750" s="6"/>
      <c r="N750" s="6"/>
      <c r="O750" s="6"/>
      <c r="AJ750" s="6">
        <f t="shared" si="160"/>
        <v>1500</v>
      </c>
      <c r="AK750" s="5">
        <v>733</v>
      </c>
      <c r="AM750" s="2" t="str">
        <f t="shared" si="161"/>
        <v>6</v>
      </c>
      <c r="AN750" s="2" t="str">
        <f t="shared" si="162"/>
        <v>5DC</v>
      </c>
      <c r="AO750" s="2"/>
      <c r="AP750" s="2" t="str">
        <f t="shared" si="163"/>
        <v>65DC</v>
      </c>
    </row>
    <row r="751" spans="11:42" x14ac:dyDescent="0.2">
      <c r="K751" s="6"/>
      <c r="L751" s="6"/>
      <c r="M751" s="6"/>
      <c r="N751" s="6"/>
      <c r="O751" s="6"/>
      <c r="AJ751" s="6">
        <f t="shared" si="160"/>
        <v>1450</v>
      </c>
      <c r="AK751" s="5">
        <v>734</v>
      </c>
      <c r="AM751" s="2" t="str">
        <f t="shared" si="161"/>
        <v>6</v>
      </c>
      <c r="AN751" s="2" t="str">
        <f t="shared" si="162"/>
        <v>5AA</v>
      </c>
      <c r="AO751" s="2"/>
      <c r="AP751" s="2" t="str">
        <f t="shared" si="163"/>
        <v>65AA</v>
      </c>
    </row>
    <row r="752" spans="11:42" x14ac:dyDescent="0.2">
      <c r="K752" s="6"/>
      <c r="L752" s="6"/>
      <c r="M752" s="6"/>
      <c r="N752" s="6"/>
      <c r="O752" s="6"/>
      <c r="AJ752" s="6">
        <f t="shared" si="160"/>
        <v>1400</v>
      </c>
      <c r="AK752" s="5">
        <v>735</v>
      </c>
      <c r="AM752" s="2" t="str">
        <f t="shared" si="161"/>
        <v>6</v>
      </c>
      <c r="AN752" s="2" t="str">
        <f t="shared" si="162"/>
        <v>578</v>
      </c>
      <c r="AO752" s="2"/>
      <c r="AP752" s="2" t="str">
        <f t="shared" si="163"/>
        <v>6578</v>
      </c>
    </row>
    <row r="753" spans="11:42" x14ac:dyDescent="0.2">
      <c r="K753" s="6"/>
      <c r="L753" s="6"/>
      <c r="M753" s="6"/>
      <c r="N753" s="6"/>
      <c r="O753" s="6"/>
      <c r="AJ753" s="6">
        <f t="shared" si="160"/>
        <v>1350</v>
      </c>
      <c r="AK753" s="5">
        <v>736</v>
      </c>
      <c r="AM753" s="2" t="str">
        <f t="shared" si="161"/>
        <v>6</v>
      </c>
      <c r="AN753" s="2" t="str">
        <f t="shared" si="162"/>
        <v>546</v>
      </c>
      <c r="AO753" s="2"/>
      <c r="AP753" s="2" t="str">
        <f t="shared" si="163"/>
        <v>6546</v>
      </c>
    </row>
    <row r="754" spans="11:42" x14ac:dyDescent="0.2">
      <c r="K754" s="6"/>
      <c r="L754" s="6"/>
      <c r="M754" s="6"/>
      <c r="N754" s="6"/>
      <c r="O754" s="6"/>
      <c r="AJ754" s="6">
        <f t="shared" si="160"/>
        <v>1300</v>
      </c>
      <c r="AK754" s="5">
        <v>737</v>
      </c>
      <c r="AM754" s="2" t="str">
        <f t="shared" si="161"/>
        <v>6</v>
      </c>
      <c r="AN754" s="2" t="str">
        <f t="shared" si="162"/>
        <v>514</v>
      </c>
      <c r="AO754" s="2"/>
      <c r="AP754" s="2" t="str">
        <f t="shared" si="163"/>
        <v>6514</v>
      </c>
    </row>
    <row r="755" spans="11:42" x14ac:dyDescent="0.2">
      <c r="K755" s="6"/>
      <c r="L755" s="6"/>
      <c r="M755" s="6"/>
      <c r="N755" s="6"/>
      <c r="O755" s="6"/>
      <c r="AJ755" s="6">
        <f t="shared" si="160"/>
        <v>1250</v>
      </c>
      <c r="AK755" s="5">
        <v>738</v>
      </c>
      <c r="AM755" s="2" t="str">
        <f t="shared" si="161"/>
        <v>6</v>
      </c>
      <c r="AN755" s="2" t="str">
        <f t="shared" si="162"/>
        <v>4E2</v>
      </c>
      <c r="AO755" s="2"/>
      <c r="AP755" s="2" t="str">
        <f t="shared" si="163"/>
        <v>64E2</v>
      </c>
    </row>
    <row r="756" spans="11:42" x14ac:dyDescent="0.2">
      <c r="K756" s="6"/>
      <c r="L756" s="6"/>
      <c r="M756" s="6"/>
      <c r="N756" s="6"/>
      <c r="O756" s="6"/>
      <c r="AJ756" s="6">
        <f t="shared" si="160"/>
        <v>1200</v>
      </c>
      <c r="AK756" s="5">
        <v>739</v>
      </c>
      <c r="AM756" s="2" t="str">
        <f t="shared" si="161"/>
        <v>6</v>
      </c>
      <c r="AN756" s="2" t="str">
        <f t="shared" si="162"/>
        <v>4B0</v>
      </c>
      <c r="AO756" s="2"/>
      <c r="AP756" s="2" t="str">
        <f t="shared" si="163"/>
        <v>64B0</v>
      </c>
    </row>
    <row r="757" spans="11:42" x14ac:dyDescent="0.2">
      <c r="K757" s="6"/>
      <c r="L757" s="6"/>
      <c r="M757" s="6"/>
      <c r="N757" s="6"/>
      <c r="O757" s="6"/>
      <c r="AJ757" s="6">
        <f t="shared" si="160"/>
        <v>1150</v>
      </c>
      <c r="AK757" s="5">
        <v>740</v>
      </c>
      <c r="AM757" s="2" t="str">
        <f t="shared" si="161"/>
        <v>6</v>
      </c>
      <c r="AN757" s="2" t="str">
        <f t="shared" si="162"/>
        <v>47E</v>
      </c>
      <c r="AO757" s="2"/>
      <c r="AP757" s="2" t="str">
        <f t="shared" si="163"/>
        <v>647E</v>
      </c>
    </row>
    <row r="758" spans="11:42" x14ac:dyDescent="0.2">
      <c r="K758" s="6"/>
      <c r="L758" s="6"/>
      <c r="M758" s="6"/>
      <c r="N758" s="6"/>
      <c r="O758" s="6"/>
      <c r="AJ758" s="6">
        <f t="shared" si="160"/>
        <v>1100</v>
      </c>
      <c r="AK758" s="5">
        <v>741</v>
      </c>
      <c r="AM758" s="2" t="str">
        <f t="shared" si="161"/>
        <v>6</v>
      </c>
      <c r="AN758" s="2" t="str">
        <f t="shared" si="162"/>
        <v>44C</v>
      </c>
      <c r="AO758" s="2"/>
      <c r="AP758" s="2" t="str">
        <f t="shared" si="163"/>
        <v>644C</v>
      </c>
    </row>
    <row r="759" spans="11:42" x14ac:dyDescent="0.2">
      <c r="K759" s="6"/>
      <c r="L759" s="6"/>
      <c r="M759" s="6"/>
      <c r="N759" s="6"/>
      <c r="O759" s="6"/>
      <c r="AJ759" s="6">
        <f t="shared" si="160"/>
        <v>1050</v>
      </c>
      <c r="AK759" s="5">
        <v>742</v>
      </c>
      <c r="AM759" s="2" t="str">
        <f t="shared" si="161"/>
        <v>6</v>
      </c>
      <c r="AN759" s="2" t="str">
        <f t="shared" si="162"/>
        <v>41A</v>
      </c>
      <c r="AO759" s="2"/>
      <c r="AP759" s="2" t="str">
        <f t="shared" si="163"/>
        <v>641A</v>
      </c>
    </row>
    <row r="760" spans="11:42" x14ac:dyDescent="0.2">
      <c r="K760" s="6"/>
      <c r="L760" s="6"/>
      <c r="M760" s="6"/>
      <c r="N760" s="6"/>
      <c r="O760" s="6"/>
      <c r="AJ760" s="6">
        <f t="shared" si="160"/>
        <v>1000</v>
      </c>
      <c r="AK760" s="5">
        <v>743</v>
      </c>
      <c r="AM760" s="2" t="str">
        <f t="shared" si="161"/>
        <v>6</v>
      </c>
      <c r="AN760" s="2" t="str">
        <f t="shared" si="162"/>
        <v>3E8</v>
      </c>
      <c r="AO760" s="2"/>
      <c r="AP760" s="2" t="str">
        <f t="shared" si="163"/>
        <v>63E8</v>
      </c>
    </row>
    <row r="761" spans="11:42" x14ac:dyDescent="0.2">
      <c r="K761" s="6"/>
      <c r="L761" s="6"/>
      <c r="M761" s="6"/>
      <c r="N761" s="6"/>
      <c r="O761" s="6"/>
      <c r="AJ761" s="6">
        <f t="shared" si="160"/>
        <v>1000</v>
      </c>
      <c r="AK761" s="5">
        <v>744</v>
      </c>
      <c r="AM761" s="2" t="str">
        <f t="shared" si="161"/>
        <v>6</v>
      </c>
      <c r="AN761" s="2" t="str">
        <f t="shared" si="162"/>
        <v>3E8</v>
      </c>
      <c r="AO761" s="2"/>
      <c r="AP761" s="2" t="str">
        <f t="shared" si="163"/>
        <v>63E8</v>
      </c>
    </row>
    <row r="762" spans="11:42" x14ac:dyDescent="0.2">
      <c r="K762" s="6"/>
      <c r="L762" s="6"/>
      <c r="M762" s="6"/>
      <c r="N762" s="6"/>
      <c r="O762" s="6"/>
      <c r="AJ762" s="6">
        <f t="shared" si="160"/>
        <v>1000</v>
      </c>
      <c r="AK762" s="5">
        <v>745</v>
      </c>
      <c r="AM762" s="2" t="str">
        <f t="shared" si="161"/>
        <v>6</v>
      </c>
      <c r="AN762" s="2" t="str">
        <f t="shared" si="162"/>
        <v>3E8</v>
      </c>
      <c r="AO762" s="2"/>
      <c r="AP762" s="2" t="str">
        <f t="shared" si="163"/>
        <v>63E8</v>
      </c>
    </row>
    <row r="763" spans="11:42" x14ac:dyDescent="0.2">
      <c r="K763" s="6"/>
      <c r="L763" s="6"/>
      <c r="M763" s="6"/>
      <c r="N763" s="6"/>
      <c r="O763" s="6"/>
      <c r="AJ763" s="6">
        <f t="shared" si="160"/>
        <v>1000</v>
      </c>
      <c r="AK763" s="5">
        <v>746</v>
      </c>
      <c r="AM763" s="2" t="str">
        <f t="shared" si="161"/>
        <v>6</v>
      </c>
      <c r="AN763" s="2" t="str">
        <f t="shared" si="162"/>
        <v>3E8</v>
      </c>
      <c r="AO763" s="2"/>
      <c r="AP763" s="2" t="str">
        <f t="shared" si="163"/>
        <v>63E8</v>
      </c>
    </row>
    <row r="764" spans="11:42" x14ac:dyDescent="0.2">
      <c r="K764" s="6"/>
      <c r="L764" s="6"/>
      <c r="M764" s="6"/>
      <c r="N764" s="6"/>
      <c r="O764" s="6"/>
      <c r="AJ764" s="6">
        <f t="shared" si="160"/>
        <v>1000</v>
      </c>
      <c r="AK764" s="5">
        <v>747</v>
      </c>
      <c r="AM764" s="2" t="str">
        <f t="shared" si="161"/>
        <v>6</v>
      </c>
      <c r="AN764" s="2" t="str">
        <f t="shared" si="162"/>
        <v>3E8</v>
      </c>
      <c r="AO764" s="2"/>
      <c r="AP764" s="2" t="str">
        <f t="shared" si="163"/>
        <v>63E8</v>
      </c>
    </row>
    <row r="765" spans="11:42" x14ac:dyDescent="0.2">
      <c r="K765" s="6"/>
      <c r="L765" s="6"/>
      <c r="M765" s="6"/>
      <c r="N765" s="6"/>
      <c r="O765" s="6"/>
      <c r="AJ765" s="6">
        <f t="shared" si="160"/>
        <v>1000</v>
      </c>
      <c r="AK765" s="5">
        <v>748</v>
      </c>
      <c r="AM765" s="2" t="str">
        <f t="shared" si="161"/>
        <v>6</v>
      </c>
      <c r="AN765" s="2" t="str">
        <f t="shared" si="162"/>
        <v>3E8</v>
      </c>
      <c r="AO765" s="2"/>
      <c r="AP765" s="2" t="str">
        <f t="shared" si="163"/>
        <v>63E8</v>
      </c>
    </row>
    <row r="766" spans="11:42" x14ac:dyDescent="0.2">
      <c r="K766" s="6"/>
      <c r="L766" s="6"/>
      <c r="M766" s="6"/>
      <c r="N766" s="6"/>
      <c r="O766" s="6"/>
      <c r="AJ766" s="6">
        <f t="shared" si="160"/>
        <v>1000</v>
      </c>
      <c r="AK766" s="5">
        <v>749</v>
      </c>
      <c r="AM766" s="2" t="str">
        <f t="shared" si="161"/>
        <v>6</v>
      </c>
      <c r="AN766" s="2" t="str">
        <f t="shared" si="162"/>
        <v>3E8</v>
      </c>
      <c r="AO766" s="2"/>
      <c r="AP766" s="2" t="str">
        <f t="shared" si="163"/>
        <v>63E8</v>
      </c>
    </row>
    <row r="767" spans="11:42" x14ac:dyDescent="0.2">
      <c r="K767" s="6"/>
      <c r="L767" s="6"/>
      <c r="M767" s="6"/>
      <c r="N767" s="6"/>
      <c r="O767" s="6"/>
      <c r="AJ767" s="6">
        <f t="shared" si="160"/>
        <v>1000</v>
      </c>
      <c r="AK767" s="5">
        <v>750</v>
      </c>
      <c r="AM767" s="2" t="str">
        <f t="shared" si="161"/>
        <v>6</v>
      </c>
      <c r="AN767" s="2" t="str">
        <f t="shared" si="162"/>
        <v>3E8</v>
      </c>
      <c r="AO767" s="2"/>
      <c r="AP767" s="2" t="str">
        <f t="shared" si="163"/>
        <v>63E8</v>
      </c>
    </row>
    <row r="768" spans="11:42" x14ac:dyDescent="0.2">
      <c r="K768" s="6"/>
      <c r="L768" s="6"/>
      <c r="M768" s="6"/>
      <c r="N768" s="6"/>
      <c r="O768" s="6"/>
      <c r="AJ768" s="6">
        <f t="shared" si="160"/>
        <v>1000</v>
      </c>
      <c r="AK768" s="5">
        <v>751</v>
      </c>
      <c r="AM768" s="2" t="str">
        <f t="shared" si="161"/>
        <v>6</v>
      </c>
      <c r="AN768" s="2" t="str">
        <f t="shared" si="162"/>
        <v>3E8</v>
      </c>
      <c r="AO768" s="2"/>
      <c r="AP768" s="2" t="str">
        <f t="shared" si="163"/>
        <v>63E8</v>
      </c>
    </row>
    <row r="769" spans="11:42" x14ac:dyDescent="0.2">
      <c r="K769" s="6"/>
      <c r="L769" s="6"/>
      <c r="M769" s="6"/>
      <c r="N769" s="6"/>
      <c r="O769" s="6"/>
      <c r="AJ769" s="6">
        <f t="shared" si="160"/>
        <v>1000</v>
      </c>
      <c r="AK769" s="5">
        <v>752</v>
      </c>
      <c r="AM769" s="2" t="str">
        <f t="shared" si="161"/>
        <v>6</v>
      </c>
      <c r="AN769" s="2" t="str">
        <f t="shared" si="162"/>
        <v>3E8</v>
      </c>
      <c r="AO769" s="2"/>
      <c r="AP769" s="2" t="str">
        <f t="shared" si="163"/>
        <v>63E8</v>
      </c>
    </row>
    <row r="770" spans="11:42" x14ac:dyDescent="0.2">
      <c r="K770" s="6"/>
      <c r="L770" s="6"/>
      <c r="M770" s="6"/>
      <c r="N770" s="6"/>
      <c r="O770" s="6"/>
      <c r="AJ770" s="6">
        <f t="shared" si="160"/>
        <v>1000</v>
      </c>
      <c r="AK770" s="5">
        <v>753</v>
      </c>
      <c r="AM770" s="2" t="str">
        <f t="shared" si="161"/>
        <v>6</v>
      </c>
      <c r="AN770" s="2" t="str">
        <f t="shared" si="162"/>
        <v>3E8</v>
      </c>
      <c r="AO770" s="2"/>
      <c r="AP770" s="2" t="str">
        <f t="shared" si="163"/>
        <v>63E8</v>
      </c>
    </row>
    <row r="771" spans="11:42" x14ac:dyDescent="0.2">
      <c r="K771" s="6"/>
      <c r="L771" s="6"/>
      <c r="M771" s="6"/>
      <c r="N771" s="6"/>
      <c r="O771" s="6"/>
      <c r="AJ771" s="6">
        <f t="shared" si="160"/>
        <v>1000</v>
      </c>
      <c r="AK771" s="5">
        <v>754</v>
      </c>
      <c r="AM771" s="2" t="str">
        <f t="shared" si="161"/>
        <v>6</v>
      </c>
      <c r="AN771" s="2" t="str">
        <f t="shared" si="162"/>
        <v>3E8</v>
      </c>
      <c r="AO771" s="2"/>
      <c r="AP771" s="2" t="str">
        <f t="shared" si="163"/>
        <v>63E8</v>
      </c>
    </row>
    <row r="772" spans="11:42" x14ac:dyDescent="0.2">
      <c r="K772" s="6"/>
      <c r="L772" s="6"/>
      <c r="M772" s="6"/>
      <c r="N772" s="6"/>
      <c r="O772" s="6"/>
      <c r="AJ772" s="6">
        <f t="shared" si="160"/>
        <v>1000</v>
      </c>
      <c r="AK772" s="5">
        <v>755</v>
      </c>
      <c r="AM772" s="2" t="str">
        <f t="shared" si="161"/>
        <v>6</v>
      </c>
      <c r="AN772" s="2" t="str">
        <f t="shared" si="162"/>
        <v>3E8</v>
      </c>
      <c r="AO772" s="2"/>
      <c r="AP772" s="2" t="str">
        <f t="shared" si="163"/>
        <v>63E8</v>
      </c>
    </row>
    <row r="773" spans="11:42" x14ac:dyDescent="0.2">
      <c r="K773" s="6"/>
      <c r="L773" s="6"/>
      <c r="M773" s="6"/>
      <c r="N773" s="6"/>
      <c r="O773" s="6"/>
      <c r="AJ773" s="6">
        <f t="shared" si="160"/>
        <v>1000</v>
      </c>
      <c r="AK773" s="5">
        <v>756</v>
      </c>
      <c r="AM773" s="2" t="str">
        <f t="shared" si="161"/>
        <v>6</v>
      </c>
      <c r="AN773" s="2" t="str">
        <f t="shared" si="162"/>
        <v>3E8</v>
      </c>
      <c r="AO773" s="2"/>
      <c r="AP773" s="2" t="str">
        <f t="shared" si="163"/>
        <v>63E8</v>
      </c>
    </row>
    <row r="774" spans="11:42" x14ac:dyDescent="0.2">
      <c r="K774" s="6"/>
      <c r="L774" s="6"/>
      <c r="M774" s="6"/>
      <c r="N774" s="6"/>
      <c r="O774" s="6"/>
      <c r="AJ774" s="6">
        <f t="shared" si="160"/>
        <v>1000</v>
      </c>
      <c r="AK774" s="5">
        <v>757</v>
      </c>
      <c r="AM774" s="2" t="str">
        <f t="shared" si="161"/>
        <v>6</v>
      </c>
      <c r="AN774" s="2" t="str">
        <f t="shared" si="162"/>
        <v>3E8</v>
      </c>
      <c r="AO774" s="2"/>
      <c r="AP774" s="2" t="str">
        <f t="shared" si="163"/>
        <v>63E8</v>
      </c>
    </row>
    <row r="775" spans="11:42" x14ac:dyDescent="0.2">
      <c r="K775" s="6"/>
      <c r="L775" s="6"/>
      <c r="M775" s="6"/>
      <c r="N775" s="6"/>
      <c r="O775" s="6"/>
      <c r="AJ775" s="6">
        <f t="shared" si="160"/>
        <v>1000</v>
      </c>
      <c r="AK775" s="5">
        <v>758</v>
      </c>
      <c r="AM775" s="2" t="str">
        <f t="shared" si="161"/>
        <v>6</v>
      </c>
      <c r="AN775" s="2" t="str">
        <f t="shared" si="162"/>
        <v>3E8</v>
      </c>
      <c r="AO775" s="2"/>
      <c r="AP775" s="2" t="str">
        <f t="shared" si="163"/>
        <v>63E8</v>
      </c>
    </row>
    <row r="776" spans="11:42" x14ac:dyDescent="0.2">
      <c r="K776" s="6"/>
      <c r="L776" s="6"/>
      <c r="M776" s="6"/>
      <c r="N776" s="6"/>
      <c r="O776" s="6"/>
      <c r="AJ776" s="6">
        <f t="shared" si="160"/>
        <v>1000</v>
      </c>
      <c r="AK776" s="5">
        <v>759</v>
      </c>
      <c r="AM776" s="2" t="str">
        <f t="shared" si="161"/>
        <v>6</v>
      </c>
      <c r="AN776" s="2" t="str">
        <f t="shared" si="162"/>
        <v>3E8</v>
      </c>
      <c r="AO776" s="2"/>
      <c r="AP776" s="2" t="str">
        <f t="shared" si="163"/>
        <v>63E8</v>
      </c>
    </row>
    <row r="777" spans="11:42" x14ac:dyDescent="0.2">
      <c r="K777" s="6"/>
      <c r="L777" s="6"/>
      <c r="M777" s="6"/>
      <c r="N777" s="6"/>
      <c r="O777" s="6"/>
      <c r="AJ777" s="6">
        <f t="shared" si="160"/>
        <v>1000</v>
      </c>
      <c r="AK777" s="5">
        <v>760</v>
      </c>
      <c r="AM777" s="2" t="str">
        <f t="shared" si="161"/>
        <v>6</v>
      </c>
      <c r="AN777" s="2" t="str">
        <f t="shared" si="162"/>
        <v>3E8</v>
      </c>
      <c r="AO777" s="2"/>
      <c r="AP777" s="2" t="str">
        <f t="shared" si="163"/>
        <v>63E8</v>
      </c>
    </row>
    <row r="778" spans="11:42" x14ac:dyDescent="0.2">
      <c r="K778" s="6"/>
      <c r="L778" s="6"/>
      <c r="M778" s="6"/>
      <c r="N778" s="6"/>
      <c r="O778" s="6"/>
      <c r="AJ778" s="6">
        <f t="shared" si="160"/>
        <v>1000</v>
      </c>
      <c r="AK778" s="5">
        <v>761</v>
      </c>
      <c r="AM778" s="2" t="str">
        <f t="shared" si="161"/>
        <v>6</v>
      </c>
      <c r="AN778" s="2" t="str">
        <f t="shared" si="162"/>
        <v>3E8</v>
      </c>
      <c r="AO778" s="2"/>
      <c r="AP778" s="2" t="str">
        <f t="shared" si="163"/>
        <v>63E8</v>
      </c>
    </row>
    <row r="779" spans="11:42" x14ac:dyDescent="0.2">
      <c r="K779" s="6"/>
      <c r="L779" s="6"/>
      <c r="M779" s="6"/>
      <c r="N779" s="6"/>
      <c r="O779" s="6"/>
      <c r="AJ779" s="6">
        <f t="shared" si="160"/>
        <v>1000</v>
      </c>
      <c r="AK779" s="5">
        <v>762</v>
      </c>
      <c r="AM779" s="2" t="str">
        <f t="shared" si="161"/>
        <v>6</v>
      </c>
      <c r="AN779" s="2" t="str">
        <f t="shared" si="162"/>
        <v>3E8</v>
      </c>
      <c r="AO779" s="2"/>
      <c r="AP779" s="2" t="str">
        <f t="shared" si="163"/>
        <v>63E8</v>
      </c>
    </row>
    <row r="780" spans="11:42" x14ac:dyDescent="0.2">
      <c r="K780" s="6"/>
      <c r="L780" s="6"/>
      <c r="M780" s="6"/>
      <c r="N780" s="6"/>
      <c r="O780" s="6"/>
      <c r="AJ780" s="6">
        <f t="shared" si="160"/>
        <v>1000</v>
      </c>
      <c r="AK780" s="5">
        <v>763</v>
      </c>
      <c r="AM780" s="2" t="str">
        <f t="shared" si="161"/>
        <v>6</v>
      </c>
      <c r="AN780" s="2" t="str">
        <f t="shared" si="162"/>
        <v>3E8</v>
      </c>
      <c r="AO780" s="2"/>
      <c r="AP780" s="2" t="str">
        <f t="shared" si="163"/>
        <v>63E8</v>
      </c>
    </row>
    <row r="781" spans="11:42" x14ac:dyDescent="0.2">
      <c r="K781" s="6"/>
      <c r="L781" s="6"/>
      <c r="M781" s="6"/>
      <c r="N781" s="6"/>
      <c r="O781" s="6"/>
      <c r="AJ781" s="6">
        <f t="shared" si="160"/>
        <v>1000</v>
      </c>
      <c r="AK781" s="5">
        <v>764</v>
      </c>
      <c r="AM781" s="2" t="str">
        <f t="shared" si="161"/>
        <v>6</v>
      </c>
      <c r="AN781" s="2" t="str">
        <f t="shared" si="162"/>
        <v>3E8</v>
      </c>
      <c r="AO781" s="2"/>
      <c r="AP781" s="2" t="str">
        <f t="shared" si="163"/>
        <v>63E8</v>
      </c>
    </row>
    <row r="782" spans="11:42" x14ac:dyDescent="0.2">
      <c r="K782" s="6"/>
      <c r="L782" s="6"/>
      <c r="M782" s="6"/>
      <c r="N782" s="6"/>
      <c r="O782" s="6"/>
      <c r="AJ782" s="6">
        <f t="shared" si="160"/>
        <v>1000</v>
      </c>
      <c r="AK782" s="5">
        <v>765</v>
      </c>
      <c r="AM782" s="2" t="str">
        <f t="shared" si="161"/>
        <v>6</v>
      </c>
      <c r="AN782" s="2" t="str">
        <f t="shared" si="162"/>
        <v>3E8</v>
      </c>
      <c r="AO782" s="2"/>
      <c r="AP782" s="2" t="str">
        <f t="shared" si="163"/>
        <v>63E8</v>
      </c>
    </row>
    <row r="783" spans="11:42" x14ac:dyDescent="0.2">
      <c r="K783" s="6"/>
      <c r="L783" s="6"/>
      <c r="M783" s="6"/>
      <c r="N783" s="6"/>
      <c r="O783" s="6"/>
      <c r="AJ783" s="6">
        <f t="shared" si="160"/>
        <v>1000</v>
      </c>
      <c r="AK783" s="5">
        <v>766</v>
      </c>
      <c r="AM783" s="2" t="str">
        <f t="shared" si="161"/>
        <v>6</v>
      </c>
      <c r="AN783" s="2" t="str">
        <f t="shared" si="162"/>
        <v>3E8</v>
      </c>
      <c r="AO783" s="2"/>
      <c r="AP783" s="2" t="str">
        <f t="shared" si="163"/>
        <v>63E8</v>
      </c>
    </row>
    <row r="784" spans="11:42" x14ac:dyDescent="0.2">
      <c r="K784" s="6"/>
      <c r="L784" s="6"/>
      <c r="M784" s="6"/>
      <c r="N784" s="6"/>
      <c r="O784" s="6"/>
      <c r="AJ784" s="6">
        <f t="shared" si="160"/>
        <v>1000</v>
      </c>
      <c r="AK784" s="5">
        <v>767</v>
      </c>
      <c r="AM784" s="2" t="str">
        <f t="shared" si="161"/>
        <v>6</v>
      </c>
      <c r="AN784" s="2" t="str">
        <f t="shared" si="162"/>
        <v>3E8</v>
      </c>
      <c r="AO784" s="2"/>
      <c r="AP784" s="2" t="str">
        <f t="shared" si="163"/>
        <v>63E8</v>
      </c>
    </row>
    <row r="785" spans="11:42" x14ac:dyDescent="0.2">
      <c r="K785" s="6"/>
      <c r="L785" s="6"/>
      <c r="M785" s="6"/>
      <c r="N785" s="6"/>
      <c r="O785" s="6"/>
      <c r="AJ785" s="6">
        <f t="shared" si="160"/>
        <v>1000</v>
      </c>
      <c r="AK785" s="5">
        <v>768</v>
      </c>
      <c r="AM785" s="2" t="str">
        <f t="shared" si="161"/>
        <v>6</v>
      </c>
      <c r="AN785" s="2" t="str">
        <f t="shared" si="162"/>
        <v>3E8</v>
      </c>
      <c r="AO785" s="2"/>
      <c r="AP785" s="2" t="str">
        <f t="shared" si="163"/>
        <v>63E8</v>
      </c>
    </row>
    <row r="786" spans="11:42" x14ac:dyDescent="0.2">
      <c r="K786" s="6"/>
      <c r="L786" s="6"/>
      <c r="M786" s="6"/>
      <c r="N786" s="6"/>
      <c r="O786" s="6"/>
      <c r="AJ786" s="6">
        <f t="shared" si="160"/>
        <v>1000</v>
      </c>
      <c r="AK786" s="5">
        <v>769</v>
      </c>
      <c r="AM786" s="2" t="str">
        <f t="shared" si="161"/>
        <v>6</v>
      </c>
      <c r="AN786" s="2" t="str">
        <f t="shared" si="162"/>
        <v>3E8</v>
      </c>
      <c r="AO786" s="2"/>
      <c r="AP786" s="2" t="str">
        <f t="shared" si="163"/>
        <v>63E8</v>
      </c>
    </row>
    <row r="787" spans="11:42" x14ac:dyDescent="0.2">
      <c r="K787" s="6"/>
      <c r="L787" s="6"/>
      <c r="M787" s="6"/>
      <c r="N787" s="6"/>
      <c r="O787" s="6"/>
      <c r="AJ787" s="6">
        <f t="shared" ref="AJ787:AJ850" si="164">ROUNDDOWN(($O275*$O$16+$I$6*100)*10,0)</f>
        <v>1000</v>
      </c>
      <c r="AK787" s="5">
        <v>770</v>
      </c>
      <c r="AM787" s="2" t="str">
        <f t="shared" ref="AM787:AM850" si="165">BIN2HEX(K275+10*L275+100*M275+1000*N275,1)</f>
        <v>6</v>
      </c>
      <c r="AN787" s="2" t="str">
        <f t="shared" si="162"/>
        <v>3E8</v>
      </c>
      <c r="AO787" s="2"/>
      <c r="AP787" s="2" t="str">
        <f t="shared" si="163"/>
        <v>63E8</v>
      </c>
    </row>
    <row r="788" spans="11:42" x14ac:dyDescent="0.2">
      <c r="K788" s="6"/>
      <c r="L788" s="6"/>
      <c r="M788" s="6"/>
      <c r="N788" s="6"/>
      <c r="O788" s="6"/>
      <c r="AJ788" s="6">
        <f t="shared" si="164"/>
        <v>1000</v>
      </c>
      <c r="AK788" s="5">
        <v>771</v>
      </c>
      <c r="AM788" s="2" t="str">
        <f t="shared" si="165"/>
        <v>6</v>
      </c>
      <c r="AN788" s="2" t="str">
        <f t="shared" si="162"/>
        <v>3E8</v>
      </c>
      <c r="AO788" s="2"/>
      <c r="AP788" s="2" t="str">
        <f t="shared" si="163"/>
        <v>63E8</v>
      </c>
    </row>
    <row r="789" spans="11:42" x14ac:dyDescent="0.2">
      <c r="K789" s="6"/>
      <c r="L789" s="6"/>
      <c r="M789" s="6"/>
      <c r="N789" s="6"/>
      <c r="O789" s="6"/>
      <c r="AJ789" s="6">
        <f t="shared" si="164"/>
        <v>1000</v>
      </c>
      <c r="AK789" s="5">
        <v>772</v>
      </c>
      <c r="AM789" s="2" t="str">
        <f t="shared" si="165"/>
        <v>6</v>
      </c>
      <c r="AN789" s="2" t="str">
        <f t="shared" si="162"/>
        <v>3E8</v>
      </c>
      <c r="AO789" s="2"/>
      <c r="AP789" s="2" t="str">
        <f t="shared" si="163"/>
        <v>63E8</v>
      </c>
    </row>
    <row r="790" spans="11:42" x14ac:dyDescent="0.2">
      <c r="K790" s="6"/>
      <c r="L790" s="6"/>
      <c r="M790" s="6"/>
      <c r="N790" s="6"/>
      <c r="O790" s="6"/>
      <c r="AJ790" s="6">
        <f t="shared" si="164"/>
        <v>1000</v>
      </c>
      <c r="AK790" s="5">
        <v>773</v>
      </c>
      <c r="AM790" s="2" t="str">
        <f t="shared" si="165"/>
        <v>6</v>
      </c>
      <c r="AN790" s="2" t="str">
        <f t="shared" si="162"/>
        <v>3E8</v>
      </c>
      <c r="AO790" s="2"/>
      <c r="AP790" s="2" t="str">
        <f t="shared" si="163"/>
        <v>63E8</v>
      </c>
    </row>
    <row r="791" spans="11:42" x14ac:dyDescent="0.2">
      <c r="K791" s="6"/>
      <c r="L791" s="6"/>
      <c r="M791" s="6"/>
      <c r="N791" s="6"/>
      <c r="O791" s="6"/>
      <c r="AJ791" s="6">
        <f t="shared" si="164"/>
        <v>1000</v>
      </c>
      <c r="AK791" s="5">
        <v>774</v>
      </c>
      <c r="AM791" s="2" t="str">
        <f t="shared" si="165"/>
        <v>0</v>
      </c>
      <c r="AN791" s="2" t="str">
        <f t="shared" si="162"/>
        <v>3E8</v>
      </c>
      <c r="AO791" s="2"/>
      <c r="AP791" s="2" t="str">
        <f t="shared" si="163"/>
        <v>03E8</v>
      </c>
    </row>
    <row r="792" spans="11:42" x14ac:dyDescent="0.2">
      <c r="K792" s="6"/>
      <c r="L792" s="6"/>
      <c r="M792" s="6"/>
      <c r="N792" s="6"/>
      <c r="O792" s="6"/>
      <c r="AJ792" s="6">
        <f t="shared" si="164"/>
        <v>1000</v>
      </c>
      <c r="AK792" s="5">
        <v>775</v>
      </c>
      <c r="AM792" s="2" t="str">
        <f t="shared" si="165"/>
        <v>0</v>
      </c>
      <c r="AN792" s="2" t="str">
        <f t="shared" si="162"/>
        <v>3E8</v>
      </c>
      <c r="AO792" s="2"/>
      <c r="AP792" s="2" t="str">
        <f t="shared" si="163"/>
        <v>03E8</v>
      </c>
    </row>
    <row r="793" spans="11:42" x14ac:dyDescent="0.2">
      <c r="K793" s="6"/>
      <c r="L793" s="6"/>
      <c r="M793" s="6"/>
      <c r="N793" s="6"/>
      <c r="O793" s="6"/>
      <c r="AJ793" s="6">
        <f t="shared" si="164"/>
        <v>1000</v>
      </c>
      <c r="AK793" s="5">
        <v>776</v>
      </c>
      <c r="AM793" s="2" t="str">
        <f t="shared" si="165"/>
        <v>0</v>
      </c>
      <c r="AN793" s="2" t="str">
        <f t="shared" si="162"/>
        <v>3E8</v>
      </c>
      <c r="AO793" s="2"/>
      <c r="AP793" s="2" t="str">
        <f t="shared" si="163"/>
        <v>03E8</v>
      </c>
    </row>
    <row r="794" spans="11:42" x14ac:dyDescent="0.2">
      <c r="K794" s="6"/>
      <c r="L794" s="6"/>
      <c r="M794" s="6"/>
      <c r="N794" s="6"/>
      <c r="O794" s="6"/>
      <c r="AJ794" s="6">
        <f t="shared" si="164"/>
        <v>1000</v>
      </c>
      <c r="AK794" s="5">
        <v>777</v>
      </c>
      <c r="AM794" s="2" t="str">
        <f t="shared" si="165"/>
        <v>0</v>
      </c>
      <c r="AN794" s="2" t="str">
        <f t="shared" si="162"/>
        <v>3E8</v>
      </c>
      <c r="AO794" s="2"/>
      <c r="AP794" s="2" t="str">
        <f t="shared" si="163"/>
        <v>03E8</v>
      </c>
    </row>
    <row r="795" spans="11:42" x14ac:dyDescent="0.2">
      <c r="K795" s="6"/>
      <c r="L795" s="6"/>
      <c r="M795" s="6"/>
      <c r="N795" s="6"/>
      <c r="O795" s="6"/>
      <c r="AJ795" s="6">
        <f t="shared" si="164"/>
        <v>1000</v>
      </c>
      <c r="AK795" s="5">
        <v>778</v>
      </c>
      <c r="AM795" s="2" t="str">
        <f t="shared" si="165"/>
        <v>0</v>
      </c>
      <c r="AN795" s="2" t="str">
        <f t="shared" si="162"/>
        <v>3E8</v>
      </c>
      <c r="AO795" s="2"/>
      <c r="AP795" s="2" t="str">
        <f t="shared" si="163"/>
        <v>03E8</v>
      </c>
    </row>
    <row r="796" spans="11:42" x14ac:dyDescent="0.2">
      <c r="K796" s="6"/>
      <c r="L796" s="6"/>
      <c r="M796" s="6"/>
      <c r="N796" s="6"/>
      <c r="O796" s="6"/>
      <c r="AJ796" s="6">
        <f t="shared" si="164"/>
        <v>1000</v>
      </c>
      <c r="AK796" s="5">
        <v>779</v>
      </c>
      <c r="AM796" s="2" t="str">
        <f t="shared" si="165"/>
        <v>0</v>
      </c>
      <c r="AN796" s="2" t="str">
        <f t="shared" si="162"/>
        <v>3E8</v>
      </c>
      <c r="AO796" s="2"/>
      <c r="AP796" s="2" t="str">
        <f t="shared" si="163"/>
        <v>03E8</v>
      </c>
    </row>
    <row r="797" spans="11:42" x14ac:dyDescent="0.2">
      <c r="K797" s="6"/>
      <c r="L797" s="6"/>
      <c r="M797" s="6"/>
      <c r="N797" s="6"/>
      <c r="O797" s="6"/>
      <c r="AJ797" s="6">
        <f t="shared" si="164"/>
        <v>1000</v>
      </c>
      <c r="AK797" s="5">
        <v>780</v>
      </c>
      <c r="AM797" s="2" t="str">
        <f t="shared" si="165"/>
        <v>0</v>
      </c>
      <c r="AN797" s="2" t="str">
        <f t="shared" si="162"/>
        <v>3E8</v>
      </c>
      <c r="AO797" s="2"/>
      <c r="AP797" s="2" t="str">
        <f t="shared" si="163"/>
        <v>03E8</v>
      </c>
    </row>
    <row r="798" spans="11:42" x14ac:dyDescent="0.2">
      <c r="K798" s="6"/>
      <c r="L798" s="6"/>
      <c r="M798" s="6"/>
      <c r="N798" s="6"/>
      <c r="O798" s="6"/>
      <c r="AJ798" s="6">
        <f t="shared" si="164"/>
        <v>1000</v>
      </c>
      <c r="AK798" s="5">
        <v>781</v>
      </c>
      <c r="AM798" s="2" t="str">
        <f t="shared" si="165"/>
        <v>0</v>
      </c>
      <c r="AN798" s="2" t="str">
        <f t="shared" si="162"/>
        <v>3E8</v>
      </c>
      <c r="AO798" s="2"/>
      <c r="AP798" s="2" t="str">
        <f t="shared" si="163"/>
        <v>03E8</v>
      </c>
    </row>
    <row r="799" spans="11:42" x14ac:dyDescent="0.2">
      <c r="K799" s="6"/>
      <c r="L799" s="6"/>
      <c r="M799" s="6"/>
      <c r="N799" s="6"/>
      <c r="O799" s="6"/>
      <c r="AJ799" s="6">
        <f t="shared" si="164"/>
        <v>1000</v>
      </c>
      <c r="AK799" s="5">
        <v>782</v>
      </c>
      <c r="AM799" s="2" t="str">
        <f t="shared" si="165"/>
        <v>0</v>
      </c>
      <c r="AN799" s="2" t="str">
        <f t="shared" si="162"/>
        <v>3E8</v>
      </c>
      <c r="AO799" s="2"/>
      <c r="AP799" s="2" t="str">
        <f t="shared" si="163"/>
        <v>03E8</v>
      </c>
    </row>
    <row r="800" spans="11:42" x14ac:dyDescent="0.2">
      <c r="K800" s="6"/>
      <c r="L800" s="6"/>
      <c r="M800" s="6"/>
      <c r="N800" s="6"/>
      <c r="O800" s="6"/>
      <c r="AJ800" s="6">
        <f t="shared" si="164"/>
        <v>1000</v>
      </c>
      <c r="AK800" s="5">
        <v>783</v>
      </c>
      <c r="AM800" s="2" t="str">
        <f t="shared" si="165"/>
        <v>0</v>
      </c>
      <c r="AN800" s="2" t="str">
        <f t="shared" ref="AN800:AN863" si="166">DEC2HEX(AJ800,3)</f>
        <v>3E8</v>
      </c>
      <c r="AO800" s="2"/>
      <c r="AP800" s="2" t="str">
        <f t="shared" ref="AP800:AP863" si="167">CONCATENATE(AM800,AN800)</f>
        <v>03E8</v>
      </c>
    </row>
    <row r="801" spans="11:42" x14ac:dyDescent="0.2">
      <c r="K801" s="6"/>
      <c r="L801" s="6"/>
      <c r="M801" s="6"/>
      <c r="N801" s="6"/>
      <c r="O801" s="6"/>
      <c r="AJ801" s="6">
        <f t="shared" si="164"/>
        <v>1000</v>
      </c>
      <c r="AK801" s="5">
        <v>784</v>
      </c>
      <c r="AM801" s="2" t="str">
        <f t="shared" si="165"/>
        <v>0</v>
      </c>
      <c r="AN801" s="2" t="str">
        <f t="shared" si="166"/>
        <v>3E8</v>
      </c>
      <c r="AO801" s="2"/>
      <c r="AP801" s="2" t="str">
        <f t="shared" si="167"/>
        <v>03E8</v>
      </c>
    </row>
    <row r="802" spans="11:42" x14ac:dyDescent="0.2">
      <c r="K802" s="6"/>
      <c r="L802" s="6"/>
      <c r="M802" s="6"/>
      <c r="N802" s="6"/>
      <c r="O802" s="6"/>
      <c r="AJ802" s="6">
        <f t="shared" si="164"/>
        <v>1000</v>
      </c>
      <c r="AK802" s="5">
        <v>785</v>
      </c>
      <c r="AM802" s="2" t="str">
        <f t="shared" si="165"/>
        <v>0</v>
      </c>
      <c r="AN802" s="2" t="str">
        <f t="shared" si="166"/>
        <v>3E8</v>
      </c>
      <c r="AO802" s="2"/>
      <c r="AP802" s="2" t="str">
        <f t="shared" si="167"/>
        <v>03E8</v>
      </c>
    </row>
    <row r="803" spans="11:42" x14ac:dyDescent="0.2">
      <c r="K803" s="6"/>
      <c r="L803" s="6"/>
      <c r="M803" s="6"/>
      <c r="N803" s="6"/>
      <c r="O803" s="6"/>
      <c r="AJ803" s="6">
        <f t="shared" si="164"/>
        <v>1000</v>
      </c>
      <c r="AK803" s="5">
        <v>786</v>
      </c>
      <c r="AM803" s="2" t="str">
        <f t="shared" si="165"/>
        <v>0</v>
      </c>
      <c r="AN803" s="2" t="str">
        <f t="shared" si="166"/>
        <v>3E8</v>
      </c>
      <c r="AO803" s="2"/>
      <c r="AP803" s="2" t="str">
        <f t="shared" si="167"/>
        <v>03E8</v>
      </c>
    </row>
    <row r="804" spans="11:42" x14ac:dyDescent="0.2">
      <c r="K804" s="6"/>
      <c r="L804" s="6"/>
      <c r="M804" s="6"/>
      <c r="N804" s="6"/>
      <c r="O804" s="6"/>
      <c r="AJ804" s="6">
        <f t="shared" si="164"/>
        <v>1000</v>
      </c>
      <c r="AK804" s="5">
        <v>787</v>
      </c>
      <c r="AM804" s="2" t="str">
        <f t="shared" si="165"/>
        <v>0</v>
      </c>
      <c r="AN804" s="2" t="str">
        <f t="shared" si="166"/>
        <v>3E8</v>
      </c>
      <c r="AO804" s="2"/>
      <c r="AP804" s="2" t="str">
        <f t="shared" si="167"/>
        <v>03E8</v>
      </c>
    </row>
    <row r="805" spans="11:42" x14ac:dyDescent="0.2">
      <c r="K805" s="6"/>
      <c r="L805" s="6"/>
      <c r="M805" s="6"/>
      <c r="N805" s="6"/>
      <c r="O805" s="6"/>
      <c r="AJ805" s="6">
        <f t="shared" si="164"/>
        <v>1000</v>
      </c>
      <c r="AK805" s="5">
        <v>788</v>
      </c>
      <c r="AM805" s="2" t="str">
        <f t="shared" si="165"/>
        <v>0</v>
      </c>
      <c r="AN805" s="2" t="str">
        <f t="shared" si="166"/>
        <v>3E8</v>
      </c>
      <c r="AO805" s="2"/>
      <c r="AP805" s="2" t="str">
        <f t="shared" si="167"/>
        <v>03E8</v>
      </c>
    </row>
    <row r="806" spans="11:42" x14ac:dyDescent="0.2">
      <c r="K806" s="6"/>
      <c r="L806" s="6"/>
      <c r="M806" s="6"/>
      <c r="N806" s="6"/>
      <c r="O806" s="6"/>
      <c r="AJ806" s="6">
        <f t="shared" si="164"/>
        <v>1000</v>
      </c>
      <c r="AK806" s="5">
        <v>789</v>
      </c>
      <c r="AM806" s="2" t="str">
        <f t="shared" si="165"/>
        <v>0</v>
      </c>
      <c r="AN806" s="2" t="str">
        <f t="shared" si="166"/>
        <v>3E8</v>
      </c>
      <c r="AO806" s="2"/>
      <c r="AP806" s="2" t="str">
        <f t="shared" si="167"/>
        <v>03E8</v>
      </c>
    </row>
    <row r="807" spans="11:42" x14ac:dyDescent="0.2">
      <c r="K807" s="6"/>
      <c r="L807" s="6"/>
      <c r="M807" s="6"/>
      <c r="N807" s="6"/>
      <c r="O807" s="6"/>
      <c r="AJ807" s="6">
        <f t="shared" si="164"/>
        <v>1000</v>
      </c>
      <c r="AK807" s="5">
        <v>790</v>
      </c>
      <c r="AM807" s="2" t="str">
        <f t="shared" si="165"/>
        <v>0</v>
      </c>
      <c r="AN807" s="2" t="str">
        <f t="shared" si="166"/>
        <v>3E8</v>
      </c>
      <c r="AO807" s="2"/>
      <c r="AP807" s="2" t="str">
        <f t="shared" si="167"/>
        <v>03E8</v>
      </c>
    </row>
    <row r="808" spans="11:42" x14ac:dyDescent="0.2">
      <c r="K808" s="6"/>
      <c r="L808" s="6"/>
      <c r="M808" s="6"/>
      <c r="N808" s="6"/>
      <c r="O808" s="6"/>
      <c r="AJ808" s="6">
        <f t="shared" si="164"/>
        <v>1000</v>
      </c>
      <c r="AK808" s="5">
        <v>791</v>
      </c>
      <c r="AM808" s="2" t="str">
        <f t="shared" si="165"/>
        <v>0</v>
      </c>
      <c r="AN808" s="2" t="str">
        <f t="shared" si="166"/>
        <v>3E8</v>
      </c>
      <c r="AO808" s="2"/>
      <c r="AP808" s="2" t="str">
        <f t="shared" si="167"/>
        <v>03E8</v>
      </c>
    </row>
    <row r="809" spans="11:42" x14ac:dyDescent="0.2">
      <c r="K809" s="6"/>
      <c r="L809" s="6"/>
      <c r="M809" s="6"/>
      <c r="N809" s="6"/>
      <c r="O809" s="6"/>
      <c r="AJ809" s="6">
        <f t="shared" si="164"/>
        <v>1000</v>
      </c>
      <c r="AK809" s="5">
        <v>792</v>
      </c>
      <c r="AM809" s="2" t="str">
        <f t="shared" si="165"/>
        <v>0</v>
      </c>
      <c r="AN809" s="2" t="str">
        <f t="shared" si="166"/>
        <v>3E8</v>
      </c>
      <c r="AO809" s="2"/>
      <c r="AP809" s="2" t="str">
        <f t="shared" si="167"/>
        <v>03E8</v>
      </c>
    </row>
    <row r="810" spans="11:42" x14ac:dyDescent="0.2">
      <c r="K810" s="6"/>
      <c r="L810" s="6"/>
      <c r="M810" s="6"/>
      <c r="N810" s="6"/>
      <c r="O810" s="6"/>
      <c r="AJ810" s="6">
        <f t="shared" si="164"/>
        <v>1000</v>
      </c>
      <c r="AK810" s="5">
        <v>793</v>
      </c>
      <c r="AM810" s="2" t="str">
        <f t="shared" si="165"/>
        <v>0</v>
      </c>
      <c r="AN810" s="2" t="str">
        <f t="shared" si="166"/>
        <v>3E8</v>
      </c>
      <c r="AO810" s="2"/>
      <c r="AP810" s="2" t="str">
        <f t="shared" si="167"/>
        <v>03E8</v>
      </c>
    </row>
    <row r="811" spans="11:42" x14ac:dyDescent="0.2">
      <c r="K811" s="6"/>
      <c r="L811" s="6"/>
      <c r="M811" s="6"/>
      <c r="N811" s="6"/>
      <c r="O811" s="6"/>
      <c r="AJ811" s="6">
        <f t="shared" si="164"/>
        <v>1000</v>
      </c>
      <c r="AK811" s="5">
        <v>794</v>
      </c>
      <c r="AM811" s="2" t="str">
        <f t="shared" si="165"/>
        <v>0</v>
      </c>
      <c r="AN811" s="2" t="str">
        <f t="shared" si="166"/>
        <v>3E8</v>
      </c>
      <c r="AO811" s="2"/>
      <c r="AP811" s="2" t="str">
        <f t="shared" si="167"/>
        <v>03E8</v>
      </c>
    </row>
    <row r="812" spans="11:42" x14ac:dyDescent="0.2">
      <c r="K812" s="6"/>
      <c r="L812" s="6"/>
      <c r="M812" s="6"/>
      <c r="N812" s="6"/>
      <c r="O812" s="6"/>
      <c r="AJ812" s="6">
        <f t="shared" si="164"/>
        <v>1000</v>
      </c>
      <c r="AK812" s="5">
        <v>795</v>
      </c>
      <c r="AM812" s="2" t="str">
        <f t="shared" si="165"/>
        <v>0</v>
      </c>
      <c r="AN812" s="2" t="str">
        <f t="shared" si="166"/>
        <v>3E8</v>
      </c>
      <c r="AO812" s="2"/>
      <c r="AP812" s="2" t="str">
        <f t="shared" si="167"/>
        <v>03E8</v>
      </c>
    </row>
    <row r="813" spans="11:42" x14ac:dyDescent="0.2">
      <c r="K813" s="6"/>
      <c r="L813" s="6"/>
      <c r="M813" s="6"/>
      <c r="N813" s="6"/>
      <c r="O813" s="6"/>
      <c r="AJ813" s="6">
        <f t="shared" si="164"/>
        <v>1000</v>
      </c>
      <c r="AK813" s="5">
        <v>796</v>
      </c>
      <c r="AM813" s="2" t="str">
        <f t="shared" si="165"/>
        <v>0</v>
      </c>
      <c r="AN813" s="2" t="str">
        <f t="shared" si="166"/>
        <v>3E8</v>
      </c>
      <c r="AO813" s="2"/>
      <c r="AP813" s="2" t="str">
        <f t="shared" si="167"/>
        <v>03E8</v>
      </c>
    </row>
    <row r="814" spans="11:42" x14ac:dyDescent="0.2">
      <c r="K814" s="6"/>
      <c r="L814" s="6"/>
      <c r="M814" s="6"/>
      <c r="N814" s="6"/>
      <c r="O814" s="6"/>
      <c r="AJ814" s="6">
        <f t="shared" si="164"/>
        <v>1000</v>
      </c>
      <c r="AK814" s="5">
        <v>797</v>
      </c>
      <c r="AM814" s="2" t="str">
        <f t="shared" si="165"/>
        <v>0</v>
      </c>
      <c r="AN814" s="2" t="str">
        <f t="shared" si="166"/>
        <v>3E8</v>
      </c>
      <c r="AO814" s="2"/>
      <c r="AP814" s="2" t="str">
        <f t="shared" si="167"/>
        <v>03E8</v>
      </c>
    </row>
    <row r="815" spans="11:42" x14ac:dyDescent="0.2">
      <c r="K815" s="6"/>
      <c r="L815" s="6"/>
      <c r="M815" s="6"/>
      <c r="N815" s="6"/>
      <c r="O815" s="6"/>
      <c r="AJ815" s="6">
        <f t="shared" si="164"/>
        <v>1000</v>
      </c>
      <c r="AK815" s="5">
        <v>798</v>
      </c>
      <c r="AM815" s="2" t="str">
        <f t="shared" si="165"/>
        <v>0</v>
      </c>
      <c r="AN815" s="2" t="str">
        <f t="shared" si="166"/>
        <v>3E8</v>
      </c>
      <c r="AO815" s="2"/>
      <c r="AP815" s="2" t="str">
        <f t="shared" si="167"/>
        <v>03E8</v>
      </c>
    </row>
    <row r="816" spans="11:42" x14ac:dyDescent="0.2">
      <c r="K816" s="6"/>
      <c r="L816" s="6"/>
      <c r="M816" s="6"/>
      <c r="N816" s="6"/>
      <c r="O816" s="6"/>
      <c r="AJ816" s="6">
        <f t="shared" si="164"/>
        <v>1000</v>
      </c>
      <c r="AK816" s="5">
        <v>799</v>
      </c>
      <c r="AM816" s="2" t="str">
        <f t="shared" si="165"/>
        <v>0</v>
      </c>
      <c r="AN816" s="2" t="str">
        <f t="shared" si="166"/>
        <v>3E8</v>
      </c>
      <c r="AO816" s="2"/>
      <c r="AP816" s="2" t="str">
        <f t="shared" si="167"/>
        <v>03E8</v>
      </c>
    </row>
    <row r="817" spans="7:42" x14ac:dyDescent="0.2">
      <c r="K817" s="6"/>
      <c r="L817" s="6"/>
      <c r="M817" s="6"/>
      <c r="N817" s="6"/>
      <c r="O817" s="6"/>
      <c r="AJ817" s="6">
        <f t="shared" si="164"/>
        <v>1000</v>
      </c>
      <c r="AK817" s="5">
        <v>800</v>
      </c>
      <c r="AM817" s="2" t="str">
        <f t="shared" si="165"/>
        <v>0</v>
      </c>
      <c r="AN817" s="2" t="str">
        <f t="shared" si="166"/>
        <v>3E8</v>
      </c>
      <c r="AO817" s="2"/>
      <c r="AP817" s="2" t="str">
        <f t="shared" si="167"/>
        <v>03E8</v>
      </c>
    </row>
    <row r="818" spans="7:42" x14ac:dyDescent="0.2">
      <c r="K818" s="6"/>
      <c r="L818" s="6"/>
      <c r="M818" s="6"/>
      <c r="N818" s="6"/>
      <c r="O818" s="6"/>
      <c r="AJ818" s="6">
        <f t="shared" si="164"/>
        <v>1000</v>
      </c>
      <c r="AK818" s="5">
        <v>801</v>
      </c>
      <c r="AM818" s="2" t="str">
        <f t="shared" si="165"/>
        <v>0</v>
      </c>
      <c r="AN818" s="2" t="str">
        <f t="shared" si="166"/>
        <v>3E8</v>
      </c>
      <c r="AO818" s="2"/>
      <c r="AP818" s="2" t="str">
        <f t="shared" si="167"/>
        <v>03E8</v>
      </c>
    </row>
    <row r="819" spans="7:42" x14ac:dyDescent="0.2">
      <c r="K819" s="6"/>
      <c r="L819" s="6"/>
      <c r="M819" s="6"/>
      <c r="N819" s="6"/>
      <c r="O819" s="6"/>
      <c r="AJ819" s="6">
        <f t="shared" si="164"/>
        <v>1000</v>
      </c>
      <c r="AK819" s="5">
        <v>802</v>
      </c>
      <c r="AM819" s="2" t="str">
        <f t="shared" si="165"/>
        <v>0</v>
      </c>
      <c r="AN819" s="2" t="str">
        <f t="shared" si="166"/>
        <v>3E8</v>
      </c>
      <c r="AO819" s="2"/>
      <c r="AP819" s="2" t="str">
        <f t="shared" si="167"/>
        <v>03E8</v>
      </c>
    </row>
    <row r="820" spans="7:42" x14ac:dyDescent="0.2">
      <c r="K820" s="6"/>
      <c r="L820" s="6"/>
      <c r="M820" s="6"/>
      <c r="N820" s="6"/>
      <c r="O820" s="6"/>
      <c r="AJ820" s="6">
        <f t="shared" si="164"/>
        <v>1000</v>
      </c>
      <c r="AK820" s="5">
        <v>803</v>
      </c>
      <c r="AM820" s="2" t="str">
        <f t="shared" si="165"/>
        <v>0</v>
      </c>
      <c r="AN820" s="2" t="str">
        <f t="shared" si="166"/>
        <v>3E8</v>
      </c>
      <c r="AO820" s="2"/>
      <c r="AP820" s="2" t="str">
        <f t="shared" si="167"/>
        <v>03E8</v>
      </c>
    </row>
    <row r="821" spans="7:42" x14ac:dyDescent="0.2">
      <c r="K821" s="6"/>
      <c r="L821" s="6"/>
      <c r="M821" s="6"/>
      <c r="N821" s="6"/>
      <c r="O821" s="6"/>
      <c r="AJ821" s="6">
        <f t="shared" si="164"/>
        <v>1000</v>
      </c>
      <c r="AK821" s="5">
        <v>804</v>
      </c>
      <c r="AM821" s="2" t="str">
        <f t="shared" si="165"/>
        <v>0</v>
      </c>
      <c r="AN821" s="2" t="str">
        <f t="shared" si="166"/>
        <v>3E8</v>
      </c>
      <c r="AO821" s="2"/>
      <c r="AP821" s="2" t="str">
        <f t="shared" si="167"/>
        <v>03E8</v>
      </c>
    </row>
    <row r="822" spans="7:42" x14ac:dyDescent="0.2">
      <c r="K822" s="6"/>
      <c r="L822" s="6"/>
      <c r="M822" s="6"/>
      <c r="N822" s="6"/>
      <c r="O822" s="6"/>
      <c r="AJ822" s="6">
        <f t="shared" si="164"/>
        <v>1000</v>
      </c>
      <c r="AK822" s="5">
        <v>805</v>
      </c>
      <c r="AM822" s="2" t="str">
        <f t="shared" si="165"/>
        <v>0</v>
      </c>
      <c r="AN822" s="2" t="str">
        <f t="shared" si="166"/>
        <v>3E8</v>
      </c>
      <c r="AO822" s="2"/>
      <c r="AP822" s="2" t="str">
        <f t="shared" si="167"/>
        <v>03E8</v>
      </c>
    </row>
    <row r="823" spans="7:42" x14ac:dyDescent="0.2">
      <c r="K823" s="6"/>
      <c r="L823" s="6"/>
      <c r="M823" s="6"/>
      <c r="N823" s="6"/>
      <c r="O823" s="6"/>
      <c r="AJ823" s="6">
        <f t="shared" si="164"/>
        <v>1000</v>
      </c>
      <c r="AK823" s="5">
        <v>806</v>
      </c>
      <c r="AM823" s="2" t="str">
        <f t="shared" si="165"/>
        <v>0</v>
      </c>
      <c r="AN823" s="2" t="str">
        <f t="shared" si="166"/>
        <v>3E8</v>
      </c>
      <c r="AO823" s="2"/>
      <c r="AP823" s="2" t="str">
        <f t="shared" si="167"/>
        <v>03E8</v>
      </c>
    </row>
    <row r="824" spans="7:42" x14ac:dyDescent="0.2">
      <c r="K824" s="6"/>
      <c r="L824" s="6"/>
      <c r="M824" s="6"/>
      <c r="N824" s="6"/>
      <c r="O824" s="6"/>
      <c r="AJ824" s="6">
        <f t="shared" si="164"/>
        <v>1000</v>
      </c>
      <c r="AK824" s="5">
        <v>807</v>
      </c>
      <c r="AM824" s="2" t="str">
        <f t="shared" si="165"/>
        <v>0</v>
      </c>
      <c r="AN824" s="2" t="str">
        <f t="shared" si="166"/>
        <v>3E8</v>
      </c>
      <c r="AO824" s="2"/>
      <c r="AP824" s="2" t="str">
        <f t="shared" si="167"/>
        <v>03E8</v>
      </c>
    </row>
    <row r="825" spans="7:42" x14ac:dyDescent="0.2">
      <c r="K825" s="6"/>
      <c r="L825" s="6"/>
      <c r="M825" s="6"/>
      <c r="N825" s="6"/>
      <c r="O825" s="6"/>
      <c r="AJ825" s="6">
        <f t="shared" si="164"/>
        <v>1000</v>
      </c>
      <c r="AK825" s="5">
        <v>808</v>
      </c>
      <c r="AM825" s="2" t="str">
        <f t="shared" si="165"/>
        <v>0</v>
      </c>
      <c r="AN825" s="2" t="str">
        <f t="shared" si="166"/>
        <v>3E8</v>
      </c>
      <c r="AO825" s="2"/>
      <c r="AP825" s="2" t="str">
        <f t="shared" si="167"/>
        <v>03E8</v>
      </c>
    </row>
    <row r="826" spans="7:42" x14ac:dyDescent="0.2">
      <c r="K826" s="6"/>
      <c r="L826" s="6"/>
      <c r="M826" s="6"/>
      <c r="N826" s="6"/>
      <c r="O826" s="6"/>
      <c r="AJ826" s="6">
        <f t="shared" si="164"/>
        <v>1000</v>
      </c>
      <c r="AK826" s="5">
        <v>809</v>
      </c>
      <c r="AM826" s="2" t="str">
        <f t="shared" si="165"/>
        <v>0</v>
      </c>
      <c r="AN826" s="2" t="str">
        <f t="shared" si="166"/>
        <v>3E8</v>
      </c>
      <c r="AO826" s="2"/>
      <c r="AP826" s="2" t="str">
        <f t="shared" si="167"/>
        <v>03E8</v>
      </c>
    </row>
    <row r="827" spans="7:42" x14ac:dyDescent="0.2">
      <c r="K827" s="6"/>
      <c r="L827" s="6"/>
      <c r="M827" s="6"/>
      <c r="N827" s="6"/>
      <c r="O827" s="6"/>
      <c r="AJ827" s="6">
        <f t="shared" si="164"/>
        <v>1000</v>
      </c>
      <c r="AK827" s="5">
        <v>810</v>
      </c>
      <c r="AM827" s="2" t="str">
        <f t="shared" si="165"/>
        <v>0</v>
      </c>
      <c r="AN827" s="2" t="str">
        <f t="shared" si="166"/>
        <v>3E8</v>
      </c>
      <c r="AO827" s="2"/>
      <c r="AP827" s="2" t="str">
        <f t="shared" si="167"/>
        <v>03E8</v>
      </c>
    </row>
    <row r="828" spans="7:42" x14ac:dyDescent="0.2">
      <c r="G828" s="3"/>
      <c r="H828" s="8"/>
      <c r="K828" s="6"/>
      <c r="L828" s="6"/>
      <c r="M828" s="6"/>
      <c r="N828" s="6"/>
      <c r="O828" s="6"/>
      <c r="AJ828" s="6">
        <f t="shared" si="164"/>
        <v>1000</v>
      </c>
      <c r="AK828" s="5">
        <v>811</v>
      </c>
      <c r="AM828" s="2" t="str">
        <f t="shared" si="165"/>
        <v>0</v>
      </c>
      <c r="AN828" s="2" t="str">
        <f t="shared" si="166"/>
        <v>3E8</v>
      </c>
      <c r="AO828" s="2"/>
      <c r="AP828" s="2" t="str">
        <f t="shared" si="167"/>
        <v>03E8</v>
      </c>
    </row>
    <row r="829" spans="7:42" x14ac:dyDescent="0.2">
      <c r="G829" s="3"/>
      <c r="H829" s="8"/>
      <c r="K829" s="6"/>
      <c r="L829" s="6"/>
      <c r="M829" s="6"/>
      <c r="N829" s="6"/>
      <c r="O829" s="6"/>
      <c r="AJ829" s="6">
        <f t="shared" si="164"/>
        <v>1000</v>
      </c>
      <c r="AK829" s="5">
        <v>812</v>
      </c>
      <c r="AM829" s="2" t="str">
        <f t="shared" si="165"/>
        <v>0</v>
      </c>
      <c r="AN829" s="2" t="str">
        <f t="shared" si="166"/>
        <v>3E8</v>
      </c>
      <c r="AO829" s="2"/>
      <c r="AP829" s="2" t="str">
        <f t="shared" si="167"/>
        <v>03E8</v>
      </c>
    </row>
    <row r="830" spans="7:42" x14ac:dyDescent="0.2">
      <c r="G830" s="3"/>
      <c r="H830" s="8"/>
      <c r="K830" s="6"/>
      <c r="L830" s="6"/>
      <c r="M830" s="6"/>
      <c r="N830" s="6"/>
      <c r="O830" s="6"/>
      <c r="AJ830" s="6">
        <f t="shared" si="164"/>
        <v>1000</v>
      </c>
      <c r="AK830" s="5">
        <v>813</v>
      </c>
      <c r="AM830" s="2" t="str">
        <f t="shared" si="165"/>
        <v>0</v>
      </c>
      <c r="AN830" s="2" t="str">
        <f t="shared" si="166"/>
        <v>3E8</v>
      </c>
      <c r="AO830" s="2"/>
      <c r="AP830" s="2" t="str">
        <f t="shared" si="167"/>
        <v>03E8</v>
      </c>
    </row>
    <row r="831" spans="7:42" x14ac:dyDescent="0.2">
      <c r="G831" s="3"/>
      <c r="H831" s="8"/>
      <c r="K831" s="6"/>
      <c r="L831" s="6"/>
      <c r="M831" s="6"/>
      <c r="N831" s="6"/>
      <c r="O831" s="6"/>
      <c r="AJ831" s="6">
        <f t="shared" si="164"/>
        <v>1000</v>
      </c>
      <c r="AK831" s="5">
        <v>814</v>
      </c>
      <c r="AM831" s="2" t="str">
        <f t="shared" si="165"/>
        <v>0</v>
      </c>
      <c r="AN831" s="2" t="str">
        <f t="shared" si="166"/>
        <v>3E8</v>
      </c>
      <c r="AO831" s="2"/>
      <c r="AP831" s="2" t="str">
        <f t="shared" si="167"/>
        <v>03E8</v>
      </c>
    </row>
    <row r="832" spans="7:42" x14ac:dyDescent="0.2">
      <c r="G832" s="3"/>
      <c r="H832" s="8"/>
      <c r="K832" s="6"/>
      <c r="L832" s="6"/>
      <c r="M832" s="6"/>
      <c r="N832" s="6"/>
      <c r="O832" s="6"/>
      <c r="AJ832" s="6">
        <f t="shared" si="164"/>
        <v>1000</v>
      </c>
      <c r="AK832" s="5">
        <v>815</v>
      </c>
      <c r="AM832" s="2" t="str">
        <f t="shared" si="165"/>
        <v>0</v>
      </c>
      <c r="AN832" s="2" t="str">
        <f t="shared" si="166"/>
        <v>3E8</v>
      </c>
      <c r="AO832" s="2"/>
      <c r="AP832" s="2" t="str">
        <f t="shared" si="167"/>
        <v>03E8</v>
      </c>
    </row>
    <row r="833" spans="7:42" x14ac:dyDescent="0.2">
      <c r="G833" s="3"/>
      <c r="H833" s="8"/>
      <c r="K833" s="6"/>
      <c r="L833" s="6"/>
      <c r="M833" s="6"/>
      <c r="N833" s="6"/>
      <c r="O833" s="6"/>
      <c r="AJ833" s="6">
        <f t="shared" si="164"/>
        <v>1000</v>
      </c>
      <c r="AK833" s="5">
        <v>816</v>
      </c>
      <c r="AM833" s="2" t="str">
        <f t="shared" si="165"/>
        <v>0</v>
      </c>
      <c r="AN833" s="2" t="str">
        <f t="shared" si="166"/>
        <v>3E8</v>
      </c>
      <c r="AO833" s="2"/>
      <c r="AP833" s="2" t="str">
        <f t="shared" si="167"/>
        <v>03E8</v>
      </c>
    </row>
    <row r="834" spans="7:42" x14ac:dyDescent="0.2">
      <c r="G834" s="3"/>
      <c r="H834" s="8"/>
      <c r="K834" s="6"/>
      <c r="L834" s="6"/>
      <c r="M834" s="6"/>
      <c r="N834" s="6"/>
      <c r="O834" s="6"/>
      <c r="AJ834" s="6">
        <f t="shared" si="164"/>
        <v>1000</v>
      </c>
      <c r="AK834" s="5">
        <v>817</v>
      </c>
      <c r="AM834" s="2" t="str">
        <f t="shared" si="165"/>
        <v>0</v>
      </c>
      <c r="AN834" s="2" t="str">
        <f t="shared" si="166"/>
        <v>3E8</v>
      </c>
      <c r="AO834" s="2"/>
      <c r="AP834" s="2" t="str">
        <f t="shared" si="167"/>
        <v>03E8</v>
      </c>
    </row>
    <row r="835" spans="7:42" x14ac:dyDescent="0.2">
      <c r="G835" s="3"/>
      <c r="H835" s="8"/>
      <c r="K835" s="6"/>
      <c r="L835" s="6"/>
      <c r="M835" s="6"/>
      <c r="N835" s="6"/>
      <c r="O835" s="6"/>
      <c r="AJ835" s="6">
        <f t="shared" si="164"/>
        <v>1000</v>
      </c>
      <c r="AK835" s="5">
        <v>818</v>
      </c>
      <c r="AM835" s="2" t="str">
        <f t="shared" si="165"/>
        <v>0</v>
      </c>
      <c r="AN835" s="2" t="str">
        <f t="shared" si="166"/>
        <v>3E8</v>
      </c>
      <c r="AO835" s="2"/>
      <c r="AP835" s="2" t="str">
        <f t="shared" si="167"/>
        <v>03E8</v>
      </c>
    </row>
    <row r="836" spans="7:42" x14ac:dyDescent="0.2">
      <c r="G836" s="3"/>
      <c r="H836" s="8"/>
      <c r="K836" s="6"/>
      <c r="L836" s="6"/>
      <c r="M836" s="6"/>
      <c r="N836" s="6"/>
      <c r="O836" s="6"/>
      <c r="AJ836" s="6">
        <f t="shared" si="164"/>
        <v>1000</v>
      </c>
      <c r="AK836" s="5">
        <v>819</v>
      </c>
      <c r="AM836" s="2" t="str">
        <f t="shared" si="165"/>
        <v>0</v>
      </c>
      <c r="AN836" s="2" t="str">
        <f t="shared" si="166"/>
        <v>3E8</v>
      </c>
      <c r="AO836" s="2"/>
      <c r="AP836" s="2" t="str">
        <f t="shared" si="167"/>
        <v>03E8</v>
      </c>
    </row>
    <row r="837" spans="7:42" x14ac:dyDescent="0.2">
      <c r="G837" s="3"/>
      <c r="H837" s="8"/>
      <c r="K837" s="6"/>
      <c r="L837" s="6"/>
      <c r="M837" s="6"/>
      <c r="N837" s="6"/>
      <c r="O837" s="6"/>
      <c r="AJ837" s="6">
        <f t="shared" si="164"/>
        <v>1000</v>
      </c>
      <c r="AK837" s="5">
        <v>820</v>
      </c>
      <c r="AM837" s="2" t="str">
        <f t="shared" si="165"/>
        <v>0</v>
      </c>
      <c r="AN837" s="2" t="str">
        <f t="shared" si="166"/>
        <v>3E8</v>
      </c>
      <c r="AO837" s="2"/>
      <c r="AP837" s="2" t="str">
        <f t="shared" si="167"/>
        <v>03E8</v>
      </c>
    </row>
    <row r="838" spans="7:42" x14ac:dyDescent="0.2">
      <c r="G838" s="3"/>
      <c r="H838" s="8"/>
      <c r="K838" s="6"/>
      <c r="L838" s="6"/>
      <c r="M838" s="6"/>
      <c r="N838" s="6"/>
      <c r="O838" s="6"/>
      <c r="AJ838" s="6">
        <f t="shared" si="164"/>
        <v>1000</v>
      </c>
      <c r="AK838" s="5">
        <v>821</v>
      </c>
      <c r="AM838" s="2" t="str">
        <f t="shared" si="165"/>
        <v>0</v>
      </c>
      <c r="AN838" s="2" t="str">
        <f t="shared" si="166"/>
        <v>3E8</v>
      </c>
      <c r="AO838" s="2"/>
      <c r="AP838" s="2" t="str">
        <f t="shared" si="167"/>
        <v>03E8</v>
      </c>
    </row>
    <row r="839" spans="7:42" x14ac:dyDescent="0.2">
      <c r="G839" s="3"/>
      <c r="H839" s="8"/>
      <c r="K839" s="6"/>
      <c r="L839" s="6"/>
      <c r="M839" s="6"/>
      <c r="N839" s="6"/>
      <c r="O839" s="6"/>
      <c r="AJ839" s="6">
        <f t="shared" si="164"/>
        <v>1000</v>
      </c>
      <c r="AK839" s="5">
        <v>822</v>
      </c>
      <c r="AM839" s="2" t="str">
        <f t="shared" si="165"/>
        <v>0</v>
      </c>
      <c r="AN839" s="2" t="str">
        <f t="shared" si="166"/>
        <v>3E8</v>
      </c>
      <c r="AO839" s="2"/>
      <c r="AP839" s="2" t="str">
        <f t="shared" si="167"/>
        <v>03E8</v>
      </c>
    </row>
    <row r="840" spans="7:42" x14ac:dyDescent="0.2">
      <c r="G840" s="3"/>
      <c r="H840" s="8"/>
      <c r="K840" s="6"/>
      <c r="L840" s="6"/>
      <c r="M840" s="6"/>
      <c r="N840" s="6"/>
      <c r="O840" s="6"/>
      <c r="AJ840" s="6">
        <f t="shared" si="164"/>
        <v>1000</v>
      </c>
      <c r="AK840" s="5">
        <v>823</v>
      </c>
      <c r="AM840" s="2" t="str">
        <f t="shared" si="165"/>
        <v>0</v>
      </c>
      <c r="AN840" s="2" t="str">
        <f t="shared" si="166"/>
        <v>3E8</v>
      </c>
      <c r="AO840" s="2"/>
      <c r="AP840" s="2" t="str">
        <f t="shared" si="167"/>
        <v>03E8</v>
      </c>
    </row>
    <row r="841" spans="7:42" x14ac:dyDescent="0.2">
      <c r="G841" s="3"/>
      <c r="H841" s="8"/>
      <c r="K841" s="6"/>
      <c r="L841" s="6"/>
      <c r="M841" s="6"/>
      <c r="N841" s="6"/>
      <c r="O841" s="6"/>
      <c r="AJ841" s="6">
        <f t="shared" si="164"/>
        <v>1000</v>
      </c>
      <c r="AK841" s="5">
        <v>824</v>
      </c>
      <c r="AM841" s="2" t="str">
        <f t="shared" si="165"/>
        <v>0</v>
      </c>
      <c r="AN841" s="2" t="str">
        <f t="shared" si="166"/>
        <v>3E8</v>
      </c>
      <c r="AO841" s="2"/>
      <c r="AP841" s="2" t="str">
        <f t="shared" si="167"/>
        <v>03E8</v>
      </c>
    </row>
    <row r="842" spans="7:42" x14ac:dyDescent="0.2">
      <c r="G842" s="3"/>
      <c r="H842" s="8"/>
      <c r="K842" s="6"/>
      <c r="L842" s="6"/>
      <c r="M842" s="6"/>
      <c r="N842" s="6"/>
      <c r="O842" s="6"/>
      <c r="AJ842" s="6">
        <f t="shared" si="164"/>
        <v>1000</v>
      </c>
      <c r="AK842" s="5">
        <v>825</v>
      </c>
      <c r="AM842" s="2" t="str">
        <f t="shared" si="165"/>
        <v>0</v>
      </c>
      <c r="AN842" s="2" t="str">
        <f t="shared" si="166"/>
        <v>3E8</v>
      </c>
      <c r="AO842" s="2"/>
      <c r="AP842" s="2" t="str">
        <f t="shared" si="167"/>
        <v>03E8</v>
      </c>
    </row>
    <row r="843" spans="7:42" x14ac:dyDescent="0.2">
      <c r="G843" s="3"/>
      <c r="H843" s="8"/>
      <c r="K843" s="6"/>
      <c r="L843" s="6"/>
      <c r="M843" s="6"/>
      <c r="N843" s="6"/>
      <c r="O843" s="6"/>
      <c r="AJ843" s="6">
        <f t="shared" si="164"/>
        <v>1000</v>
      </c>
      <c r="AK843" s="5">
        <v>826</v>
      </c>
      <c r="AM843" s="2" t="str">
        <f t="shared" si="165"/>
        <v>0</v>
      </c>
      <c r="AN843" s="2" t="str">
        <f t="shared" si="166"/>
        <v>3E8</v>
      </c>
      <c r="AO843" s="2"/>
      <c r="AP843" s="2" t="str">
        <f t="shared" si="167"/>
        <v>03E8</v>
      </c>
    </row>
    <row r="844" spans="7:42" x14ac:dyDescent="0.2">
      <c r="G844" s="3"/>
      <c r="H844" s="8"/>
      <c r="K844" s="6"/>
      <c r="L844" s="6"/>
      <c r="M844" s="6"/>
      <c r="N844" s="6"/>
      <c r="O844" s="6"/>
      <c r="AJ844" s="6">
        <f t="shared" si="164"/>
        <v>1000</v>
      </c>
      <c r="AK844" s="5">
        <v>827</v>
      </c>
      <c r="AM844" s="2" t="str">
        <f t="shared" si="165"/>
        <v>0</v>
      </c>
      <c r="AN844" s="2" t="str">
        <f t="shared" si="166"/>
        <v>3E8</v>
      </c>
      <c r="AO844" s="2"/>
      <c r="AP844" s="2" t="str">
        <f t="shared" si="167"/>
        <v>03E8</v>
      </c>
    </row>
    <row r="845" spans="7:42" x14ac:dyDescent="0.2">
      <c r="G845" s="3"/>
      <c r="H845" s="8"/>
      <c r="K845" s="6"/>
      <c r="L845" s="6"/>
      <c r="M845" s="6"/>
      <c r="N845" s="6"/>
      <c r="O845" s="6"/>
      <c r="AJ845" s="6">
        <f t="shared" si="164"/>
        <v>1000</v>
      </c>
      <c r="AK845" s="5">
        <v>828</v>
      </c>
      <c r="AM845" s="2" t="str">
        <f t="shared" si="165"/>
        <v>0</v>
      </c>
      <c r="AN845" s="2" t="str">
        <f t="shared" si="166"/>
        <v>3E8</v>
      </c>
      <c r="AO845" s="2"/>
      <c r="AP845" s="2" t="str">
        <f t="shared" si="167"/>
        <v>03E8</v>
      </c>
    </row>
    <row r="846" spans="7:42" x14ac:dyDescent="0.2">
      <c r="G846" s="3"/>
      <c r="H846" s="8"/>
      <c r="K846" s="6"/>
      <c r="L846" s="6"/>
      <c r="M846" s="6"/>
      <c r="N846" s="6"/>
      <c r="O846" s="6"/>
      <c r="AJ846" s="6">
        <f t="shared" si="164"/>
        <v>1000</v>
      </c>
      <c r="AK846" s="5">
        <v>829</v>
      </c>
      <c r="AM846" s="2" t="str">
        <f t="shared" si="165"/>
        <v>0</v>
      </c>
      <c r="AN846" s="2" t="str">
        <f t="shared" si="166"/>
        <v>3E8</v>
      </c>
      <c r="AO846" s="2"/>
      <c r="AP846" s="2" t="str">
        <f t="shared" si="167"/>
        <v>03E8</v>
      </c>
    </row>
    <row r="847" spans="7:42" x14ac:dyDescent="0.2">
      <c r="G847" s="3"/>
      <c r="H847" s="8"/>
      <c r="K847" s="6"/>
      <c r="L847" s="6"/>
      <c r="M847" s="6"/>
      <c r="N847" s="6"/>
      <c r="O847" s="6"/>
      <c r="AJ847" s="6">
        <f t="shared" si="164"/>
        <v>1000</v>
      </c>
      <c r="AK847" s="5">
        <v>830</v>
      </c>
      <c r="AM847" s="2" t="str">
        <f t="shared" si="165"/>
        <v>0</v>
      </c>
      <c r="AN847" s="2" t="str">
        <f t="shared" si="166"/>
        <v>3E8</v>
      </c>
      <c r="AO847" s="2"/>
      <c r="AP847" s="2" t="str">
        <f t="shared" si="167"/>
        <v>03E8</v>
      </c>
    </row>
    <row r="848" spans="7:42" x14ac:dyDescent="0.2">
      <c r="G848" s="3"/>
      <c r="H848" s="8"/>
      <c r="K848" s="6"/>
      <c r="L848" s="6"/>
      <c r="M848" s="6"/>
      <c r="N848" s="6"/>
      <c r="O848" s="6"/>
      <c r="AJ848" s="6">
        <f t="shared" si="164"/>
        <v>1000</v>
      </c>
      <c r="AK848" s="5">
        <v>831</v>
      </c>
      <c r="AM848" s="2" t="str">
        <f t="shared" si="165"/>
        <v>0</v>
      </c>
      <c r="AN848" s="2" t="str">
        <f t="shared" si="166"/>
        <v>3E8</v>
      </c>
      <c r="AO848" s="2"/>
      <c r="AP848" s="2" t="str">
        <f t="shared" si="167"/>
        <v>03E8</v>
      </c>
    </row>
    <row r="849" spans="7:42" x14ac:dyDescent="0.2">
      <c r="G849" s="3"/>
      <c r="H849" s="8"/>
      <c r="K849" s="6"/>
      <c r="L849" s="6"/>
      <c r="M849" s="6"/>
      <c r="N849" s="6"/>
      <c r="O849" s="6"/>
      <c r="AJ849" s="6">
        <f t="shared" si="164"/>
        <v>1000</v>
      </c>
      <c r="AK849" s="5">
        <v>832</v>
      </c>
      <c r="AM849" s="2" t="str">
        <f t="shared" si="165"/>
        <v>0</v>
      </c>
      <c r="AN849" s="2" t="str">
        <f t="shared" si="166"/>
        <v>3E8</v>
      </c>
      <c r="AO849" s="2"/>
      <c r="AP849" s="2" t="str">
        <f t="shared" si="167"/>
        <v>03E8</v>
      </c>
    </row>
    <row r="850" spans="7:42" x14ac:dyDescent="0.2">
      <c r="G850" s="3"/>
      <c r="H850" s="8"/>
      <c r="K850" s="6"/>
      <c r="L850" s="6"/>
      <c r="M850" s="6"/>
      <c r="N850" s="6"/>
      <c r="O850" s="6"/>
      <c r="AJ850" s="6">
        <f t="shared" si="164"/>
        <v>1000</v>
      </c>
      <c r="AK850" s="5">
        <v>833</v>
      </c>
      <c r="AM850" s="2" t="str">
        <f t="shared" si="165"/>
        <v>0</v>
      </c>
      <c r="AN850" s="2" t="str">
        <f t="shared" si="166"/>
        <v>3E8</v>
      </c>
      <c r="AO850" s="2"/>
      <c r="AP850" s="2" t="str">
        <f t="shared" si="167"/>
        <v>03E8</v>
      </c>
    </row>
    <row r="851" spans="7:42" x14ac:dyDescent="0.2">
      <c r="G851" s="3"/>
      <c r="H851" s="8"/>
      <c r="K851" s="6"/>
      <c r="L851" s="6"/>
      <c r="M851" s="6"/>
      <c r="N851" s="6"/>
      <c r="O851" s="6"/>
      <c r="AJ851" s="6">
        <f t="shared" ref="AJ851:AJ914" si="168">ROUNDDOWN(($O339*$O$16+$I$6*100)*10,0)</f>
        <v>1000</v>
      </c>
      <c r="AK851" s="5">
        <v>834</v>
      </c>
      <c r="AM851" s="2" t="str">
        <f t="shared" ref="AM851:AM914" si="169">BIN2HEX(K339+10*L339+100*M339+1000*N339,1)</f>
        <v>0</v>
      </c>
      <c r="AN851" s="2" t="str">
        <f t="shared" si="166"/>
        <v>3E8</v>
      </c>
      <c r="AO851" s="2"/>
      <c r="AP851" s="2" t="str">
        <f t="shared" si="167"/>
        <v>03E8</v>
      </c>
    </row>
    <row r="852" spans="7:42" x14ac:dyDescent="0.2">
      <c r="G852" s="3"/>
      <c r="H852" s="8"/>
      <c r="K852" s="6"/>
      <c r="L852" s="6"/>
      <c r="M852" s="6"/>
      <c r="N852" s="6"/>
      <c r="O852" s="6"/>
      <c r="AJ852" s="6">
        <f t="shared" si="168"/>
        <v>1000</v>
      </c>
      <c r="AK852" s="5">
        <v>835</v>
      </c>
      <c r="AM852" s="2" t="str">
        <f t="shared" si="169"/>
        <v>0</v>
      </c>
      <c r="AN852" s="2" t="str">
        <f t="shared" si="166"/>
        <v>3E8</v>
      </c>
      <c r="AO852" s="2"/>
      <c r="AP852" s="2" t="str">
        <f t="shared" si="167"/>
        <v>03E8</v>
      </c>
    </row>
    <row r="853" spans="7:42" x14ac:dyDescent="0.2">
      <c r="G853" s="3"/>
      <c r="H853" s="8"/>
      <c r="K853" s="6"/>
      <c r="L853" s="6"/>
      <c r="M853" s="6"/>
      <c r="N853" s="6"/>
      <c r="O853" s="6"/>
      <c r="AJ853" s="6">
        <f t="shared" si="168"/>
        <v>1000</v>
      </c>
      <c r="AK853" s="5">
        <v>836</v>
      </c>
      <c r="AM853" s="2" t="str">
        <f t="shared" si="169"/>
        <v>0</v>
      </c>
      <c r="AN853" s="2" t="str">
        <f t="shared" si="166"/>
        <v>3E8</v>
      </c>
      <c r="AO853" s="2"/>
      <c r="AP853" s="2" t="str">
        <f t="shared" si="167"/>
        <v>03E8</v>
      </c>
    </row>
    <row r="854" spans="7:42" x14ac:dyDescent="0.2">
      <c r="G854" s="3"/>
      <c r="H854" s="8"/>
      <c r="K854" s="6"/>
      <c r="L854" s="6"/>
      <c r="M854" s="6"/>
      <c r="N854" s="6"/>
      <c r="O854" s="6"/>
      <c r="AJ854" s="6">
        <f t="shared" si="168"/>
        <v>1000</v>
      </c>
      <c r="AK854" s="5">
        <v>837</v>
      </c>
      <c r="AM854" s="2" t="str">
        <f t="shared" si="169"/>
        <v>0</v>
      </c>
      <c r="AN854" s="2" t="str">
        <f t="shared" si="166"/>
        <v>3E8</v>
      </c>
      <c r="AO854" s="2"/>
      <c r="AP854" s="2" t="str">
        <f t="shared" si="167"/>
        <v>03E8</v>
      </c>
    </row>
    <row r="855" spans="7:42" x14ac:dyDescent="0.2">
      <c r="G855" s="3"/>
      <c r="H855" s="8"/>
      <c r="K855" s="6"/>
      <c r="L855" s="6"/>
      <c r="M855" s="6"/>
      <c r="N855" s="6"/>
      <c r="O855" s="6"/>
      <c r="AJ855" s="6">
        <f t="shared" si="168"/>
        <v>1000</v>
      </c>
      <c r="AK855" s="5">
        <v>838</v>
      </c>
      <c r="AM855" s="2" t="str">
        <f t="shared" si="169"/>
        <v>0</v>
      </c>
      <c r="AN855" s="2" t="str">
        <f t="shared" si="166"/>
        <v>3E8</v>
      </c>
      <c r="AO855" s="2"/>
      <c r="AP855" s="2" t="str">
        <f t="shared" si="167"/>
        <v>03E8</v>
      </c>
    </row>
    <row r="856" spans="7:42" x14ac:dyDescent="0.2">
      <c r="G856" s="3"/>
      <c r="H856" s="8"/>
      <c r="K856" s="6"/>
      <c r="L856" s="6"/>
      <c r="M856" s="6"/>
      <c r="N856" s="6"/>
      <c r="O856" s="6"/>
      <c r="AJ856" s="6">
        <f t="shared" si="168"/>
        <v>1000</v>
      </c>
      <c r="AK856" s="5">
        <v>839</v>
      </c>
      <c r="AM856" s="2" t="str">
        <f t="shared" si="169"/>
        <v>0</v>
      </c>
      <c r="AN856" s="2" t="str">
        <f t="shared" si="166"/>
        <v>3E8</v>
      </c>
      <c r="AO856" s="2"/>
      <c r="AP856" s="2" t="str">
        <f t="shared" si="167"/>
        <v>03E8</v>
      </c>
    </row>
    <row r="857" spans="7:42" x14ac:dyDescent="0.2">
      <c r="G857" s="3"/>
      <c r="H857" s="8"/>
      <c r="K857" s="6"/>
      <c r="L857" s="6"/>
      <c r="M857" s="6"/>
      <c r="N857" s="6"/>
      <c r="O857" s="6"/>
      <c r="AJ857" s="6">
        <f t="shared" si="168"/>
        <v>1000</v>
      </c>
      <c r="AK857" s="5">
        <v>840</v>
      </c>
      <c r="AM857" s="2" t="str">
        <f t="shared" si="169"/>
        <v>0</v>
      </c>
      <c r="AN857" s="2" t="str">
        <f t="shared" si="166"/>
        <v>3E8</v>
      </c>
      <c r="AO857" s="2"/>
      <c r="AP857" s="2" t="str">
        <f t="shared" si="167"/>
        <v>03E8</v>
      </c>
    </row>
    <row r="858" spans="7:42" x14ac:dyDescent="0.2">
      <c r="G858" s="3"/>
      <c r="H858" s="8"/>
      <c r="K858" s="6"/>
      <c r="L858" s="6"/>
      <c r="M858" s="6"/>
      <c r="N858" s="6"/>
      <c r="O858" s="6"/>
      <c r="AJ858" s="6">
        <f t="shared" si="168"/>
        <v>1000</v>
      </c>
      <c r="AK858" s="5">
        <v>841</v>
      </c>
      <c r="AM858" s="2" t="str">
        <f t="shared" si="169"/>
        <v>0</v>
      </c>
      <c r="AN858" s="2" t="str">
        <f t="shared" si="166"/>
        <v>3E8</v>
      </c>
      <c r="AO858" s="2"/>
      <c r="AP858" s="2" t="str">
        <f t="shared" si="167"/>
        <v>03E8</v>
      </c>
    </row>
    <row r="859" spans="7:42" x14ac:dyDescent="0.2">
      <c r="G859" s="3"/>
      <c r="H859" s="8"/>
      <c r="K859" s="6"/>
      <c r="L859" s="6"/>
      <c r="M859" s="6"/>
      <c r="N859" s="6"/>
      <c r="O859" s="6"/>
      <c r="AJ859" s="6">
        <f t="shared" si="168"/>
        <v>1000</v>
      </c>
      <c r="AK859" s="5">
        <v>842</v>
      </c>
      <c r="AM859" s="2" t="str">
        <f t="shared" si="169"/>
        <v>0</v>
      </c>
      <c r="AN859" s="2" t="str">
        <f t="shared" si="166"/>
        <v>3E8</v>
      </c>
      <c r="AO859" s="2"/>
      <c r="AP859" s="2" t="str">
        <f t="shared" si="167"/>
        <v>03E8</v>
      </c>
    </row>
    <row r="860" spans="7:42" x14ac:dyDescent="0.2">
      <c r="G860" s="3"/>
      <c r="H860" s="8"/>
      <c r="K860" s="6"/>
      <c r="L860" s="6"/>
      <c r="M860" s="6"/>
      <c r="N860" s="6"/>
      <c r="O860" s="6"/>
      <c r="AJ860" s="6">
        <f t="shared" si="168"/>
        <v>1000</v>
      </c>
      <c r="AK860" s="5">
        <v>843</v>
      </c>
      <c r="AM860" s="2" t="str">
        <f t="shared" si="169"/>
        <v>0</v>
      </c>
      <c r="AN860" s="2" t="str">
        <f t="shared" si="166"/>
        <v>3E8</v>
      </c>
      <c r="AO860" s="2"/>
      <c r="AP860" s="2" t="str">
        <f t="shared" si="167"/>
        <v>03E8</v>
      </c>
    </row>
    <row r="861" spans="7:42" x14ac:dyDescent="0.2">
      <c r="G861" s="3"/>
      <c r="H861" s="8"/>
      <c r="K861" s="6"/>
      <c r="L861" s="6"/>
      <c r="M861" s="6"/>
      <c r="N861" s="6"/>
      <c r="O861" s="6"/>
      <c r="AJ861" s="6">
        <f t="shared" si="168"/>
        <v>1000</v>
      </c>
      <c r="AK861" s="5">
        <v>844</v>
      </c>
      <c r="AM861" s="2" t="str">
        <f t="shared" si="169"/>
        <v>0</v>
      </c>
      <c r="AN861" s="2" t="str">
        <f t="shared" si="166"/>
        <v>3E8</v>
      </c>
      <c r="AO861" s="2"/>
      <c r="AP861" s="2" t="str">
        <f t="shared" si="167"/>
        <v>03E8</v>
      </c>
    </row>
    <row r="862" spans="7:42" x14ac:dyDescent="0.2">
      <c r="G862" s="3"/>
      <c r="H862" s="8"/>
      <c r="K862" s="6"/>
      <c r="L862" s="6"/>
      <c r="M862" s="6"/>
      <c r="N862" s="6"/>
      <c r="O862" s="6"/>
      <c r="AJ862" s="6">
        <f t="shared" si="168"/>
        <v>1000</v>
      </c>
      <c r="AK862" s="5">
        <v>845</v>
      </c>
      <c r="AM862" s="2" t="str">
        <f t="shared" si="169"/>
        <v>0</v>
      </c>
      <c r="AN862" s="2" t="str">
        <f t="shared" si="166"/>
        <v>3E8</v>
      </c>
      <c r="AO862" s="2"/>
      <c r="AP862" s="2" t="str">
        <f t="shared" si="167"/>
        <v>03E8</v>
      </c>
    </row>
    <row r="863" spans="7:42" x14ac:dyDescent="0.2">
      <c r="G863" s="3"/>
      <c r="H863" s="8"/>
      <c r="K863" s="6"/>
      <c r="L863" s="6"/>
      <c r="M863" s="6"/>
      <c r="N863" s="6"/>
      <c r="O863" s="6"/>
      <c r="AJ863" s="6">
        <f t="shared" si="168"/>
        <v>1000</v>
      </c>
      <c r="AK863" s="5">
        <v>846</v>
      </c>
      <c r="AM863" s="2" t="str">
        <f t="shared" si="169"/>
        <v>0</v>
      </c>
      <c r="AN863" s="2" t="str">
        <f t="shared" si="166"/>
        <v>3E8</v>
      </c>
      <c r="AO863" s="2"/>
      <c r="AP863" s="2" t="str">
        <f t="shared" si="167"/>
        <v>03E8</v>
      </c>
    </row>
    <row r="864" spans="7:42" x14ac:dyDescent="0.2">
      <c r="G864" s="3"/>
      <c r="H864" s="8"/>
      <c r="K864" s="6"/>
      <c r="L864" s="6"/>
      <c r="M864" s="6"/>
      <c r="N864" s="6"/>
      <c r="O864" s="6"/>
      <c r="AJ864" s="6">
        <f t="shared" si="168"/>
        <v>1000</v>
      </c>
      <c r="AK864" s="5">
        <v>847</v>
      </c>
      <c r="AM864" s="2" t="str">
        <f t="shared" si="169"/>
        <v>0</v>
      </c>
      <c r="AN864" s="2" t="str">
        <f t="shared" ref="AN864:AN927" si="170">DEC2HEX(AJ864,3)</f>
        <v>3E8</v>
      </c>
      <c r="AO864" s="2"/>
      <c r="AP864" s="2" t="str">
        <f t="shared" ref="AP864:AP927" si="171">CONCATENATE(AM864,AN864)</f>
        <v>03E8</v>
      </c>
    </row>
    <row r="865" spans="7:42" x14ac:dyDescent="0.2">
      <c r="G865" s="3"/>
      <c r="H865" s="8"/>
      <c r="K865" s="6"/>
      <c r="L865" s="6"/>
      <c r="M865" s="6"/>
      <c r="N865" s="6"/>
      <c r="O865" s="6"/>
      <c r="AJ865" s="6">
        <f t="shared" si="168"/>
        <v>1000</v>
      </c>
      <c r="AK865" s="5">
        <v>848</v>
      </c>
      <c r="AM865" s="2" t="str">
        <f t="shared" si="169"/>
        <v>0</v>
      </c>
      <c r="AN865" s="2" t="str">
        <f t="shared" si="170"/>
        <v>3E8</v>
      </c>
      <c r="AO865" s="2"/>
      <c r="AP865" s="2" t="str">
        <f t="shared" si="171"/>
        <v>03E8</v>
      </c>
    </row>
    <row r="866" spans="7:42" x14ac:dyDescent="0.2">
      <c r="G866" s="3"/>
      <c r="H866" s="8"/>
      <c r="K866" s="6"/>
      <c r="L866" s="6"/>
      <c r="M866" s="6"/>
      <c r="N866" s="6"/>
      <c r="O866" s="6"/>
      <c r="AJ866" s="6">
        <f t="shared" si="168"/>
        <v>1000</v>
      </c>
      <c r="AK866" s="5">
        <v>849</v>
      </c>
      <c r="AM866" s="2" t="str">
        <f t="shared" si="169"/>
        <v>0</v>
      </c>
      <c r="AN866" s="2" t="str">
        <f t="shared" si="170"/>
        <v>3E8</v>
      </c>
      <c r="AO866" s="2"/>
      <c r="AP866" s="2" t="str">
        <f t="shared" si="171"/>
        <v>03E8</v>
      </c>
    </row>
    <row r="867" spans="7:42" x14ac:dyDescent="0.2">
      <c r="G867" s="3"/>
      <c r="H867" s="8"/>
      <c r="K867" s="6"/>
      <c r="L867" s="6"/>
      <c r="M867" s="6"/>
      <c r="N867" s="6"/>
      <c r="O867" s="6"/>
      <c r="AJ867" s="6">
        <f t="shared" si="168"/>
        <v>1000</v>
      </c>
      <c r="AK867" s="5">
        <v>850</v>
      </c>
      <c r="AM867" s="2" t="str">
        <f t="shared" si="169"/>
        <v>0</v>
      </c>
      <c r="AN867" s="2" t="str">
        <f t="shared" si="170"/>
        <v>3E8</v>
      </c>
      <c r="AO867" s="2"/>
      <c r="AP867" s="2" t="str">
        <f t="shared" si="171"/>
        <v>03E8</v>
      </c>
    </row>
    <row r="868" spans="7:42" x14ac:dyDescent="0.2">
      <c r="G868" s="3"/>
      <c r="H868" s="8"/>
      <c r="K868" s="6"/>
      <c r="L868" s="6"/>
      <c r="M868" s="6"/>
      <c r="N868" s="6"/>
      <c r="O868" s="6"/>
      <c r="AJ868" s="6">
        <f t="shared" si="168"/>
        <v>1000</v>
      </c>
      <c r="AK868" s="5">
        <v>851</v>
      </c>
      <c r="AM868" s="2" t="str">
        <f t="shared" si="169"/>
        <v>0</v>
      </c>
      <c r="AN868" s="2" t="str">
        <f t="shared" si="170"/>
        <v>3E8</v>
      </c>
      <c r="AO868" s="2"/>
      <c r="AP868" s="2" t="str">
        <f t="shared" si="171"/>
        <v>03E8</v>
      </c>
    </row>
    <row r="869" spans="7:42" x14ac:dyDescent="0.2">
      <c r="G869" s="3"/>
      <c r="H869" s="8"/>
      <c r="K869" s="6"/>
      <c r="L869" s="6"/>
      <c r="M869" s="6"/>
      <c r="N869" s="6"/>
      <c r="O869" s="6"/>
      <c r="AJ869" s="6">
        <f t="shared" si="168"/>
        <v>1000</v>
      </c>
      <c r="AK869" s="5">
        <v>852</v>
      </c>
      <c r="AM869" s="2" t="str">
        <f t="shared" si="169"/>
        <v>0</v>
      </c>
      <c r="AN869" s="2" t="str">
        <f t="shared" si="170"/>
        <v>3E8</v>
      </c>
      <c r="AO869" s="2"/>
      <c r="AP869" s="2" t="str">
        <f t="shared" si="171"/>
        <v>03E8</v>
      </c>
    </row>
    <row r="870" spans="7:42" x14ac:dyDescent="0.2">
      <c r="G870" s="3"/>
      <c r="H870" s="8"/>
      <c r="K870" s="6"/>
      <c r="L870" s="6"/>
      <c r="M870" s="6"/>
      <c r="N870" s="6"/>
      <c r="O870" s="6"/>
      <c r="AJ870" s="6">
        <f t="shared" si="168"/>
        <v>1000</v>
      </c>
      <c r="AK870" s="5">
        <v>853</v>
      </c>
      <c r="AM870" s="2" t="str">
        <f t="shared" si="169"/>
        <v>0</v>
      </c>
      <c r="AN870" s="2" t="str">
        <f t="shared" si="170"/>
        <v>3E8</v>
      </c>
      <c r="AO870" s="2"/>
      <c r="AP870" s="2" t="str">
        <f t="shared" si="171"/>
        <v>03E8</v>
      </c>
    </row>
    <row r="871" spans="7:42" x14ac:dyDescent="0.2">
      <c r="G871" s="3"/>
      <c r="H871" s="8"/>
      <c r="K871" s="6"/>
      <c r="L871" s="6"/>
      <c r="M871" s="6"/>
      <c r="N871" s="6"/>
      <c r="O871" s="6"/>
      <c r="AJ871" s="6">
        <f t="shared" si="168"/>
        <v>1000</v>
      </c>
      <c r="AK871" s="5">
        <v>854</v>
      </c>
      <c r="AM871" s="2" t="str">
        <f t="shared" si="169"/>
        <v>0</v>
      </c>
      <c r="AN871" s="2" t="str">
        <f t="shared" si="170"/>
        <v>3E8</v>
      </c>
      <c r="AO871" s="2"/>
      <c r="AP871" s="2" t="str">
        <f t="shared" si="171"/>
        <v>03E8</v>
      </c>
    </row>
    <row r="872" spans="7:42" x14ac:dyDescent="0.2">
      <c r="G872" s="3"/>
      <c r="H872" s="8"/>
      <c r="K872" s="6"/>
      <c r="L872" s="6"/>
      <c r="M872" s="6"/>
      <c r="N872" s="6"/>
      <c r="O872" s="6"/>
      <c r="AJ872" s="6">
        <f t="shared" si="168"/>
        <v>1000</v>
      </c>
      <c r="AK872" s="5">
        <v>855</v>
      </c>
      <c r="AM872" s="2" t="str">
        <f t="shared" si="169"/>
        <v>0</v>
      </c>
      <c r="AN872" s="2" t="str">
        <f t="shared" si="170"/>
        <v>3E8</v>
      </c>
      <c r="AO872" s="2"/>
      <c r="AP872" s="2" t="str">
        <f t="shared" si="171"/>
        <v>03E8</v>
      </c>
    </row>
    <row r="873" spans="7:42" x14ac:dyDescent="0.2">
      <c r="G873" s="3"/>
      <c r="H873" s="8"/>
      <c r="K873" s="6"/>
      <c r="L873" s="6"/>
      <c r="M873" s="6"/>
      <c r="N873" s="6"/>
      <c r="O873" s="6"/>
      <c r="AJ873" s="6">
        <f t="shared" si="168"/>
        <v>1000</v>
      </c>
      <c r="AK873" s="5">
        <v>856</v>
      </c>
      <c r="AM873" s="2" t="str">
        <f t="shared" si="169"/>
        <v>0</v>
      </c>
      <c r="AN873" s="2" t="str">
        <f t="shared" si="170"/>
        <v>3E8</v>
      </c>
      <c r="AO873" s="2"/>
      <c r="AP873" s="2" t="str">
        <f t="shared" si="171"/>
        <v>03E8</v>
      </c>
    </row>
    <row r="874" spans="7:42" x14ac:dyDescent="0.2">
      <c r="G874" s="3"/>
      <c r="H874" s="8"/>
      <c r="K874" s="6"/>
      <c r="L874" s="6"/>
      <c r="M874" s="6"/>
      <c r="N874" s="6"/>
      <c r="O874" s="6"/>
      <c r="AJ874" s="6">
        <f t="shared" si="168"/>
        <v>1000</v>
      </c>
      <c r="AK874" s="5">
        <v>857</v>
      </c>
      <c r="AM874" s="2" t="str">
        <f t="shared" si="169"/>
        <v>0</v>
      </c>
      <c r="AN874" s="2" t="str">
        <f t="shared" si="170"/>
        <v>3E8</v>
      </c>
      <c r="AO874" s="2"/>
      <c r="AP874" s="2" t="str">
        <f t="shared" si="171"/>
        <v>03E8</v>
      </c>
    </row>
    <row r="875" spans="7:42" x14ac:dyDescent="0.2">
      <c r="G875" s="3"/>
      <c r="H875" s="8"/>
      <c r="K875" s="6"/>
      <c r="L875" s="6"/>
      <c r="M875" s="6"/>
      <c r="N875" s="6"/>
      <c r="O875" s="6"/>
      <c r="AJ875" s="6">
        <f t="shared" si="168"/>
        <v>1000</v>
      </c>
      <c r="AK875" s="5">
        <v>858</v>
      </c>
      <c r="AM875" s="2" t="str">
        <f t="shared" si="169"/>
        <v>0</v>
      </c>
      <c r="AN875" s="2" t="str">
        <f t="shared" si="170"/>
        <v>3E8</v>
      </c>
      <c r="AO875" s="2"/>
      <c r="AP875" s="2" t="str">
        <f t="shared" si="171"/>
        <v>03E8</v>
      </c>
    </row>
    <row r="876" spans="7:42" x14ac:dyDescent="0.2">
      <c r="G876" s="3"/>
      <c r="H876" s="8"/>
      <c r="K876" s="6"/>
      <c r="L876" s="6"/>
      <c r="M876" s="6"/>
      <c r="N876" s="6"/>
      <c r="O876" s="6"/>
      <c r="AJ876" s="6">
        <f t="shared" si="168"/>
        <v>1000</v>
      </c>
      <c r="AK876" s="5">
        <v>859</v>
      </c>
      <c r="AM876" s="2" t="str">
        <f t="shared" si="169"/>
        <v>0</v>
      </c>
      <c r="AN876" s="2" t="str">
        <f t="shared" si="170"/>
        <v>3E8</v>
      </c>
      <c r="AO876" s="2"/>
      <c r="AP876" s="2" t="str">
        <f t="shared" si="171"/>
        <v>03E8</v>
      </c>
    </row>
    <row r="877" spans="7:42" x14ac:dyDescent="0.2">
      <c r="G877" s="3"/>
      <c r="H877" s="8"/>
      <c r="K877" s="6"/>
      <c r="L877" s="6"/>
      <c r="M877" s="6"/>
      <c r="N877" s="6"/>
      <c r="O877" s="6"/>
      <c r="AJ877" s="6">
        <f t="shared" si="168"/>
        <v>1000</v>
      </c>
      <c r="AK877" s="5">
        <v>860</v>
      </c>
      <c r="AM877" s="2" t="str">
        <f t="shared" si="169"/>
        <v>0</v>
      </c>
      <c r="AN877" s="2" t="str">
        <f t="shared" si="170"/>
        <v>3E8</v>
      </c>
      <c r="AO877" s="2"/>
      <c r="AP877" s="2" t="str">
        <f t="shared" si="171"/>
        <v>03E8</v>
      </c>
    </row>
    <row r="878" spans="7:42" x14ac:dyDescent="0.2">
      <c r="G878" s="3"/>
      <c r="H878" s="8"/>
      <c r="K878" s="6"/>
      <c r="L878" s="6"/>
      <c r="M878" s="6"/>
      <c r="N878" s="6"/>
      <c r="O878" s="6"/>
      <c r="AJ878" s="6">
        <f t="shared" si="168"/>
        <v>1000</v>
      </c>
      <c r="AK878" s="5">
        <v>861</v>
      </c>
      <c r="AM878" s="2" t="str">
        <f t="shared" si="169"/>
        <v>0</v>
      </c>
      <c r="AN878" s="2" t="str">
        <f t="shared" si="170"/>
        <v>3E8</v>
      </c>
      <c r="AO878" s="2"/>
      <c r="AP878" s="2" t="str">
        <f t="shared" si="171"/>
        <v>03E8</v>
      </c>
    </row>
    <row r="879" spans="7:42" x14ac:dyDescent="0.2">
      <c r="G879" s="3"/>
      <c r="H879" s="8"/>
      <c r="K879" s="6"/>
      <c r="L879" s="6"/>
      <c r="M879" s="6"/>
      <c r="N879" s="6"/>
      <c r="O879" s="6"/>
      <c r="AJ879" s="6">
        <f t="shared" si="168"/>
        <v>1000</v>
      </c>
      <c r="AK879" s="5">
        <v>862</v>
      </c>
      <c r="AM879" s="2" t="str">
        <f t="shared" si="169"/>
        <v>0</v>
      </c>
      <c r="AN879" s="2" t="str">
        <f t="shared" si="170"/>
        <v>3E8</v>
      </c>
      <c r="AO879" s="2"/>
      <c r="AP879" s="2" t="str">
        <f t="shared" si="171"/>
        <v>03E8</v>
      </c>
    </row>
    <row r="880" spans="7:42" x14ac:dyDescent="0.2">
      <c r="G880" s="3"/>
      <c r="H880" s="8"/>
      <c r="K880" s="6"/>
      <c r="L880" s="6"/>
      <c r="M880" s="6"/>
      <c r="N880" s="6"/>
      <c r="O880" s="6"/>
      <c r="AJ880" s="6">
        <f t="shared" si="168"/>
        <v>1000</v>
      </c>
      <c r="AK880" s="5">
        <v>863</v>
      </c>
      <c r="AM880" s="2" t="str">
        <f t="shared" si="169"/>
        <v>0</v>
      </c>
      <c r="AN880" s="2" t="str">
        <f t="shared" si="170"/>
        <v>3E8</v>
      </c>
      <c r="AO880" s="2"/>
      <c r="AP880" s="2" t="str">
        <f t="shared" si="171"/>
        <v>03E8</v>
      </c>
    </row>
    <row r="881" spans="7:42" x14ac:dyDescent="0.2">
      <c r="G881" s="3"/>
      <c r="H881" s="8"/>
      <c r="K881" s="6"/>
      <c r="L881" s="6"/>
      <c r="M881" s="6"/>
      <c r="N881" s="6"/>
      <c r="O881" s="6"/>
      <c r="AJ881" s="6">
        <f t="shared" si="168"/>
        <v>1000</v>
      </c>
      <c r="AK881" s="5">
        <v>864</v>
      </c>
      <c r="AM881" s="2" t="str">
        <f t="shared" si="169"/>
        <v>0</v>
      </c>
      <c r="AN881" s="2" t="str">
        <f t="shared" si="170"/>
        <v>3E8</v>
      </c>
      <c r="AO881" s="2"/>
      <c r="AP881" s="2" t="str">
        <f t="shared" si="171"/>
        <v>03E8</v>
      </c>
    </row>
    <row r="882" spans="7:42" x14ac:dyDescent="0.2">
      <c r="G882" s="3"/>
      <c r="H882" s="8"/>
      <c r="K882" s="6"/>
      <c r="L882" s="6"/>
      <c r="M882" s="6"/>
      <c r="N882" s="6"/>
      <c r="O882" s="6"/>
      <c r="AJ882" s="6">
        <f t="shared" si="168"/>
        <v>1000</v>
      </c>
      <c r="AK882" s="5">
        <v>865</v>
      </c>
      <c r="AM882" s="2" t="str">
        <f t="shared" si="169"/>
        <v>0</v>
      </c>
      <c r="AN882" s="2" t="str">
        <f t="shared" si="170"/>
        <v>3E8</v>
      </c>
      <c r="AO882" s="2"/>
      <c r="AP882" s="2" t="str">
        <f t="shared" si="171"/>
        <v>03E8</v>
      </c>
    </row>
    <row r="883" spans="7:42" x14ac:dyDescent="0.2">
      <c r="G883" s="3"/>
      <c r="H883" s="8"/>
      <c r="K883" s="6"/>
      <c r="L883" s="6"/>
      <c r="M883" s="6"/>
      <c r="N883" s="6"/>
      <c r="O883" s="6"/>
      <c r="AJ883" s="6">
        <f t="shared" si="168"/>
        <v>1000</v>
      </c>
      <c r="AK883" s="5">
        <v>866</v>
      </c>
      <c r="AM883" s="2" t="str">
        <f t="shared" si="169"/>
        <v>0</v>
      </c>
      <c r="AN883" s="2" t="str">
        <f t="shared" si="170"/>
        <v>3E8</v>
      </c>
      <c r="AO883" s="2"/>
      <c r="AP883" s="2" t="str">
        <f t="shared" si="171"/>
        <v>03E8</v>
      </c>
    </row>
    <row r="884" spans="7:42" x14ac:dyDescent="0.2">
      <c r="G884" s="3"/>
      <c r="H884" s="8"/>
      <c r="K884" s="6"/>
      <c r="L884" s="6"/>
      <c r="M884" s="6"/>
      <c r="N884" s="6"/>
      <c r="O884" s="6"/>
      <c r="AJ884" s="6">
        <f t="shared" si="168"/>
        <v>1000</v>
      </c>
      <c r="AK884" s="5">
        <v>867</v>
      </c>
      <c r="AM884" s="2" t="str">
        <f t="shared" si="169"/>
        <v>0</v>
      </c>
      <c r="AN884" s="2" t="str">
        <f t="shared" si="170"/>
        <v>3E8</v>
      </c>
      <c r="AO884" s="2"/>
      <c r="AP884" s="2" t="str">
        <f t="shared" si="171"/>
        <v>03E8</v>
      </c>
    </row>
    <row r="885" spans="7:42" x14ac:dyDescent="0.2">
      <c r="G885" s="3"/>
      <c r="H885" s="8"/>
      <c r="K885" s="6"/>
      <c r="L885" s="6"/>
      <c r="M885" s="6"/>
      <c r="N885" s="6"/>
      <c r="O885" s="6"/>
      <c r="AJ885" s="6">
        <f t="shared" si="168"/>
        <v>1000</v>
      </c>
      <c r="AK885" s="5">
        <v>868</v>
      </c>
      <c r="AM885" s="2" t="str">
        <f t="shared" si="169"/>
        <v>0</v>
      </c>
      <c r="AN885" s="2" t="str">
        <f t="shared" si="170"/>
        <v>3E8</v>
      </c>
      <c r="AO885" s="2"/>
      <c r="AP885" s="2" t="str">
        <f t="shared" si="171"/>
        <v>03E8</v>
      </c>
    </row>
    <row r="886" spans="7:42" x14ac:dyDescent="0.2">
      <c r="G886" s="3"/>
      <c r="H886" s="8"/>
      <c r="K886" s="6"/>
      <c r="L886" s="6"/>
      <c r="M886" s="6"/>
      <c r="N886" s="6"/>
      <c r="O886" s="6"/>
      <c r="AJ886" s="6">
        <f t="shared" si="168"/>
        <v>1000</v>
      </c>
      <c r="AK886" s="5">
        <v>869</v>
      </c>
      <c r="AM886" s="2" t="str">
        <f t="shared" si="169"/>
        <v>0</v>
      </c>
      <c r="AN886" s="2" t="str">
        <f t="shared" si="170"/>
        <v>3E8</v>
      </c>
      <c r="AO886" s="2"/>
      <c r="AP886" s="2" t="str">
        <f t="shared" si="171"/>
        <v>03E8</v>
      </c>
    </row>
    <row r="887" spans="7:42" x14ac:dyDescent="0.2">
      <c r="G887" s="3"/>
      <c r="H887" s="8"/>
      <c r="K887" s="6"/>
      <c r="L887" s="6"/>
      <c r="M887" s="6"/>
      <c r="N887" s="6"/>
      <c r="O887" s="6"/>
      <c r="AJ887" s="6">
        <f t="shared" si="168"/>
        <v>1000</v>
      </c>
      <c r="AK887" s="5">
        <v>870</v>
      </c>
      <c r="AM887" s="2" t="str">
        <f t="shared" si="169"/>
        <v>0</v>
      </c>
      <c r="AN887" s="2" t="str">
        <f t="shared" si="170"/>
        <v>3E8</v>
      </c>
      <c r="AO887" s="2"/>
      <c r="AP887" s="2" t="str">
        <f t="shared" si="171"/>
        <v>03E8</v>
      </c>
    </row>
    <row r="888" spans="7:42" x14ac:dyDescent="0.2">
      <c r="G888" s="3"/>
      <c r="H888" s="8"/>
      <c r="K888" s="6"/>
      <c r="L888" s="6"/>
      <c r="M888" s="6"/>
      <c r="N888" s="6"/>
      <c r="O888" s="6"/>
      <c r="AJ888" s="6">
        <f t="shared" si="168"/>
        <v>1000</v>
      </c>
      <c r="AK888" s="5">
        <v>871</v>
      </c>
      <c r="AM888" s="2" t="str">
        <f t="shared" si="169"/>
        <v>0</v>
      </c>
      <c r="AN888" s="2" t="str">
        <f t="shared" si="170"/>
        <v>3E8</v>
      </c>
      <c r="AO888" s="2"/>
      <c r="AP888" s="2" t="str">
        <f t="shared" si="171"/>
        <v>03E8</v>
      </c>
    </row>
    <row r="889" spans="7:42" x14ac:dyDescent="0.2">
      <c r="G889" s="3"/>
      <c r="H889" s="8"/>
      <c r="K889" s="6"/>
      <c r="L889" s="6"/>
      <c r="M889" s="6"/>
      <c r="N889" s="6"/>
      <c r="O889" s="6"/>
      <c r="AJ889" s="6">
        <f t="shared" si="168"/>
        <v>1000</v>
      </c>
      <c r="AK889" s="5">
        <v>872</v>
      </c>
      <c r="AM889" s="2" t="str">
        <f t="shared" si="169"/>
        <v>0</v>
      </c>
      <c r="AN889" s="2" t="str">
        <f t="shared" si="170"/>
        <v>3E8</v>
      </c>
      <c r="AO889" s="2"/>
      <c r="AP889" s="2" t="str">
        <f t="shared" si="171"/>
        <v>03E8</v>
      </c>
    </row>
    <row r="890" spans="7:42" x14ac:dyDescent="0.2">
      <c r="G890" s="3"/>
      <c r="H890" s="8"/>
      <c r="K890" s="6"/>
      <c r="L890" s="6"/>
      <c r="M890" s="6"/>
      <c r="N890" s="6"/>
      <c r="O890" s="6"/>
      <c r="AJ890" s="6">
        <f t="shared" si="168"/>
        <v>1000</v>
      </c>
      <c r="AK890" s="5">
        <v>873</v>
      </c>
      <c r="AM890" s="2" t="str">
        <f t="shared" si="169"/>
        <v>0</v>
      </c>
      <c r="AN890" s="2" t="str">
        <f t="shared" si="170"/>
        <v>3E8</v>
      </c>
      <c r="AO890" s="2"/>
      <c r="AP890" s="2" t="str">
        <f t="shared" si="171"/>
        <v>03E8</v>
      </c>
    </row>
    <row r="891" spans="7:42" x14ac:dyDescent="0.2">
      <c r="G891" s="3"/>
      <c r="H891" s="8"/>
      <c r="K891" s="6"/>
      <c r="L891" s="6"/>
      <c r="M891" s="6"/>
      <c r="N891" s="6"/>
      <c r="O891" s="6"/>
      <c r="AJ891" s="6">
        <f t="shared" si="168"/>
        <v>1000</v>
      </c>
      <c r="AK891" s="5">
        <v>874</v>
      </c>
      <c r="AM891" s="2" t="str">
        <f t="shared" si="169"/>
        <v>0</v>
      </c>
      <c r="AN891" s="2" t="str">
        <f t="shared" si="170"/>
        <v>3E8</v>
      </c>
      <c r="AO891" s="2"/>
      <c r="AP891" s="2" t="str">
        <f t="shared" si="171"/>
        <v>03E8</v>
      </c>
    </row>
    <row r="892" spans="7:42" x14ac:dyDescent="0.2">
      <c r="G892" s="3"/>
      <c r="H892" s="8"/>
      <c r="K892" s="6"/>
      <c r="L892" s="6"/>
      <c r="M892" s="6"/>
      <c r="N892" s="6"/>
      <c r="O892" s="6"/>
      <c r="AJ892" s="6">
        <f t="shared" si="168"/>
        <v>1000</v>
      </c>
      <c r="AK892" s="5">
        <v>875</v>
      </c>
      <c r="AM892" s="2" t="str">
        <f t="shared" si="169"/>
        <v>0</v>
      </c>
      <c r="AN892" s="2" t="str">
        <f t="shared" si="170"/>
        <v>3E8</v>
      </c>
      <c r="AO892" s="2"/>
      <c r="AP892" s="2" t="str">
        <f t="shared" si="171"/>
        <v>03E8</v>
      </c>
    </row>
    <row r="893" spans="7:42" x14ac:dyDescent="0.2">
      <c r="G893" s="3"/>
      <c r="H893" s="8"/>
      <c r="K893" s="6"/>
      <c r="L893" s="6"/>
      <c r="M893" s="6"/>
      <c r="N893" s="6"/>
      <c r="O893" s="6"/>
      <c r="AJ893" s="6">
        <f t="shared" si="168"/>
        <v>1000</v>
      </c>
      <c r="AK893" s="5">
        <v>876</v>
      </c>
      <c r="AM893" s="2" t="str">
        <f t="shared" si="169"/>
        <v>0</v>
      </c>
      <c r="AN893" s="2" t="str">
        <f t="shared" si="170"/>
        <v>3E8</v>
      </c>
      <c r="AO893" s="2"/>
      <c r="AP893" s="2" t="str">
        <f t="shared" si="171"/>
        <v>03E8</v>
      </c>
    </row>
    <row r="894" spans="7:42" x14ac:dyDescent="0.2">
      <c r="G894" s="3"/>
      <c r="H894" s="8"/>
      <c r="K894" s="6"/>
      <c r="L894" s="6"/>
      <c r="M894" s="6"/>
      <c r="N894" s="6"/>
      <c r="O894" s="6"/>
      <c r="AJ894" s="6">
        <f t="shared" si="168"/>
        <v>1000</v>
      </c>
      <c r="AK894" s="5">
        <v>877</v>
      </c>
      <c r="AM894" s="2" t="str">
        <f t="shared" si="169"/>
        <v>0</v>
      </c>
      <c r="AN894" s="2" t="str">
        <f t="shared" si="170"/>
        <v>3E8</v>
      </c>
      <c r="AO894" s="2"/>
      <c r="AP894" s="2" t="str">
        <f t="shared" si="171"/>
        <v>03E8</v>
      </c>
    </row>
    <row r="895" spans="7:42" x14ac:dyDescent="0.2">
      <c r="G895" s="3"/>
      <c r="H895" s="8"/>
      <c r="K895" s="6"/>
      <c r="L895" s="6"/>
      <c r="M895" s="6"/>
      <c r="N895" s="6"/>
      <c r="O895" s="6"/>
      <c r="AJ895" s="6">
        <f t="shared" si="168"/>
        <v>1000</v>
      </c>
      <c r="AK895" s="5">
        <v>878</v>
      </c>
      <c r="AM895" s="2" t="str">
        <f t="shared" si="169"/>
        <v>0</v>
      </c>
      <c r="AN895" s="2" t="str">
        <f t="shared" si="170"/>
        <v>3E8</v>
      </c>
      <c r="AO895" s="2"/>
      <c r="AP895" s="2" t="str">
        <f t="shared" si="171"/>
        <v>03E8</v>
      </c>
    </row>
    <row r="896" spans="7:42" x14ac:dyDescent="0.2">
      <c r="G896" s="3"/>
      <c r="H896" s="8"/>
      <c r="K896" s="6"/>
      <c r="L896" s="6"/>
      <c r="M896" s="6"/>
      <c r="N896" s="6"/>
      <c r="O896" s="6"/>
      <c r="AJ896" s="6">
        <f t="shared" si="168"/>
        <v>1000</v>
      </c>
      <c r="AK896" s="5">
        <v>879</v>
      </c>
      <c r="AM896" s="2" t="str">
        <f t="shared" si="169"/>
        <v>0</v>
      </c>
      <c r="AN896" s="2" t="str">
        <f t="shared" si="170"/>
        <v>3E8</v>
      </c>
      <c r="AO896" s="2"/>
      <c r="AP896" s="2" t="str">
        <f t="shared" si="171"/>
        <v>03E8</v>
      </c>
    </row>
    <row r="897" spans="7:42" x14ac:dyDescent="0.2">
      <c r="G897" s="3"/>
      <c r="H897" s="8"/>
      <c r="K897" s="6"/>
      <c r="L897" s="6"/>
      <c r="M897" s="6"/>
      <c r="N897" s="6"/>
      <c r="O897" s="6"/>
      <c r="AJ897" s="6">
        <f t="shared" si="168"/>
        <v>1000</v>
      </c>
      <c r="AK897" s="5">
        <v>880</v>
      </c>
      <c r="AM897" s="2" t="str">
        <f t="shared" si="169"/>
        <v>0</v>
      </c>
      <c r="AN897" s="2" t="str">
        <f t="shared" si="170"/>
        <v>3E8</v>
      </c>
      <c r="AO897" s="2"/>
      <c r="AP897" s="2" t="str">
        <f t="shared" si="171"/>
        <v>03E8</v>
      </c>
    </row>
    <row r="898" spans="7:42" x14ac:dyDescent="0.2">
      <c r="G898" s="3"/>
      <c r="H898" s="8"/>
      <c r="K898" s="6"/>
      <c r="L898" s="6"/>
      <c r="M898" s="6"/>
      <c r="N898" s="6"/>
      <c r="O898" s="6"/>
      <c r="AJ898" s="6">
        <f t="shared" si="168"/>
        <v>1000</v>
      </c>
      <c r="AK898" s="5">
        <v>881</v>
      </c>
      <c r="AM898" s="2" t="str">
        <f t="shared" si="169"/>
        <v>0</v>
      </c>
      <c r="AN898" s="2" t="str">
        <f t="shared" si="170"/>
        <v>3E8</v>
      </c>
      <c r="AO898" s="2"/>
      <c r="AP898" s="2" t="str">
        <f t="shared" si="171"/>
        <v>03E8</v>
      </c>
    </row>
    <row r="899" spans="7:42" x14ac:dyDescent="0.2">
      <c r="G899" s="3"/>
      <c r="H899" s="8"/>
      <c r="K899" s="6"/>
      <c r="L899" s="6"/>
      <c r="M899" s="6"/>
      <c r="N899" s="6"/>
      <c r="O899" s="6"/>
      <c r="AJ899" s="6">
        <f t="shared" si="168"/>
        <v>1000</v>
      </c>
      <c r="AK899" s="5">
        <v>882</v>
      </c>
      <c r="AM899" s="2" t="str">
        <f t="shared" si="169"/>
        <v>0</v>
      </c>
      <c r="AN899" s="2" t="str">
        <f t="shared" si="170"/>
        <v>3E8</v>
      </c>
      <c r="AO899" s="2"/>
      <c r="AP899" s="2" t="str">
        <f t="shared" si="171"/>
        <v>03E8</v>
      </c>
    </row>
    <row r="900" spans="7:42" x14ac:dyDescent="0.2">
      <c r="G900" s="3"/>
      <c r="H900" s="8"/>
      <c r="K900" s="6"/>
      <c r="L900" s="6"/>
      <c r="M900" s="6"/>
      <c r="N900" s="6"/>
      <c r="O900" s="6"/>
      <c r="AJ900" s="6">
        <f t="shared" si="168"/>
        <v>1000</v>
      </c>
      <c r="AK900" s="5">
        <v>883</v>
      </c>
      <c r="AM900" s="2" t="str">
        <f t="shared" si="169"/>
        <v>0</v>
      </c>
      <c r="AN900" s="2" t="str">
        <f t="shared" si="170"/>
        <v>3E8</v>
      </c>
      <c r="AO900" s="2"/>
      <c r="AP900" s="2" t="str">
        <f t="shared" si="171"/>
        <v>03E8</v>
      </c>
    </row>
    <row r="901" spans="7:42" x14ac:dyDescent="0.2">
      <c r="G901" s="3"/>
      <c r="H901" s="8"/>
      <c r="K901" s="6"/>
      <c r="L901" s="6"/>
      <c r="M901" s="6"/>
      <c r="N901" s="6"/>
      <c r="O901" s="6"/>
      <c r="AJ901" s="6">
        <f t="shared" si="168"/>
        <v>1000</v>
      </c>
      <c r="AK901" s="5">
        <v>884</v>
      </c>
      <c r="AM901" s="2" t="str">
        <f t="shared" si="169"/>
        <v>0</v>
      </c>
      <c r="AN901" s="2" t="str">
        <f t="shared" si="170"/>
        <v>3E8</v>
      </c>
      <c r="AO901" s="2"/>
      <c r="AP901" s="2" t="str">
        <f t="shared" si="171"/>
        <v>03E8</v>
      </c>
    </row>
    <row r="902" spans="7:42" x14ac:dyDescent="0.2">
      <c r="G902" s="3"/>
      <c r="H902" s="8"/>
      <c r="K902" s="6"/>
      <c r="L902" s="6"/>
      <c r="M902" s="6"/>
      <c r="N902" s="6"/>
      <c r="O902" s="6"/>
      <c r="AJ902" s="6">
        <f t="shared" si="168"/>
        <v>1000</v>
      </c>
      <c r="AK902" s="5">
        <v>885</v>
      </c>
      <c r="AM902" s="2" t="str">
        <f t="shared" si="169"/>
        <v>0</v>
      </c>
      <c r="AN902" s="2" t="str">
        <f t="shared" si="170"/>
        <v>3E8</v>
      </c>
      <c r="AO902" s="2"/>
      <c r="AP902" s="2" t="str">
        <f t="shared" si="171"/>
        <v>03E8</v>
      </c>
    </row>
    <row r="903" spans="7:42" x14ac:dyDescent="0.2">
      <c r="G903" s="3"/>
      <c r="H903" s="8"/>
      <c r="K903" s="6"/>
      <c r="L903" s="6"/>
      <c r="M903" s="6"/>
      <c r="N903" s="6"/>
      <c r="O903" s="6"/>
      <c r="AJ903" s="6">
        <f t="shared" si="168"/>
        <v>1000</v>
      </c>
      <c r="AK903" s="5">
        <v>886</v>
      </c>
      <c r="AM903" s="2" t="str">
        <f t="shared" si="169"/>
        <v>0</v>
      </c>
      <c r="AN903" s="2" t="str">
        <f t="shared" si="170"/>
        <v>3E8</v>
      </c>
      <c r="AO903" s="2"/>
      <c r="AP903" s="2" t="str">
        <f t="shared" si="171"/>
        <v>03E8</v>
      </c>
    </row>
    <row r="904" spans="7:42" x14ac:dyDescent="0.2">
      <c r="G904" s="3"/>
      <c r="H904" s="8"/>
      <c r="K904" s="6"/>
      <c r="L904" s="6"/>
      <c r="M904" s="6"/>
      <c r="N904" s="6"/>
      <c r="O904" s="6"/>
      <c r="AJ904" s="6">
        <f t="shared" si="168"/>
        <v>1000</v>
      </c>
      <c r="AK904" s="5">
        <v>887</v>
      </c>
      <c r="AM904" s="2" t="str">
        <f t="shared" si="169"/>
        <v>0</v>
      </c>
      <c r="AN904" s="2" t="str">
        <f t="shared" si="170"/>
        <v>3E8</v>
      </c>
      <c r="AO904" s="2"/>
      <c r="AP904" s="2" t="str">
        <f t="shared" si="171"/>
        <v>03E8</v>
      </c>
    </row>
    <row r="905" spans="7:42" x14ac:dyDescent="0.2">
      <c r="G905" s="3"/>
      <c r="H905" s="8"/>
      <c r="K905" s="6"/>
      <c r="L905" s="6"/>
      <c r="M905" s="6"/>
      <c r="N905" s="6"/>
      <c r="O905" s="6"/>
      <c r="AJ905" s="6">
        <f t="shared" si="168"/>
        <v>1000</v>
      </c>
      <c r="AK905" s="5">
        <v>888</v>
      </c>
      <c r="AM905" s="2" t="str">
        <f t="shared" si="169"/>
        <v>0</v>
      </c>
      <c r="AN905" s="2" t="str">
        <f t="shared" si="170"/>
        <v>3E8</v>
      </c>
      <c r="AO905" s="2"/>
      <c r="AP905" s="2" t="str">
        <f t="shared" si="171"/>
        <v>03E8</v>
      </c>
    </row>
    <row r="906" spans="7:42" x14ac:dyDescent="0.2">
      <c r="G906" s="3"/>
      <c r="H906" s="8"/>
      <c r="K906" s="6"/>
      <c r="L906" s="6"/>
      <c r="M906" s="6"/>
      <c r="N906" s="6"/>
      <c r="O906" s="6"/>
      <c r="AJ906" s="6">
        <f t="shared" si="168"/>
        <v>1000</v>
      </c>
      <c r="AK906" s="5">
        <v>889</v>
      </c>
      <c r="AM906" s="2" t="str">
        <f t="shared" si="169"/>
        <v>0</v>
      </c>
      <c r="AN906" s="2" t="str">
        <f t="shared" si="170"/>
        <v>3E8</v>
      </c>
      <c r="AO906" s="2"/>
      <c r="AP906" s="2" t="str">
        <f t="shared" si="171"/>
        <v>03E8</v>
      </c>
    </row>
    <row r="907" spans="7:42" x14ac:dyDescent="0.2">
      <c r="G907" s="3"/>
      <c r="H907" s="8"/>
      <c r="K907" s="6"/>
      <c r="L907" s="6"/>
      <c r="M907" s="6"/>
      <c r="N907" s="6"/>
      <c r="O907" s="6"/>
      <c r="AJ907" s="6">
        <f t="shared" si="168"/>
        <v>1000</v>
      </c>
      <c r="AK907" s="5">
        <v>890</v>
      </c>
      <c r="AM907" s="2" t="str">
        <f t="shared" si="169"/>
        <v>0</v>
      </c>
      <c r="AN907" s="2" t="str">
        <f t="shared" si="170"/>
        <v>3E8</v>
      </c>
      <c r="AO907" s="2"/>
      <c r="AP907" s="2" t="str">
        <f t="shared" si="171"/>
        <v>03E8</v>
      </c>
    </row>
    <row r="908" spans="7:42" x14ac:dyDescent="0.2">
      <c r="G908" s="3"/>
      <c r="H908" s="8"/>
      <c r="K908" s="6"/>
      <c r="L908" s="6"/>
      <c r="M908" s="6"/>
      <c r="N908" s="6"/>
      <c r="O908" s="6"/>
      <c r="AJ908" s="6">
        <f t="shared" si="168"/>
        <v>1000</v>
      </c>
      <c r="AK908" s="5">
        <v>891</v>
      </c>
      <c r="AM908" s="2" t="str">
        <f t="shared" si="169"/>
        <v>0</v>
      </c>
      <c r="AN908" s="2" t="str">
        <f t="shared" si="170"/>
        <v>3E8</v>
      </c>
      <c r="AO908" s="2"/>
      <c r="AP908" s="2" t="str">
        <f t="shared" si="171"/>
        <v>03E8</v>
      </c>
    </row>
    <row r="909" spans="7:42" x14ac:dyDescent="0.2">
      <c r="G909" s="3"/>
      <c r="H909" s="8"/>
      <c r="K909" s="6"/>
      <c r="L909" s="6"/>
      <c r="M909" s="6"/>
      <c r="N909" s="6"/>
      <c r="O909" s="6"/>
      <c r="AJ909" s="6">
        <f t="shared" si="168"/>
        <v>1000</v>
      </c>
      <c r="AK909" s="5">
        <v>892</v>
      </c>
      <c r="AM909" s="2" t="str">
        <f t="shared" si="169"/>
        <v>0</v>
      </c>
      <c r="AN909" s="2" t="str">
        <f t="shared" si="170"/>
        <v>3E8</v>
      </c>
      <c r="AO909" s="2"/>
      <c r="AP909" s="2" t="str">
        <f t="shared" si="171"/>
        <v>03E8</v>
      </c>
    </row>
    <row r="910" spans="7:42" x14ac:dyDescent="0.2">
      <c r="G910" s="3"/>
      <c r="H910" s="8"/>
      <c r="K910" s="6"/>
      <c r="L910" s="6"/>
      <c r="M910" s="6"/>
      <c r="N910" s="6"/>
      <c r="O910" s="6"/>
      <c r="AJ910" s="6">
        <f t="shared" si="168"/>
        <v>1000</v>
      </c>
      <c r="AK910" s="5">
        <v>893</v>
      </c>
      <c r="AM910" s="2" t="str">
        <f t="shared" si="169"/>
        <v>0</v>
      </c>
      <c r="AN910" s="2" t="str">
        <f t="shared" si="170"/>
        <v>3E8</v>
      </c>
      <c r="AO910" s="2"/>
      <c r="AP910" s="2" t="str">
        <f t="shared" si="171"/>
        <v>03E8</v>
      </c>
    </row>
    <row r="911" spans="7:42" x14ac:dyDescent="0.2">
      <c r="G911" s="3"/>
      <c r="H911" s="8"/>
      <c r="K911" s="6"/>
      <c r="L911" s="6"/>
      <c r="M911" s="6"/>
      <c r="N911" s="6"/>
      <c r="O911" s="6"/>
      <c r="AJ911" s="6">
        <f t="shared" si="168"/>
        <v>1000</v>
      </c>
      <c r="AK911" s="5">
        <v>894</v>
      </c>
      <c r="AM911" s="2" t="str">
        <f t="shared" si="169"/>
        <v>0</v>
      </c>
      <c r="AN911" s="2" t="str">
        <f t="shared" si="170"/>
        <v>3E8</v>
      </c>
      <c r="AO911" s="2"/>
      <c r="AP911" s="2" t="str">
        <f t="shared" si="171"/>
        <v>03E8</v>
      </c>
    </row>
    <row r="912" spans="7:42" x14ac:dyDescent="0.2">
      <c r="G912" s="3"/>
      <c r="H912" s="8"/>
      <c r="K912" s="6"/>
      <c r="L912" s="6"/>
      <c r="M912" s="6"/>
      <c r="N912" s="6"/>
      <c r="O912" s="6"/>
      <c r="AJ912" s="6">
        <f t="shared" si="168"/>
        <v>1000</v>
      </c>
      <c r="AK912" s="5">
        <v>895</v>
      </c>
      <c r="AM912" s="2" t="str">
        <f t="shared" si="169"/>
        <v>0</v>
      </c>
      <c r="AN912" s="2" t="str">
        <f t="shared" si="170"/>
        <v>3E8</v>
      </c>
      <c r="AO912" s="2"/>
      <c r="AP912" s="2" t="str">
        <f t="shared" si="171"/>
        <v>03E8</v>
      </c>
    </row>
    <row r="913" spans="7:42" x14ac:dyDescent="0.2">
      <c r="G913" s="3"/>
      <c r="H913" s="8"/>
      <c r="K913" s="6"/>
      <c r="L913" s="6"/>
      <c r="M913" s="6"/>
      <c r="N913" s="6"/>
      <c r="O913" s="6"/>
      <c r="AJ913" s="6">
        <f t="shared" si="168"/>
        <v>1000</v>
      </c>
      <c r="AK913" s="5">
        <v>896</v>
      </c>
      <c r="AM913" s="2" t="str">
        <f t="shared" si="169"/>
        <v>0</v>
      </c>
      <c r="AN913" s="2" t="str">
        <f t="shared" si="170"/>
        <v>3E8</v>
      </c>
      <c r="AO913" s="2"/>
      <c r="AP913" s="2" t="str">
        <f t="shared" si="171"/>
        <v>03E8</v>
      </c>
    </row>
    <row r="914" spans="7:42" x14ac:dyDescent="0.2">
      <c r="G914" s="3"/>
      <c r="H914" s="8"/>
      <c r="K914" s="6"/>
      <c r="L914" s="6"/>
      <c r="M914" s="6"/>
      <c r="N914" s="6"/>
      <c r="O914" s="6"/>
      <c r="AJ914" s="6">
        <f t="shared" si="168"/>
        <v>1000</v>
      </c>
      <c r="AK914" s="5">
        <v>897</v>
      </c>
      <c r="AM914" s="2" t="str">
        <f t="shared" si="169"/>
        <v>0</v>
      </c>
      <c r="AN914" s="2" t="str">
        <f t="shared" si="170"/>
        <v>3E8</v>
      </c>
      <c r="AO914" s="2"/>
      <c r="AP914" s="2" t="str">
        <f t="shared" si="171"/>
        <v>03E8</v>
      </c>
    </row>
    <row r="915" spans="7:42" x14ac:dyDescent="0.2">
      <c r="G915" s="3"/>
      <c r="H915" s="8"/>
      <c r="K915" s="6"/>
      <c r="L915" s="6"/>
      <c r="M915" s="6"/>
      <c r="N915" s="6"/>
      <c r="O915" s="6"/>
      <c r="AJ915" s="6">
        <f t="shared" ref="AJ915:AJ978" si="172">ROUNDDOWN(($O403*$O$16+$I$6*100)*10,0)</f>
        <v>1000</v>
      </c>
      <c r="AK915" s="5">
        <v>898</v>
      </c>
      <c r="AM915" s="2" t="str">
        <f t="shared" ref="AM915:AM978" si="173">BIN2HEX(K403+10*L403+100*M403+1000*N403,1)</f>
        <v>0</v>
      </c>
      <c r="AN915" s="2" t="str">
        <f t="shared" si="170"/>
        <v>3E8</v>
      </c>
      <c r="AO915" s="2"/>
      <c r="AP915" s="2" t="str">
        <f t="shared" si="171"/>
        <v>03E8</v>
      </c>
    </row>
    <row r="916" spans="7:42" x14ac:dyDescent="0.2">
      <c r="G916" s="3"/>
      <c r="H916" s="8"/>
      <c r="K916" s="6"/>
      <c r="L916" s="6"/>
      <c r="M916" s="6"/>
      <c r="N916" s="6"/>
      <c r="O916" s="6"/>
      <c r="AJ916" s="6">
        <f t="shared" si="172"/>
        <v>1000</v>
      </c>
      <c r="AK916" s="5">
        <v>899</v>
      </c>
      <c r="AM916" s="2" t="str">
        <f t="shared" si="173"/>
        <v>0</v>
      </c>
      <c r="AN916" s="2" t="str">
        <f t="shared" si="170"/>
        <v>3E8</v>
      </c>
      <c r="AO916" s="2"/>
      <c r="AP916" s="2" t="str">
        <f t="shared" si="171"/>
        <v>03E8</v>
      </c>
    </row>
    <row r="917" spans="7:42" x14ac:dyDescent="0.2">
      <c r="G917" s="3"/>
      <c r="H917" s="8"/>
      <c r="K917" s="6"/>
      <c r="L917" s="6"/>
      <c r="M917" s="6"/>
      <c r="N917" s="6"/>
      <c r="O917" s="6"/>
      <c r="AJ917" s="6">
        <f t="shared" si="172"/>
        <v>1000</v>
      </c>
      <c r="AK917" s="5">
        <v>900</v>
      </c>
      <c r="AM917" s="2" t="str">
        <f t="shared" si="173"/>
        <v>0</v>
      </c>
      <c r="AN917" s="2" t="str">
        <f t="shared" si="170"/>
        <v>3E8</v>
      </c>
      <c r="AO917" s="2"/>
      <c r="AP917" s="2" t="str">
        <f t="shared" si="171"/>
        <v>03E8</v>
      </c>
    </row>
    <row r="918" spans="7:42" x14ac:dyDescent="0.2">
      <c r="G918" s="3"/>
      <c r="H918" s="8"/>
      <c r="K918" s="6"/>
      <c r="L918" s="6"/>
      <c r="M918" s="6"/>
      <c r="N918" s="6"/>
      <c r="O918" s="6"/>
      <c r="AJ918" s="6">
        <f t="shared" si="172"/>
        <v>1000</v>
      </c>
      <c r="AK918" s="5">
        <v>901</v>
      </c>
      <c r="AM918" s="2" t="str">
        <f t="shared" si="173"/>
        <v>0</v>
      </c>
      <c r="AN918" s="2" t="str">
        <f t="shared" si="170"/>
        <v>3E8</v>
      </c>
      <c r="AO918" s="2"/>
      <c r="AP918" s="2" t="str">
        <f t="shared" si="171"/>
        <v>03E8</v>
      </c>
    </row>
    <row r="919" spans="7:42" x14ac:dyDescent="0.2">
      <c r="G919" s="3"/>
      <c r="H919" s="8"/>
      <c r="K919" s="6"/>
      <c r="L919" s="6"/>
      <c r="M919" s="6"/>
      <c r="N919" s="6"/>
      <c r="O919" s="6"/>
      <c r="AJ919" s="6">
        <f t="shared" si="172"/>
        <v>1000</v>
      </c>
      <c r="AK919" s="5">
        <v>902</v>
      </c>
      <c r="AM919" s="2" t="str">
        <f t="shared" si="173"/>
        <v>0</v>
      </c>
      <c r="AN919" s="2" t="str">
        <f t="shared" si="170"/>
        <v>3E8</v>
      </c>
      <c r="AO919" s="2"/>
      <c r="AP919" s="2" t="str">
        <f t="shared" si="171"/>
        <v>03E8</v>
      </c>
    </row>
    <row r="920" spans="7:42" x14ac:dyDescent="0.2">
      <c r="G920" s="3"/>
      <c r="H920" s="8"/>
      <c r="K920" s="6"/>
      <c r="L920" s="6"/>
      <c r="M920" s="6"/>
      <c r="N920" s="6"/>
      <c r="O920" s="6"/>
      <c r="AJ920" s="6">
        <f t="shared" si="172"/>
        <v>1000</v>
      </c>
      <c r="AK920" s="5">
        <v>903</v>
      </c>
      <c r="AM920" s="2" t="str">
        <f t="shared" si="173"/>
        <v>0</v>
      </c>
      <c r="AN920" s="2" t="str">
        <f t="shared" si="170"/>
        <v>3E8</v>
      </c>
      <c r="AO920" s="2"/>
      <c r="AP920" s="2" t="str">
        <f t="shared" si="171"/>
        <v>03E8</v>
      </c>
    </row>
    <row r="921" spans="7:42" x14ac:dyDescent="0.2">
      <c r="G921" s="3"/>
      <c r="H921" s="8"/>
      <c r="K921" s="6"/>
      <c r="L921" s="6"/>
      <c r="M921" s="6"/>
      <c r="N921" s="6"/>
      <c r="O921" s="6"/>
      <c r="AJ921" s="6">
        <f t="shared" si="172"/>
        <v>1000</v>
      </c>
      <c r="AK921" s="5">
        <v>904</v>
      </c>
      <c r="AM921" s="2" t="str">
        <f t="shared" si="173"/>
        <v>0</v>
      </c>
      <c r="AN921" s="2" t="str">
        <f t="shared" si="170"/>
        <v>3E8</v>
      </c>
      <c r="AO921" s="2"/>
      <c r="AP921" s="2" t="str">
        <f t="shared" si="171"/>
        <v>03E8</v>
      </c>
    </row>
    <row r="922" spans="7:42" x14ac:dyDescent="0.2">
      <c r="G922" s="3"/>
      <c r="H922" s="8"/>
      <c r="K922" s="6"/>
      <c r="L922" s="6"/>
      <c r="M922" s="6"/>
      <c r="N922" s="6"/>
      <c r="O922" s="6"/>
      <c r="AJ922" s="6">
        <f t="shared" si="172"/>
        <v>1000</v>
      </c>
      <c r="AK922" s="5">
        <v>905</v>
      </c>
      <c r="AM922" s="2" t="str">
        <f t="shared" si="173"/>
        <v>0</v>
      </c>
      <c r="AN922" s="2" t="str">
        <f t="shared" si="170"/>
        <v>3E8</v>
      </c>
      <c r="AO922" s="2"/>
      <c r="AP922" s="2" t="str">
        <f t="shared" si="171"/>
        <v>03E8</v>
      </c>
    </row>
    <row r="923" spans="7:42" x14ac:dyDescent="0.2">
      <c r="G923" s="3"/>
      <c r="H923" s="8"/>
      <c r="K923" s="6"/>
      <c r="L923" s="6"/>
      <c r="M923" s="6"/>
      <c r="N923" s="6"/>
      <c r="O923" s="6"/>
      <c r="AJ923" s="6">
        <f t="shared" si="172"/>
        <v>1000</v>
      </c>
      <c r="AK923" s="5">
        <v>906</v>
      </c>
      <c r="AM923" s="2" t="str">
        <f t="shared" si="173"/>
        <v>0</v>
      </c>
      <c r="AN923" s="2" t="str">
        <f t="shared" si="170"/>
        <v>3E8</v>
      </c>
      <c r="AO923" s="2"/>
      <c r="AP923" s="2" t="str">
        <f t="shared" si="171"/>
        <v>03E8</v>
      </c>
    </row>
    <row r="924" spans="7:42" x14ac:dyDescent="0.2">
      <c r="G924" s="3"/>
      <c r="H924" s="8"/>
      <c r="K924" s="6"/>
      <c r="L924" s="6"/>
      <c r="M924" s="6"/>
      <c r="N924" s="6"/>
      <c r="O924" s="6"/>
      <c r="AJ924" s="6">
        <f t="shared" si="172"/>
        <v>1000</v>
      </c>
      <c r="AK924" s="5">
        <v>907</v>
      </c>
      <c r="AM924" s="2" t="str">
        <f t="shared" si="173"/>
        <v>0</v>
      </c>
      <c r="AN924" s="2" t="str">
        <f t="shared" si="170"/>
        <v>3E8</v>
      </c>
      <c r="AO924" s="2"/>
      <c r="AP924" s="2" t="str">
        <f t="shared" si="171"/>
        <v>03E8</v>
      </c>
    </row>
    <row r="925" spans="7:42" x14ac:dyDescent="0.2">
      <c r="G925" s="3"/>
      <c r="H925" s="8"/>
      <c r="K925" s="6"/>
      <c r="L925" s="6"/>
      <c r="M925" s="6"/>
      <c r="N925" s="6"/>
      <c r="O925" s="6"/>
      <c r="AJ925" s="6">
        <f t="shared" si="172"/>
        <v>1000</v>
      </c>
      <c r="AK925" s="5">
        <v>908</v>
      </c>
      <c r="AM925" s="2" t="str">
        <f t="shared" si="173"/>
        <v>0</v>
      </c>
      <c r="AN925" s="2" t="str">
        <f t="shared" si="170"/>
        <v>3E8</v>
      </c>
      <c r="AO925" s="2"/>
      <c r="AP925" s="2" t="str">
        <f t="shared" si="171"/>
        <v>03E8</v>
      </c>
    </row>
    <row r="926" spans="7:42" x14ac:dyDescent="0.2">
      <c r="G926" s="3"/>
      <c r="H926" s="8"/>
      <c r="K926" s="6"/>
      <c r="L926" s="6"/>
      <c r="M926" s="6"/>
      <c r="N926" s="6"/>
      <c r="O926" s="6"/>
      <c r="AJ926" s="6">
        <f t="shared" si="172"/>
        <v>1000</v>
      </c>
      <c r="AK926" s="5">
        <v>909</v>
      </c>
      <c r="AM926" s="2" t="str">
        <f t="shared" si="173"/>
        <v>0</v>
      </c>
      <c r="AN926" s="2" t="str">
        <f t="shared" si="170"/>
        <v>3E8</v>
      </c>
      <c r="AO926" s="2"/>
      <c r="AP926" s="2" t="str">
        <f t="shared" si="171"/>
        <v>03E8</v>
      </c>
    </row>
    <row r="927" spans="7:42" x14ac:dyDescent="0.2">
      <c r="G927" s="3"/>
      <c r="H927" s="8"/>
      <c r="K927" s="6"/>
      <c r="L927" s="6"/>
      <c r="M927" s="6"/>
      <c r="N927" s="6"/>
      <c r="O927" s="6"/>
      <c r="AJ927" s="6">
        <f t="shared" si="172"/>
        <v>1000</v>
      </c>
      <c r="AK927" s="5">
        <v>910</v>
      </c>
      <c r="AM927" s="2" t="str">
        <f t="shared" si="173"/>
        <v>0</v>
      </c>
      <c r="AN927" s="2" t="str">
        <f t="shared" si="170"/>
        <v>3E8</v>
      </c>
      <c r="AO927" s="2"/>
      <c r="AP927" s="2" t="str">
        <f t="shared" si="171"/>
        <v>03E8</v>
      </c>
    </row>
    <row r="928" spans="7:42" x14ac:dyDescent="0.2">
      <c r="G928" s="3"/>
      <c r="H928" s="8"/>
      <c r="K928" s="6"/>
      <c r="L928" s="6"/>
      <c r="M928" s="6"/>
      <c r="N928" s="6"/>
      <c r="O928" s="6"/>
      <c r="AJ928" s="6">
        <f t="shared" si="172"/>
        <v>1000</v>
      </c>
      <c r="AK928" s="5">
        <v>911</v>
      </c>
      <c r="AM928" s="2" t="str">
        <f t="shared" si="173"/>
        <v>0</v>
      </c>
      <c r="AN928" s="2" t="str">
        <f t="shared" ref="AN928:AN991" si="174">DEC2HEX(AJ928,3)</f>
        <v>3E8</v>
      </c>
      <c r="AO928" s="2"/>
      <c r="AP928" s="2" t="str">
        <f t="shared" ref="AP928:AP991" si="175">CONCATENATE(AM928,AN928)</f>
        <v>03E8</v>
      </c>
    </row>
    <row r="929" spans="7:42" x14ac:dyDescent="0.2">
      <c r="G929" s="3"/>
      <c r="H929" s="8"/>
      <c r="K929" s="6"/>
      <c r="L929" s="6"/>
      <c r="M929" s="6"/>
      <c r="N929" s="6"/>
      <c r="O929" s="6"/>
      <c r="AJ929" s="6">
        <f t="shared" si="172"/>
        <v>1000</v>
      </c>
      <c r="AK929" s="5">
        <v>912</v>
      </c>
      <c r="AM929" s="2" t="str">
        <f t="shared" si="173"/>
        <v>0</v>
      </c>
      <c r="AN929" s="2" t="str">
        <f t="shared" si="174"/>
        <v>3E8</v>
      </c>
      <c r="AO929" s="2"/>
      <c r="AP929" s="2" t="str">
        <f t="shared" si="175"/>
        <v>03E8</v>
      </c>
    </row>
    <row r="930" spans="7:42" x14ac:dyDescent="0.2">
      <c r="G930" s="3"/>
      <c r="H930" s="8"/>
      <c r="K930" s="6"/>
      <c r="L930" s="6"/>
      <c r="M930" s="6"/>
      <c r="N930" s="6"/>
      <c r="O930" s="6"/>
      <c r="AJ930" s="6">
        <f t="shared" si="172"/>
        <v>1000</v>
      </c>
      <c r="AK930" s="5">
        <v>913</v>
      </c>
      <c r="AM930" s="2" t="str">
        <f t="shared" si="173"/>
        <v>0</v>
      </c>
      <c r="AN930" s="2" t="str">
        <f t="shared" si="174"/>
        <v>3E8</v>
      </c>
      <c r="AO930" s="2"/>
      <c r="AP930" s="2" t="str">
        <f t="shared" si="175"/>
        <v>03E8</v>
      </c>
    </row>
    <row r="931" spans="7:42" x14ac:dyDescent="0.2">
      <c r="G931" s="3"/>
      <c r="H931" s="8"/>
      <c r="K931" s="6"/>
      <c r="L931" s="6"/>
      <c r="M931" s="6"/>
      <c r="N931" s="6"/>
      <c r="O931" s="6"/>
      <c r="AJ931" s="6">
        <f t="shared" si="172"/>
        <v>1000</v>
      </c>
      <c r="AK931" s="5">
        <v>914</v>
      </c>
      <c r="AM931" s="2" t="str">
        <f t="shared" si="173"/>
        <v>0</v>
      </c>
      <c r="AN931" s="2" t="str">
        <f t="shared" si="174"/>
        <v>3E8</v>
      </c>
      <c r="AO931" s="2"/>
      <c r="AP931" s="2" t="str">
        <f t="shared" si="175"/>
        <v>03E8</v>
      </c>
    </row>
    <row r="932" spans="7:42" x14ac:dyDescent="0.2">
      <c r="G932" s="3"/>
      <c r="H932" s="8"/>
      <c r="K932" s="6"/>
      <c r="L932" s="6"/>
      <c r="M932" s="6"/>
      <c r="N932" s="6"/>
      <c r="O932" s="6"/>
      <c r="AJ932" s="6">
        <f t="shared" si="172"/>
        <v>1000</v>
      </c>
      <c r="AK932" s="5">
        <v>915</v>
      </c>
      <c r="AM932" s="2" t="str">
        <f t="shared" si="173"/>
        <v>0</v>
      </c>
      <c r="AN932" s="2" t="str">
        <f t="shared" si="174"/>
        <v>3E8</v>
      </c>
      <c r="AO932" s="2"/>
      <c r="AP932" s="2" t="str">
        <f t="shared" si="175"/>
        <v>03E8</v>
      </c>
    </row>
    <row r="933" spans="7:42" x14ac:dyDescent="0.2">
      <c r="G933" s="3"/>
      <c r="H933" s="8"/>
      <c r="K933" s="6"/>
      <c r="L933" s="6"/>
      <c r="M933" s="6"/>
      <c r="N933" s="6"/>
      <c r="O933" s="6"/>
      <c r="AJ933" s="6">
        <f t="shared" si="172"/>
        <v>1000</v>
      </c>
      <c r="AK933" s="5">
        <v>916</v>
      </c>
      <c r="AM933" s="2" t="str">
        <f t="shared" si="173"/>
        <v>0</v>
      </c>
      <c r="AN933" s="2" t="str">
        <f t="shared" si="174"/>
        <v>3E8</v>
      </c>
      <c r="AO933" s="2"/>
      <c r="AP933" s="2" t="str">
        <f t="shared" si="175"/>
        <v>03E8</v>
      </c>
    </row>
    <row r="934" spans="7:42" x14ac:dyDescent="0.2">
      <c r="G934" s="3"/>
      <c r="H934" s="8"/>
      <c r="K934" s="6"/>
      <c r="L934" s="6"/>
      <c r="M934" s="6"/>
      <c r="N934" s="6"/>
      <c r="O934" s="6"/>
      <c r="AJ934" s="6">
        <f t="shared" si="172"/>
        <v>1000</v>
      </c>
      <c r="AK934" s="5">
        <v>917</v>
      </c>
      <c r="AM934" s="2" t="str">
        <f t="shared" si="173"/>
        <v>0</v>
      </c>
      <c r="AN934" s="2" t="str">
        <f t="shared" si="174"/>
        <v>3E8</v>
      </c>
      <c r="AO934" s="2"/>
      <c r="AP934" s="2" t="str">
        <f t="shared" si="175"/>
        <v>03E8</v>
      </c>
    </row>
    <row r="935" spans="7:42" x14ac:dyDescent="0.2">
      <c r="G935" s="3"/>
      <c r="H935" s="8"/>
      <c r="K935" s="6"/>
      <c r="L935" s="6"/>
      <c r="M935" s="6"/>
      <c r="N935" s="6"/>
      <c r="O935" s="6"/>
      <c r="AJ935" s="6">
        <f t="shared" si="172"/>
        <v>1000</v>
      </c>
      <c r="AK935" s="5">
        <v>918</v>
      </c>
      <c r="AM935" s="2" t="str">
        <f t="shared" si="173"/>
        <v>0</v>
      </c>
      <c r="AN935" s="2" t="str">
        <f t="shared" si="174"/>
        <v>3E8</v>
      </c>
      <c r="AO935" s="2"/>
      <c r="AP935" s="2" t="str">
        <f t="shared" si="175"/>
        <v>03E8</v>
      </c>
    </row>
    <row r="936" spans="7:42" x14ac:dyDescent="0.2">
      <c r="G936" s="3"/>
      <c r="H936" s="8"/>
      <c r="K936" s="6"/>
      <c r="L936" s="6"/>
      <c r="M936" s="6"/>
      <c r="N936" s="6"/>
      <c r="O936" s="6"/>
      <c r="AJ936" s="6">
        <f t="shared" si="172"/>
        <v>1000</v>
      </c>
      <c r="AK936" s="5">
        <v>919</v>
      </c>
      <c r="AM936" s="2" t="str">
        <f t="shared" si="173"/>
        <v>0</v>
      </c>
      <c r="AN936" s="2" t="str">
        <f t="shared" si="174"/>
        <v>3E8</v>
      </c>
      <c r="AO936" s="2"/>
      <c r="AP936" s="2" t="str">
        <f t="shared" si="175"/>
        <v>03E8</v>
      </c>
    </row>
    <row r="937" spans="7:42" x14ac:dyDescent="0.2">
      <c r="G937" s="3"/>
      <c r="H937" s="8"/>
      <c r="K937" s="6"/>
      <c r="L937" s="6"/>
      <c r="M937" s="6"/>
      <c r="N937" s="6"/>
      <c r="O937" s="6"/>
      <c r="AJ937" s="6">
        <f t="shared" si="172"/>
        <v>1000</v>
      </c>
      <c r="AK937" s="5">
        <v>920</v>
      </c>
      <c r="AM937" s="2" t="str">
        <f t="shared" si="173"/>
        <v>0</v>
      </c>
      <c r="AN937" s="2" t="str">
        <f t="shared" si="174"/>
        <v>3E8</v>
      </c>
      <c r="AO937" s="2"/>
      <c r="AP937" s="2" t="str">
        <f t="shared" si="175"/>
        <v>03E8</v>
      </c>
    </row>
    <row r="938" spans="7:42" x14ac:dyDescent="0.2">
      <c r="G938" s="3"/>
      <c r="H938" s="8"/>
      <c r="K938" s="6"/>
      <c r="L938" s="6"/>
      <c r="M938" s="6"/>
      <c r="N938" s="6"/>
      <c r="O938" s="6"/>
      <c r="AJ938" s="6">
        <f t="shared" si="172"/>
        <v>1000</v>
      </c>
      <c r="AK938" s="5">
        <v>921</v>
      </c>
      <c r="AM938" s="2" t="str">
        <f t="shared" si="173"/>
        <v>0</v>
      </c>
      <c r="AN938" s="2" t="str">
        <f t="shared" si="174"/>
        <v>3E8</v>
      </c>
      <c r="AO938" s="2"/>
      <c r="AP938" s="2" t="str">
        <f t="shared" si="175"/>
        <v>03E8</v>
      </c>
    </row>
    <row r="939" spans="7:42" x14ac:dyDescent="0.2">
      <c r="G939" s="3"/>
      <c r="H939" s="8"/>
      <c r="K939" s="6"/>
      <c r="L939" s="6"/>
      <c r="M939" s="6"/>
      <c r="N939" s="6"/>
      <c r="O939" s="6"/>
      <c r="AJ939" s="6">
        <f t="shared" si="172"/>
        <v>1000</v>
      </c>
      <c r="AK939" s="5">
        <v>922</v>
      </c>
      <c r="AM939" s="2" t="str">
        <f t="shared" si="173"/>
        <v>0</v>
      </c>
      <c r="AN939" s="2" t="str">
        <f t="shared" si="174"/>
        <v>3E8</v>
      </c>
      <c r="AO939" s="2"/>
      <c r="AP939" s="2" t="str">
        <f t="shared" si="175"/>
        <v>03E8</v>
      </c>
    </row>
    <row r="940" spans="7:42" x14ac:dyDescent="0.2">
      <c r="G940" s="3"/>
      <c r="H940" s="8"/>
      <c r="K940" s="6"/>
      <c r="L940" s="6"/>
      <c r="M940" s="6"/>
      <c r="N940" s="6"/>
      <c r="O940" s="6"/>
      <c r="AJ940" s="6">
        <f t="shared" si="172"/>
        <v>1000</v>
      </c>
      <c r="AK940" s="5">
        <v>923</v>
      </c>
      <c r="AM940" s="2" t="str">
        <f t="shared" si="173"/>
        <v>0</v>
      </c>
      <c r="AN940" s="2" t="str">
        <f t="shared" si="174"/>
        <v>3E8</v>
      </c>
      <c r="AO940" s="2"/>
      <c r="AP940" s="2" t="str">
        <f t="shared" si="175"/>
        <v>03E8</v>
      </c>
    </row>
    <row r="941" spans="7:42" x14ac:dyDescent="0.2">
      <c r="G941" s="3"/>
      <c r="H941" s="8"/>
      <c r="K941" s="6"/>
      <c r="L941" s="6"/>
      <c r="M941" s="6"/>
      <c r="N941" s="6"/>
      <c r="O941" s="6"/>
      <c r="AJ941" s="6">
        <f t="shared" si="172"/>
        <v>1000</v>
      </c>
      <c r="AK941" s="5">
        <v>924</v>
      </c>
      <c r="AM941" s="2" t="str">
        <f t="shared" si="173"/>
        <v>0</v>
      </c>
      <c r="AN941" s="2" t="str">
        <f t="shared" si="174"/>
        <v>3E8</v>
      </c>
      <c r="AO941" s="2"/>
      <c r="AP941" s="2" t="str">
        <f t="shared" si="175"/>
        <v>03E8</v>
      </c>
    </row>
    <row r="942" spans="7:42" x14ac:dyDescent="0.2">
      <c r="G942" s="3"/>
      <c r="H942" s="8"/>
      <c r="K942" s="6"/>
      <c r="L942" s="6"/>
      <c r="M942" s="6"/>
      <c r="N942" s="6"/>
      <c r="O942" s="6"/>
      <c r="AJ942" s="6">
        <f t="shared" si="172"/>
        <v>1000</v>
      </c>
      <c r="AK942" s="5">
        <v>925</v>
      </c>
      <c r="AM942" s="2" t="str">
        <f t="shared" si="173"/>
        <v>0</v>
      </c>
      <c r="AN942" s="2" t="str">
        <f t="shared" si="174"/>
        <v>3E8</v>
      </c>
      <c r="AO942" s="2"/>
      <c r="AP942" s="2" t="str">
        <f t="shared" si="175"/>
        <v>03E8</v>
      </c>
    </row>
    <row r="943" spans="7:42" x14ac:dyDescent="0.2">
      <c r="G943" s="3"/>
      <c r="H943" s="8"/>
      <c r="K943" s="6"/>
      <c r="L943" s="6"/>
      <c r="M943" s="6"/>
      <c r="N943" s="6"/>
      <c r="O943" s="6"/>
      <c r="AJ943" s="6">
        <f t="shared" si="172"/>
        <v>1000</v>
      </c>
      <c r="AK943" s="5">
        <v>926</v>
      </c>
      <c r="AM943" s="2" t="str">
        <f t="shared" si="173"/>
        <v>0</v>
      </c>
      <c r="AN943" s="2" t="str">
        <f t="shared" si="174"/>
        <v>3E8</v>
      </c>
      <c r="AO943" s="2"/>
      <c r="AP943" s="2" t="str">
        <f t="shared" si="175"/>
        <v>03E8</v>
      </c>
    </row>
    <row r="944" spans="7:42" x14ac:dyDescent="0.2">
      <c r="G944" s="3"/>
      <c r="H944" s="8"/>
      <c r="K944" s="6"/>
      <c r="L944" s="6"/>
      <c r="M944" s="6"/>
      <c r="N944" s="6"/>
      <c r="O944" s="6"/>
      <c r="AJ944" s="6">
        <f t="shared" si="172"/>
        <v>1000</v>
      </c>
      <c r="AK944" s="5">
        <v>927</v>
      </c>
      <c r="AM944" s="2" t="str">
        <f t="shared" si="173"/>
        <v>0</v>
      </c>
      <c r="AN944" s="2" t="str">
        <f t="shared" si="174"/>
        <v>3E8</v>
      </c>
      <c r="AO944" s="2"/>
      <c r="AP944" s="2" t="str">
        <f t="shared" si="175"/>
        <v>03E8</v>
      </c>
    </row>
    <row r="945" spans="7:42" x14ac:dyDescent="0.2">
      <c r="G945" s="3"/>
      <c r="H945" s="8"/>
      <c r="K945" s="6"/>
      <c r="L945" s="6"/>
      <c r="M945" s="6"/>
      <c r="N945" s="6"/>
      <c r="O945" s="6"/>
      <c r="AJ945" s="6">
        <f t="shared" si="172"/>
        <v>1000</v>
      </c>
      <c r="AK945" s="5">
        <v>928</v>
      </c>
      <c r="AM945" s="2" t="str">
        <f t="shared" si="173"/>
        <v>0</v>
      </c>
      <c r="AN945" s="2" t="str">
        <f t="shared" si="174"/>
        <v>3E8</v>
      </c>
      <c r="AO945" s="2"/>
      <c r="AP945" s="2" t="str">
        <f t="shared" si="175"/>
        <v>03E8</v>
      </c>
    </row>
    <row r="946" spans="7:42" x14ac:dyDescent="0.2">
      <c r="G946" s="3"/>
      <c r="H946" s="8"/>
      <c r="K946" s="6"/>
      <c r="L946" s="6"/>
      <c r="M946" s="6"/>
      <c r="N946" s="6"/>
      <c r="O946" s="6"/>
      <c r="AJ946" s="6">
        <f t="shared" si="172"/>
        <v>1000</v>
      </c>
      <c r="AK946" s="5">
        <v>929</v>
      </c>
      <c r="AM946" s="2" t="str">
        <f t="shared" si="173"/>
        <v>0</v>
      </c>
      <c r="AN946" s="2" t="str">
        <f t="shared" si="174"/>
        <v>3E8</v>
      </c>
      <c r="AO946" s="2"/>
      <c r="AP946" s="2" t="str">
        <f t="shared" si="175"/>
        <v>03E8</v>
      </c>
    </row>
    <row r="947" spans="7:42" x14ac:dyDescent="0.2">
      <c r="G947" s="3"/>
      <c r="H947" s="8"/>
      <c r="K947" s="6"/>
      <c r="L947" s="6"/>
      <c r="M947" s="6"/>
      <c r="N947" s="6"/>
      <c r="O947" s="6"/>
      <c r="AJ947" s="6">
        <f t="shared" si="172"/>
        <v>1000</v>
      </c>
      <c r="AK947" s="5">
        <v>930</v>
      </c>
      <c r="AM947" s="2" t="str">
        <f t="shared" si="173"/>
        <v>0</v>
      </c>
      <c r="AN947" s="2" t="str">
        <f t="shared" si="174"/>
        <v>3E8</v>
      </c>
      <c r="AO947" s="2"/>
      <c r="AP947" s="2" t="str">
        <f t="shared" si="175"/>
        <v>03E8</v>
      </c>
    </row>
    <row r="948" spans="7:42" x14ac:dyDescent="0.2">
      <c r="G948" s="3"/>
      <c r="H948" s="8"/>
      <c r="K948" s="6"/>
      <c r="L948" s="6"/>
      <c r="M948" s="6"/>
      <c r="N948" s="6"/>
      <c r="O948" s="6"/>
      <c r="AJ948" s="6">
        <f t="shared" si="172"/>
        <v>1000</v>
      </c>
      <c r="AK948" s="5">
        <v>931</v>
      </c>
      <c r="AM948" s="2" t="str">
        <f t="shared" si="173"/>
        <v>0</v>
      </c>
      <c r="AN948" s="2" t="str">
        <f t="shared" si="174"/>
        <v>3E8</v>
      </c>
      <c r="AO948" s="2"/>
      <c r="AP948" s="2" t="str">
        <f t="shared" si="175"/>
        <v>03E8</v>
      </c>
    </row>
    <row r="949" spans="7:42" x14ac:dyDescent="0.2">
      <c r="G949" s="3"/>
      <c r="H949" s="8"/>
      <c r="K949" s="6"/>
      <c r="L949" s="6"/>
      <c r="M949" s="6"/>
      <c r="N949" s="6"/>
      <c r="O949" s="6"/>
      <c r="AJ949" s="6">
        <f t="shared" si="172"/>
        <v>1000</v>
      </c>
      <c r="AK949" s="5">
        <v>932</v>
      </c>
      <c r="AM949" s="2" t="str">
        <f t="shared" si="173"/>
        <v>0</v>
      </c>
      <c r="AN949" s="2" t="str">
        <f t="shared" si="174"/>
        <v>3E8</v>
      </c>
      <c r="AO949" s="2"/>
      <c r="AP949" s="2" t="str">
        <f t="shared" si="175"/>
        <v>03E8</v>
      </c>
    </row>
    <row r="950" spans="7:42" x14ac:dyDescent="0.2">
      <c r="G950" s="3"/>
      <c r="H950" s="8"/>
      <c r="K950" s="6"/>
      <c r="L950" s="6"/>
      <c r="M950" s="6"/>
      <c r="N950" s="6"/>
      <c r="O950" s="6"/>
      <c r="AJ950" s="6">
        <f t="shared" si="172"/>
        <v>1000</v>
      </c>
      <c r="AK950" s="5">
        <v>933</v>
      </c>
      <c r="AM950" s="2" t="str">
        <f t="shared" si="173"/>
        <v>0</v>
      </c>
      <c r="AN950" s="2" t="str">
        <f t="shared" si="174"/>
        <v>3E8</v>
      </c>
      <c r="AO950" s="2"/>
      <c r="AP950" s="2" t="str">
        <f t="shared" si="175"/>
        <v>03E8</v>
      </c>
    </row>
    <row r="951" spans="7:42" x14ac:dyDescent="0.2">
      <c r="G951" s="3"/>
      <c r="H951" s="8"/>
      <c r="K951" s="6"/>
      <c r="L951" s="6"/>
      <c r="M951" s="6"/>
      <c r="N951" s="6"/>
      <c r="O951" s="6"/>
      <c r="AJ951" s="6">
        <f t="shared" si="172"/>
        <v>1000</v>
      </c>
      <c r="AK951" s="5">
        <v>934</v>
      </c>
      <c r="AM951" s="2" t="str">
        <f t="shared" si="173"/>
        <v>0</v>
      </c>
      <c r="AN951" s="2" t="str">
        <f t="shared" si="174"/>
        <v>3E8</v>
      </c>
      <c r="AO951" s="2"/>
      <c r="AP951" s="2" t="str">
        <f t="shared" si="175"/>
        <v>03E8</v>
      </c>
    </row>
    <row r="952" spans="7:42" x14ac:dyDescent="0.2">
      <c r="G952" s="3"/>
      <c r="H952" s="8"/>
      <c r="K952" s="6"/>
      <c r="L952" s="6"/>
      <c r="M952" s="6"/>
      <c r="N952" s="6"/>
      <c r="O952" s="6"/>
      <c r="AJ952" s="6">
        <f t="shared" si="172"/>
        <v>1000</v>
      </c>
      <c r="AK952" s="5">
        <v>935</v>
      </c>
      <c r="AM952" s="2" t="str">
        <f t="shared" si="173"/>
        <v>0</v>
      </c>
      <c r="AN952" s="2" t="str">
        <f t="shared" si="174"/>
        <v>3E8</v>
      </c>
      <c r="AO952" s="2"/>
      <c r="AP952" s="2" t="str">
        <f t="shared" si="175"/>
        <v>03E8</v>
      </c>
    </row>
    <row r="953" spans="7:42" x14ac:dyDescent="0.2">
      <c r="G953" s="3"/>
      <c r="H953" s="8"/>
      <c r="K953" s="6"/>
      <c r="L953" s="6"/>
      <c r="M953" s="6"/>
      <c r="N953" s="6"/>
      <c r="O953" s="6"/>
      <c r="AJ953" s="6">
        <f t="shared" si="172"/>
        <v>1000</v>
      </c>
      <c r="AK953" s="5">
        <v>936</v>
      </c>
      <c r="AM953" s="2" t="str">
        <f t="shared" si="173"/>
        <v>0</v>
      </c>
      <c r="AN953" s="2" t="str">
        <f t="shared" si="174"/>
        <v>3E8</v>
      </c>
      <c r="AO953" s="2"/>
      <c r="AP953" s="2" t="str">
        <f t="shared" si="175"/>
        <v>03E8</v>
      </c>
    </row>
    <row r="954" spans="7:42" x14ac:dyDescent="0.2">
      <c r="G954" s="3"/>
      <c r="H954" s="8"/>
      <c r="K954" s="6"/>
      <c r="L954" s="6"/>
      <c r="M954" s="6"/>
      <c r="N954" s="6"/>
      <c r="O954" s="6"/>
      <c r="AJ954" s="6">
        <f t="shared" si="172"/>
        <v>1000</v>
      </c>
      <c r="AK954" s="5">
        <v>937</v>
      </c>
      <c r="AM954" s="2" t="str">
        <f t="shared" si="173"/>
        <v>0</v>
      </c>
      <c r="AN954" s="2" t="str">
        <f t="shared" si="174"/>
        <v>3E8</v>
      </c>
      <c r="AO954" s="2"/>
      <c r="AP954" s="2" t="str">
        <f t="shared" si="175"/>
        <v>03E8</v>
      </c>
    </row>
    <row r="955" spans="7:42" x14ac:dyDescent="0.2">
      <c r="G955" s="3"/>
      <c r="H955" s="8"/>
      <c r="K955" s="6"/>
      <c r="L955" s="6"/>
      <c r="M955" s="6"/>
      <c r="N955" s="6"/>
      <c r="O955" s="6"/>
      <c r="AJ955" s="6">
        <f t="shared" si="172"/>
        <v>1000</v>
      </c>
      <c r="AK955" s="5">
        <v>938</v>
      </c>
      <c r="AM955" s="2" t="str">
        <f t="shared" si="173"/>
        <v>0</v>
      </c>
      <c r="AN955" s="2" t="str">
        <f t="shared" si="174"/>
        <v>3E8</v>
      </c>
      <c r="AO955" s="2"/>
      <c r="AP955" s="2" t="str">
        <f t="shared" si="175"/>
        <v>03E8</v>
      </c>
    </row>
    <row r="956" spans="7:42" x14ac:dyDescent="0.2">
      <c r="G956" s="3"/>
      <c r="H956" s="8"/>
      <c r="K956" s="6"/>
      <c r="L956" s="6"/>
      <c r="M956" s="6"/>
      <c r="N956" s="6"/>
      <c r="O956" s="6"/>
      <c r="AJ956" s="6">
        <f t="shared" si="172"/>
        <v>1000</v>
      </c>
      <c r="AK956" s="5">
        <v>939</v>
      </c>
      <c r="AM956" s="2" t="str">
        <f t="shared" si="173"/>
        <v>0</v>
      </c>
      <c r="AN956" s="2" t="str">
        <f t="shared" si="174"/>
        <v>3E8</v>
      </c>
      <c r="AO956" s="2"/>
      <c r="AP956" s="2" t="str">
        <f t="shared" si="175"/>
        <v>03E8</v>
      </c>
    </row>
    <row r="957" spans="7:42" x14ac:dyDescent="0.2">
      <c r="G957" s="3"/>
      <c r="H957" s="8"/>
      <c r="K957" s="6"/>
      <c r="L957" s="6"/>
      <c r="M957" s="6"/>
      <c r="N957" s="6"/>
      <c r="O957" s="6"/>
      <c r="AJ957" s="6">
        <f t="shared" si="172"/>
        <v>1000</v>
      </c>
      <c r="AK957" s="5">
        <v>940</v>
      </c>
      <c r="AM957" s="2" t="str">
        <f t="shared" si="173"/>
        <v>0</v>
      </c>
      <c r="AN957" s="2" t="str">
        <f t="shared" si="174"/>
        <v>3E8</v>
      </c>
      <c r="AO957" s="2"/>
      <c r="AP957" s="2" t="str">
        <f t="shared" si="175"/>
        <v>03E8</v>
      </c>
    </row>
    <row r="958" spans="7:42" x14ac:dyDescent="0.2">
      <c r="G958" s="3"/>
      <c r="H958" s="8"/>
      <c r="K958" s="6"/>
      <c r="L958" s="6"/>
      <c r="M958" s="6"/>
      <c r="N958" s="6"/>
      <c r="O958" s="6"/>
      <c r="AJ958" s="6">
        <f t="shared" si="172"/>
        <v>1000</v>
      </c>
      <c r="AK958" s="5">
        <v>941</v>
      </c>
      <c r="AM958" s="2" t="str">
        <f t="shared" si="173"/>
        <v>0</v>
      </c>
      <c r="AN958" s="2" t="str">
        <f t="shared" si="174"/>
        <v>3E8</v>
      </c>
      <c r="AO958" s="2"/>
      <c r="AP958" s="2" t="str">
        <f t="shared" si="175"/>
        <v>03E8</v>
      </c>
    </row>
    <row r="959" spans="7:42" x14ac:dyDescent="0.2">
      <c r="G959" s="3"/>
      <c r="H959" s="8"/>
      <c r="K959" s="6"/>
      <c r="L959" s="6"/>
      <c r="M959" s="6"/>
      <c r="N959" s="6"/>
      <c r="O959" s="6"/>
      <c r="AJ959" s="6">
        <f t="shared" si="172"/>
        <v>1000</v>
      </c>
      <c r="AK959" s="5">
        <v>942</v>
      </c>
      <c r="AM959" s="2" t="str">
        <f t="shared" si="173"/>
        <v>0</v>
      </c>
      <c r="AN959" s="2" t="str">
        <f t="shared" si="174"/>
        <v>3E8</v>
      </c>
      <c r="AO959" s="2"/>
      <c r="AP959" s="2" t="str">
        <f t="shared" si="175"/>
        <v>03E8</v>
      </c>
    </row>
    <row r="960" spans="7:42" x14ac:dyDescent="0.2">
      <c r="G960" s="3"/>
      <c r="H960" s="8"/>
      <c r="K960" s="6"/>
      <c r="L960" s="6"/>
      <c r="M960" s="6"/>
      <c r="N960" s="6"/>
      <c r="O960" s="6"/>
      <c r="AJ960" s="6">
        <f t="shared" si="172"/>
        <v>1000</v>
      </c>
      <c r="AK960" s="5">
        <v>943</v>
      </c>
      <c r="AM960" s="2" t="str">
        <f t="shared" si="173"/>
        <v>0</v>
      </c>
      <c r="AN960" s="2" t="str">
        <f t="shared" si="174"/>
        <v>3E8</v>
      </c>
      <c r="AO960" s="2"/>
      <c r="AP960" s="2" t="str">
        <f t="shared" si="175"/>
        <v>03E8</v>
      </c>
    </row>
    <row r="961" spans="7:42" x14ac:dyDescent="0.2">
      <c r="G961" s="3"/>
      <c r="H961" s="8"/>
      <c r="K961" s="6"/>
      <c r="L961" s="6"/>
      <c r="M961" s="6"/>
      <c r="N961" s="6"/>
      <c r="O961" s="6"/>
      <c r="AJ961" s="6">
        <f t="shared" si="172"/>
        <v>1000</v>
      </c>
      <c r="AK961" s="5">
        <v>944</v>
      </c>
      <c r="AM961" s="2" t="str">
        <f t="shared" si="173"/>
        <v>0</v>
      </c>
      <c r="AN961" s="2" t="str">
        <f t="shared" si="174"/>
        <v>3E8</v>
      </c>
      <c r="AO961" s="2"/>
      <c r="AP961" s="2" t="str">
        <f t="shared" si="175"/>
        <v>03E8</v>
      </c>
    </row>
    <row r="962" spans="7:42" x14ac:dyDescent="0.2">
      <c r="G962" s="3"/>
      <c r="H962" s="8"/>
      <c r="K962" s="6"/>
      <c r="L962" s="6"/>
      <c r="M962" s="6"/>
      <c r="N962" s="6"/>
      <c r="O962" s="6"/>
      <c r="AJ962" s="6">
        <f t="shared" si="172"/>
        <v>1000</v>
      </c>
      <c r="AK962" s="5">
        <v>945</v>
      </c>
      <c r="AM962" s="2" t="str">
        <f t="shared" si="173"/>
        <v>0</v>
      </c>
      <c r="AN962" s="2" t="str">
        <f t="shared" si="174"/>
        <v>3E8</v>
      </c>
      <c r="AO962" s="2"/>
      <c r="AP962" s="2" t="str">
        <f t="shared" si="175"/>
        <v>03E8</v>
      </c>
    </row>
    <row r="963" spans="7:42" x14ac:dyDescent="0.2">
      <c r="G963" s="3"/>
      <c r="H963" s="8"/>
      <c r="K963" s="6"/>
      <c r="L963" s="6"/>
      <c r="M963" s="6"/>
      <c r="N963" s="6"/>
      <c r="O963" s="6"/>
      <c r="AJ963" s="6">
        <f t="shared" si="172"/>
        <v>1000</v>
      </c>
      <c r="AK963" s="5">
        <v>946</v>
      </c>
      <c r="AM963" s="2" t="str">
        <f t="shared" si="173"/>
        <v>0</v>
      </c>
      <c r="AN963" s="2" t="str">
        <f t="shared" si="174"/>
        <v>3E8</v>
      </c>
      <c r="AO963" s="2"/>
      <c r="AP963" s="2" t="str">
        <f t="shared" si="175"/>
        <v>03E8</v>
      </c>
    </row>
    <row r="964" spans="7:42" x14ac:dyDescent="0.2">
      <c r="G964" s="3"/>
      <c r="H964" s="8"/>
      <c r="K964" s="6"/>
      <c r="L964" s="6"/>
      <c r="M964" s="6"/>
      <c r="N964" s="6"/>
      <c r="O964" s="6"/>
      <c r="AJ964" s="6">
        <f t="shared" si="172"/>
        <v>1000</v>
      </c>
      <c r="AK964" s="5">
        <v>947</v>
      </c>
      <c r="AM964" s="2" t="str">
        <f t="shared" si="173"/>
        <v>0</v>
      </c>
      <c r="AN964" s="2" t="str">
        <f t="shared" si="174"/>
        <v>3E8</v>
      </c>
      <c r="AO964" s="2"/>
      <c r="AP964" s="2" t="str">
        <f t="shared" si="175"/>
        <v>03E8</v>
      </c>
    </row>
    <row r="965" spans="7:42" x14ac:dyDescent="0.2">
      <c r="G965" s="3"/>
      <c r="H965" s="8"/>
      <c r="K965" s="6"/>
      <c r="L965" s="6"/>
      <c r="M965" s="6"/>
      <c r="N965" s="6"/>
      <c r="O965" s="6"/>
      <c r="AJ965" s="6">
        <f t="shared" si="172"/>
        <v>1000</v>
      </c>
      <c r="AK965" s="5">
        <v>948</v>
      </c>
      <c r="AM965" s="2" t="str">
        <f t="shared" si="173"/>
        <v>0</v>
      </c>
      <c r="AN965" s="2" t="str">
        <f t="shared" si="174"/>
        <v>3E8</v>
      </c>
      <c r="AO965" s="2"/>
      <c r="AP965" s="2" t="str">
        <f t="shared" si="175"/>
        <v>03E8</v>
      </c>
    </row>
    <row r="966" spans="7:42" x14ac:dyDescent="0.2">
      <c r="G966" s="3"/>
      <c r="H966" s="8"/>
      <c r="K966" s="6"/>
      <c r="L966" s="6"/>
      <c r="M966" s="6"/>
      <c r="N966" s="6"/>
      <c r="O966" s="6"/>
      <c r="AJ966" s="6">
        <f t="shared" si="172"/>
        <v>1000</v>
      </c>
      <c r="AK966" s="5">
        <v>949</v>
      </c>
      <c r="AM966" s="2" t="str">
        <f t="shared" si="173"/>
        <v>0</v>
      </c>
      <c r="AN966" s="2" t="str">
        <f t="shared" si="174"/>
        <v>3E8</v>
      </c>
      <c r="AO966" s="2"/>
      <c r="AP966" s="2" t="str">
        <f t="shared" si="175"/>
        <v>03E8</v>
      </c>
    </row>
    <row r="967" spans="7:42" x14ac:dyDescent="0.2">
      <c r="G967" s="3"/>
      <c r="H967" s="8"/>
      <c r="K967" s="6"/>
      <c r="L967" s="6"/>
      <c r="M967" s="6"/>
      <c r="N967" s="6"/>
      <c r="O967" s="6"/>
      <c r="AJ967" s="6">
        <f t="shared" si="172"/>
        <v>1000</v>
      </c>
      <c r="AK967" s="5">
        <v>950</v>
      </c>
      <c r="AM967" s="2" t="str">
        <f t="shared" si="173"/>
        <v>0</v>
      </c>
      <c r="AN967" s="2" t="str">
        <f t="shared" si="174"/>
        <v>3E8</v>
      </c>
      <c r="AO967" s="2"/>
      <c r="AP967" s="2" t="str">
        <f t="shared" si="175"/>
        <v>03E8</v>
      </c>
    </row>
    <row r="968" spans="7:42" x14ac:dyDescent="0.2">
      <c r="G968" s="3"/>
      <c r="H968" s="8"/>
      <c r="K968" s="6"/>
      <c r="L968" s="6"/>
      <c r="M968" s="6"/>
      <c r="N968" s="6"/>
      <c r="O968" s="6"/>
      <c r="AJ968" s="6">
        <f t="shared" si="172"/>
        <v>1000</v>
      </c>
      <c r="AK968" s="5">
        <v>951</v>
      </c>
      <c r="AM968" s="2" t="str">
        <f t="shared" si="173"/>
        <v>0</v>
      </c>
      <c r="AN968" s="2" t="str">
        <f t="shared" si="174"/>
        <v>3E8</v>
      </c>
      <c r="AO968" s="2"/>
      <c r="AP968" s="2" t="str">
        <f t="shared" si="175"/>
        <v>03E8</v>
      </c>
    </row>
    <row r="969" spans="7:42" x14ac:dyDescent="0.2">
      <c r="G969" s="3"/>
      <c r="H969" s="8"/>
      <c r="K969" s="6"/>
      <c r="L969" s="6"/>
      <c r="M969" s="6"/>
      <c r="N969" s="6"/>
      <c r="O969" s="6"/>
      <c r="AJ969" s="6">
        <f t="shared" si="172"/>
        <v>1000</v>
      </c>
      <c r="AK969" s="5">
        <v>952</v>
      </c>
      <c r="AM969" s="2" t="str">
        <f t="shared" si="173"/>
        <v>0</v>
      </c>
      <c r="AN969" s="2" t="str">
        <f t="shared" si="174"/>
        <v>3E8</v>
      </c>
      <c r="AO969" s="2"/>
      <c r="AP969" s="2" t="str">
        <f t="shared" si="175"/>
        <v>03E8</v>
      </c>
    </row>
    <row r="970" spans="7:42" x14ac:dyDescent="0.2">
      <c r="G970" s="3"/>
      <c r="H970" s="8"/>
      <c r="K970" s="6"/>
      <c r="L970" s="6"/>
      <c r="M970" s="6"/>
      <c r="N970" s="6"/>
      <c r="O970" s="6"/>
      <c r="AJ970" s="6">
        <f t="shared" si="172"/>
        <v>1000</v>
      </c>
      <c r="AK970" s="5">
        <v>953</v>
      </c>
      <c r="AM970" s="2" t="str">
        <f t="shared" si="173"/>
        <v>0</v>
      </c>
      <c r="AN970" s="2" t="str">
        <f t="shared" si="174"/>
        <v>3E8</v>
      </c>
      <c r="AO970" s="2"/>
      <c r="AP970" s="2" t="str">
        <f t="shared" si="175"/>
        <v>03E8</v>
      </c>
    </row>
    <row r="971" spans="7:42" x14ac:dyDescent="0.2">
      <c r="G971" s="3"/>
      <c r="H971" s="8"/>
      <c r="K971" s="6"/>
      <c r="L971" s="6"/>
      <c r="M971" s="6"/>
      <c r="N971" s="6"/>
      <c r="O971" s="6"/>
      <c r="AJ971" s="6">
        <f t="shared" si="172"/>
        <v>1000</v>
      </c>
      <c r="AK971" s="5">
        <v>954</v>
      </c>
      <c r="AM971" s="2" t="str">
        <f t="shared" si="173"/>
        <v>0</v>
      </c>
      <c r="AN971" s="2" t="str">
        <f t="shared" si="174"/>
        <v>3E8</v>
      </c>
      <c r="AO971" s="2"/>
      <c r="AP971" s="2" t="str">
        <f t="shared" si="175"/>
        <v>03E8</v>
      </c>
    </row>
    <row r="972" spans="7:42" x14ac:dyDescent="0.2">
      <c r="G972" s="3"/>
      <c r="H972" s="8"/>
      <c r="K972" s="6"/>
      <c r="L972" s="6"/>
      <c r="M972" s="6"/>
      <c r="N972" s="6"/>
      <c r="O972" s="6"/>
      <c r="AJ972" s="6">
        <f t="shared" si="172"/>
        <v>1000</v>
      </c>
      <c r="AK972" s="5">
        <v>955</v>
      </c>
      <c r="AM972" s="2" t="str">
        <f t="shared" si="173"/>
        <v>0</v>
      </c>
      <c r="AN972" s="2" t="str">
        <f t="shared" si="174"/>
        <v>3E8</v>
      </c>
      <c r="AO972" s="2"/>
      <c r="AP972" s="2" t="str">
        <f t="shared" si="175"/>
        <v>03E8</v>
      </c>
    </row>
    <row r="973" spans="7:42" x14ac:dyDescent="0.2">
      <c r="G973" s="3"/>
      <c r="H973" s="8"/>
      <c r="K973" s="6"/>
      <c r="L973" s="6"/>
      <c r="M973" s="6"/>
      <c r="N973" s="6"/>
      <c r="O973" s="6"/>
      <c r="AJ973" s="6">
        <f t="shared" si="172"/>
        <v>1000</v>
      </c>
      <c r="AK973" s="5">
        <v>956</v>
      </c>
      <c r="AM973" s="2" t="str">
        <f t="shared" si="173"/>
        <v>0</v>
      </c>
      <c r="AN973" s="2" t="str">
        <f t="shared" si="174"/>
        <v>3E8</v>
      </c>
      <c r="AO973" s="2"/>
      <c r="AP973" s="2" t="str">
        <f t="shared" si="175"/>
        <v>03E8</v>
      </c>
    </row>
    <row r="974" spans="7:42" x14ac:dyDescent="0.2">
      <c r="G974" s="3"/>
      <c r="H974" s="8"/>
      <c r="K974" s="6"/>
      <c r="L974" s="6"/>
      <c r="M974" s="6"/>
      <c r="N974" s="6"/>
      <c r="O974" s="6"/>
      <c r="AJ974" s="6">
        <f t="shared" si="172"/>
        <v>1000</v>
      </c>
      <c r="AK974" s="5">
        <v>957</v>
      </c>
      <c r="AM974" s="2" t="str">
        <f t="shared" si="173"/>
        <v>0</v>
      </c>
      <c r="AN974" s="2" t="str">
        <f t="shared" si="174"/>
        <v>3E8</v>
      </c>
      <c r="AO974" s="2"/>
      <c r="AP974" s="2" t="str">
        <f t="shared" si="175"/>
        <v>03E8</v>
      </c>
    </row>
    <row r="975" spans="7:42" x14ac:dyDescent="0.2">
      <c r="G975" s="3"/>
      <c r="H975" s="8"/>
      <c r="K975" s="6"/>
      <c r="L975" s="6"/>
      <c r="M975" s="6"/>
      <c r="N975" s="6"/>
      <c r="O975" s="6"/>
      <c r="AJ975" s="6">
        <f t="shared" si="172"/>
        <v>1000</v>
      </c>
      <c r="AK975" s="5">
        <v>958</v>
      </c>
      <c r="AM975" s="2" t="str">
        <f t="shared" si="173"/>
        <v>0</v>
      </c>
      <c r="AN975" s="2" t="str">
        <f t="shared" si="174"/>
        <v>3E8</v>
      </c>
      <c r="AO975" s="2"/>
      <c r="AP975" s="2" t="str">
        <f t="shared" si="175"/>
        <v>03E8</v>
      </c>
    </row>
    <row r="976" spans="7:42" x14ac:dyDescent="0.2">
      <c r="G976" s="3"/>
      <c r="H976" s="8"/>
      <c r="K976" s="6"/>
      <c r="L976" s="6"/>
      <c r="M976" s="6"/>
      <c r="N976" s="6"/>
      <c r="O976" s="6"/>
      <c r="AJ976" s="6">
        <f t="shared" si="172"/>
        <v>1000</v>
      </c>
      <c r="AK976" s="5">
        <v>959</v>
      </c>
      <c r="AM976" s="2" t="str">
        <f t="shared" si="173"/>
        <v>0</v>
      </c>
      <c r="AN976" s="2" t="str">
        <f t="shared" si="174"/>
        <v>3E8</v>
      </c>
      <c r="AO976" s="2"/>
      <c r="AP976" s="2" t="str">
        <f t="shared" si="175"/>
        <v>03E8</v>
      </c>
    </row>
    <row r="977" spans="7:42" x14ac:dyDescent="0.2">
      <c r="G977" s="3"/>
      <c r="H977" s="8"/>
      <c r="K977" s="6"/>
      <c r="L977" s="6"/>
      <c r="M977" s="6"/>
      <c r="N977" s="6"/>
      <c r="O977" s="6"/>
      <c r="AJ977" s="6">
        <f t="shared" si="172"/>
        <v>1000</v>
      </c>
      <c r="AK977" s="5">
        <v>960</v>
      </c>
      <c r="AM977" s="2" t="str">
        <f t="shared" si="173"/>
        <v>0</v>
      </c>
      <c r="AN977" s="2" t="str">
        <f t="shared" si="174"/>
        <v>3E8</v>
      </c>
      <c r="AO977" s="2"/>
      <c r="AP977" s="2" t="str">
        <f t="shared" si="175"/>
        <v>03E8</v>
      </c>
    </row>
    <row r="978" spans="7:42" x14ac:dyDescent="0.2">
      <c r="G978" s="3"/>
      <c r="H978" s="8"/>
      <c r="K978" s="6"/>
      <c r="L978" s="6"/>
      <c r="M978" s="6"/>
      <c r="N978" s="6"/>
      <c r="O978" s="6"/>
      <c r="AJ978" s="6">
        <f t="shared" si="172"/>
        <v>1000</v>
      </c>
      <c r="AK978" s="5">
        <v>961</v>
      </c>
      <c r="AM978" s="2" t="str">
        <f t="shared" si="173"/>
        <v>0</v>
      </c>
      <c r="AN978" s="2" t="str">
        <f t="shared" si="174"/>
        <v>3E8</v>
      </c>
      <c r="AO978" s="2"/>
      <c r="AP978" s="2" t="str">
        <f t="shared" si="175"/>
        <v>03E8</v>
      </c>
    </row>
    <row r="979" spans="7:42" x14ac:dyDescent="0.2">
      <c r="G979" s="3"/>
      <c r="H979" s="8"/>
      <c r="K979" s="6"/>
      <c r="L979" s="6"/>
      <c r="M979" s="6"/>
      <c r="N979" s="6"/>
      <c r="O979" s="6"/>
      <c r="AJ979" s="6">
        <f t="shared" ref="AJ979:AJ1040" si="176">ROUNDDOWN(($O467*$O$16+$I$6*100)*10,0)</f>
        <v>1000</v>
      </c>
      <c r="AK979" s="5">
        <v>962</v>
      </c>
      <c r="AM979" s="2" t="str">
        <f t="shared" ref="AM979:AM1010" si="177">BIN2HEX(K467+10*L467+100*M467+1000*N467,1)</f>
        <v>0</v>
      </c>
      <c r="AN979" s="2" t="str">
        <f t="shared" si="174"/>
        <v>3E8</v>
      </c>
      <c r="AO979" s="2"/>
      <c r="AP979" s="2" t="str">
        <f t="shared" si="175"/>
        <v>03E8</v>
      </c>
    </row>
    <row r="980" spans="7:42" x14ac:dyDescent="0.2">
      <c r="G980" s="3"/>
      <c r="H980" s="8"/>
      <c r="K980" s="6"/>
      <c r="L980" s="6"/>
      <c r="M980" s="6"/>
      <c r="N980" s="6"/>
      <c r="O980" s="6"/>
      <c r="AJ980" s="6">
        <f t="shared" si="176"/>
        <v>1000</v>
      </c>
      <c r="AK980" s="5">
        <v>963</v>
      </c>
      <c r="AM980" s="2" t="str">
        <f t="shared" si="177"/>
        <v>0</v>
      </c>
      <c r="AN980" s="2" t="str">
        <f t="shared" si="174"/>
        <v>3E8</v>
      </c>
      <c r="AO980" s="2"/>
      <c r="AP980" s="2" t="str">
        <f t="shared" si="175"/>
        <v>03E8</v>
      </c>
    </row>
    <row r="981" spans="7:42" x14ac:dyDescent="0.2">
      <c r="G981" s="3"/>
      <c r="H981" s="8"/>
      <c r="K981" s="6"/>
      <c r="L981" s="6"/>
      <c r="M981" s="6"/>
      <c r="N981" s="6"/>
      <c r="O981" s="6"/>
      <c r="AJ981" s="6">
        <f t="shared" si="176"/>
        <v>1000</v>
      </c>
      <c r="AK981" s="5">
        <v>964</v>
      </c>
      <c r="AM981" s="2" t="str">
        <f t="shared" si="177"/>
        <v>0</v>
      </c>
      <c r="AN981" s="2" t="str">
        <f t="shared" si="174"/>
        <v>3E8</v>
      </c>
      <c r="AO981" s="2"/>
      <c r="AP981" s="2" t="str">
        <f t="shared" si="175"/>
        <v>03E8</v>
      </c>
    </row>
    <row r="982" spans="7:42" x14ac:dyDescent="0.2">
      <c r="G982" s="3"/>
      <c r="H982" s="8"/>
      <c r="K982" s="6"/>
      <c r="L982" s="6"/>
      <c r="M982" s="6"/>
      <c r="N982" s="6"/>
      <c r="O982" s="6"/>
      <c r="AJ982" s="6">
        <f t="shared" si="176"/>
        <v>1000</v>
      </c>
      <c r="AK982" s="5">
        <v>965</v>
      </c>
      <c r="AM982" s="2" t="str">
        <f t="shared" si="177"/>
        <v>0</v>
      </c>
      <c r="AN982" s="2" t="str">
        <f t="shared" si="174"/>
        <v>3E8</v>
      </c>
      <c r="AO982" s="2"/>
      <c r="AP982" s="2" t="str">
        <f t="shared" si="175"/>
        <v>03E8</v>
      </c>
    </row>
    <row r="983" spans="7:42" x14ac:dyDescent="0.2">
      <c r="G983" s="3"/>
      <c r="H983" s="8"/>
      <c r="K983" s="6"/>
      <c r="L983" s="6"/>
      <c r="M983" s="6"/>
      <c r="N983" s="6"/>
      <c r="O983" s="6"/>
      <c r="AJ983" s="6">
        <f t="shared" si="176"/>
        <v>1000</v>
      </c>
      <c r="AK983" s="5">
        <v>966</v>
      </c>
      <c r="AM983" s="2" t="str">
        <f t="shared" si="177"/>
        <v>0</v>
      </c>
      <c r="AN983" s="2" t="str">
        <f t="shared" si="174"/>
        <v>3E8</v>
      </c>
      <c r="AO983" s="2"/>
      <c r="AP983" s="2" t="str">
        <f t="shared" si="175"/>
        <v>03E8</v>
      </c>
    </row>
    <row r="984" spans="7:42" x14ac:dyDescent="0.2">
      <c r="G984" s="3"/>
      <c r="H984" s="8"/>
      <c r="K984" s="6"/>
      <c r="L984" s="6"/>
      <c r="M984" s="6"/>
      <c r="N984" s="6"/>
      <c r="O984" s="6"/>
      <c r="AJ984" s="6">
        <f t="shared" si="176"/>
        <v>1000</v>
      </c>
      <c r="AK984" s="5">
        <v>967</v>
      </c>
      <c r="AM984" s="2" t="str">
        <f t="shared" si="177"/>
        <v>0</v>
      </c>
      <c r="AN984" s="2" t="str">
        <f t="shared" si="174"/>
        <v>3E8</v>
      </c>
      <c r="AO984" s="2"/>
      <c r="AP984" s="2" t="str">
        <f t="shared" si="175"/>
        <v>03E8</v>
      </c>
    </row>
    <row r="985" spans="7:42" x14ac:dyDescent="0.2">
      <c r="G985" s="3"/>
      <c r="H985" s="8"/>
      <c r="K985" s="6"/>
      <c r="L985" s="6"/>
      <c r="M985" s="6"/>
      <c r="N985" s="6"/>
      <c r="O985" s="6"/>
      <c r="AJ985" s="6">
        <f t="shared" si="176"/>
        <v>1000</v>
      </c>
      <c r="AK985" s="5">
        <v>968</v>
      </c>
      <c r="AM985" s="2" t="str">
        <f t="shared" si="177"/>
        <v>0</v>
      </c>
      <c r="AN985" s="2" t="str">
        <f t="shared" si="174"/>
        <v>3E8</v>
      </c>
      <c r="AO985" s="2"/>
      <c r="AP985" s="2" t="str">
        <f t="shared" si="175"/>
        <v>03E8</v>
      </c>
    </row>
    <row r="986" spans="7:42" x14ac:dyDescent="0.2">
      <c r="G986" s="3"/>
      <c r="H986" s="8"/>
      <c r="K986" s="6"/>
      <c r="L986" s="6"/>
      <c r="M986" s="6"/>
      <c r="N986" s="6"/>
      <c r="O986" s="6"/>
      <c r="AJ986" s="6">
        <f t="shared" si="176"/>
        <v>1000</v>
      </c>
      <c r="AK986" s="5">
        <v>969</v>
      </c>
      <c r="AM986" s="2" t="str">
        <f t="shared" si="177"/>
        <v>0</v>
      </c>
      <c r="AN986" s="2" t="str">
        <f t="shared" si="174"/>
        <v>3E8</v>
      </c>
      <c r="AO986" s="2"/>
      <c r="AP986" s="2" t="str">
        <f t="shared" si="175"/>
        <v>03E8</v>
      </c>
    </row>
    <row r="987" spans="7:42" x14ac:dyDescent="0.2">
      <c r="G987" s="3"/>
      <c r="H987" s="8"/>
      <c r="K987" s="6"/>
      <c r="L987" s="6"/>
      <c r="M987" s="6"/>
      <c r="N987" s="6"/>
      <c r="O987" s="6"/>
      <c r="AJ987" s="6">
        <f t="shared" si="176"/>
        <v>1000</v>
      </c>
      <c r="AK987" s="5">
        <v>970</v>
      </c>
      <c r="AM987" s="2" t="str">
        <f t="shared" si="177"/>
        <v>0</v>
      </c>
      <c r="AN987" s="2" t="str">
        <f t="shared" si="174"/>
        <v>3E8</v>
      </c>
      <c r="AO987" s="2"/>
      <c r="AP987" s="2" t="str">
        <f t="shared" si="175"/>
        <v>03E8</v>
      </c>
    </row>
    <row r="988" spans="7:42" x14ac:dyDescent="0.2">
      <c r="G988" s="3"/>
      <c r="H988" s="8"/>
      <c r="K988" s="6"/>
      <c r="L988" s="6"/>
      <c r="M988" s="6"/>
      <c r="N988" s="6"/>
      <c r="O988" s="6"/>
      <c r="AJ988" s="6">
        <f t="shared" si="176"/>
        <v>1000</v>
      </c>
      <c r="AK988" s="5">
        <v>971</v>
      </c>
      <c r="AM988" s="2" t="str">
        <f t="shared" si="177"/>
        <v>0</v>
      </c>
      <c r="AN988" s="2" t="str">
        <f t="shared" si="174"/>
        <v>3E8</v>
      </c>
      <c r="AO988" s="2"/>
      <c r="AP988" s="2" t="str">
        <f t="shared" si="175"/>
        <v>03E8</v>
      </c>
    </row>
    <row r="989" spans="7:42" x14ac:dyDescent="0.2">
      <c r="G989" s="3"/>
      <c r="H989" s="8"/>
      <c r="K989" s="6"/>
      <c r="L989" s="6"/>
      <c r="M989" s="6"/>
      <c r="N989" s="6"/>
      <c r="O989" s="6"/>
      <c r="AJ989" s="6">
        <f t="shared" si="176"/>
        <v>1000</v>
      </c>
      <c r="AK989" s="5">
        <v>972</v>
      </c>
      <c r="AM989" s="2" t="str">
        <f t="shared" si="177"/>
        <v>0</v>
      </c>
      <c r="AN989" s="2" t="str">
        <f t="shared" si="174"/>
        <v>3E8</v>
      </c>
      <c r="AO989" s="2"/>
      <c r="AP989" s="2" t="str">
        <f t="shared" si="175"/>
        <v>03E8</v>
      </c>
    </row>
    <row r="990" spans="7:42" x14ac:dyDescent="0.2">
      <c r="G990" s="3"/>
      <c r="H990" s="8"/>
      <c r="K990" s="6"/>
      <c r="L990" s="6"/>
      <c r="M990" s="6"/>
      <c r="N990" s="6"/>
      <c r="O990" s="6"/>
      <c r="AJ990" s="6">
        <f t="shared" si="176"/>
        <v>1000</v>
      </c>
      <c r="AK990" s="5">
        <v>973</v>
      </c>
      <c r="AM990" s="2" t="str">
        <f t="shared" si="177"/>
        <v>0</v>
      </c>
      <c r="AN990" s="2" t="str">
        <f t="shared" si="174"/>
        <v>3E8</v>
      </c>
      <c r="AO990" s="2"/>
      <c r="AP990" s="2" t="str">
        <f t="shared" si="175"/>
        <v>03E8</v>
      </c>
    </row>
    <row r="991" spans="7:42" x14ac:dyDescent="0.2">
      <c r="G991" s="3"/>
      <c r="H991" s="8"/>
      <c r="K991" s="6"/>
      <c r="L991" s="6"/>
      <c r="M991" s="6"/>
      <c r="N991" s="6"/>
      <c r="O991" s="6"/>
      <c r="AJ991" s="6">
        <f t="shared" si="176"/>
        <v>1000</v>
      </c>
      <c r="AK991" s="5">
        <v>974</v>
      </c>
      <c r="AM991" s="2" t="str">
        <f t="shared" si="177"/>
        <v>0</v>
      </c>
      <c r="AN991" s="2" t="str">
        <f t="shared" si="174"/>
        <v>3E8</v>
      </c>
      <c r="AO991" s="2"/>
      <c r="AP991" s="2" t="str">
        <f t="shared" si="175"/>
        <v>03E8</v>
      </c>
    </row>
    <row r="992" spans="7:42" x14ac:dyDescent="0.2">
      <c r="G992" s="3"/>
      <c r="H992" s="8"/>
      <c r="K992" s="6"/>
      <c r="L992" s="6"/>
      <c r="M992" s="6"/>
      <c r="N992" s="6"/>
      <c r="O992" s="6"/>
      <c r="AJ992" s="6">
        <f t="shared" si="176"/>
        <v>1000</v>
      </c>
      <c r="AK992" s="5">
        <v>975</v>
      </c>
      <c r="AM992" s="2" t="str">
        <f t="shared" si="177"/>
        <v>0</v>
      </c>
      <c r="AN992" s="2" t="str">
        <f t="shared" ref="AN992:AN1055" si="178">DEC2HEX(AJ992,3)</f>
        <v>3E8</v>
      </c>
      <c r="AO992" s="2"/>
      <c r="AP992" s="2" t="str">
        <f t="shared" ref="AP992:AP1055" si="179">CONCATENATE(AM992,AN992)</f>
        <v>03E8</v>
      </c>
    </row>
    <row r="993" spans="7:42" x14ac:dyDescent="0.2">
      <c r="G993" s="3"/>
      <c r="H993" s="8"/>
      <c r="K993" s="6"/>
      <c r="L993" s="6"/>
      <c r="M993" s="6"/>
      <c r="N993" s="6"/>
      <c r="O993" s="6"/>
      <c r="AJ993" s="6">
        <f t="shared" si="176"/>
        <v>1000</v>
      </c>
      <c r="AK993" s="5">
        <v>976</v>
      </c>
      <c r="AM993" s="2" t="str">
        <f t="shared" si="177"/>
        <v>0</v>
      </c>
      <c r="AN993" s="2" t="str">
        <f t="shared" si="178"/>
        <v>3E8</v>
      </c>
      <c r="AO993" s="2"/>
      <c r="AP993" s="2" t="str">
        <f t="shared" si="179"/>
        <v>03E8</v>
      </c>
    </row>
    <row r="994" spans="7:42" x14ac:dyDescent="0.2">
      <c r="G994" s="3"/>
      <c r="H994" s="8"/>
      <c r="K994" s="6"/>
      <c r="L994" s="6"/>
      <c r="M994" s="6"/>
      <c r="N994" s="6"/>
      <c r="O994" s="6"/>
      <c r="AJ994" s="6">
        <f t="shared" si="176"/>
        <v>1000</v>
      </c>
      <c r="AK994" s="5">
        <v>977</v>
      </c>
      <c r="AM994" s="2" t="str">
        <f t="shared" si="177"/>
        <v>0</v>
      </c>
      <c r="AN994" s="2" t="str">
        <f t="shared" si="178"/>
        <v>3E8</v>
      </c>
      <c r="AO994" s="2"/>
      <c r="AP994" s="2" t="str">
        <f t="shared" si="179"/>
        <v>03E8</v>
      </c>
    </row>
    <row r="995" spans="7:42" x14ac:dyDescent="0.2">
      <c r="G995" s="3"/>
      <c r="H995" s="8"/>
      <c r="K995" s="6"/>
      <c r="L995" s="6"/>
      <c r="M995" s="6"/>
      <c r="N995" s="6"/>
      <c r="O995" s="6"/>
      <c r="AJ995" s="6">
        <f t="shared" si="176"/>
        <v>1000</v>
      </c>
      <c r="AK995" s="5">
        <v>978</v>
      </c>
      <c r="AM995" s="2" t="str">
        <f t="shared" si="177"/>
        <v>0</v>
      </c>
      <c r="AN995" s="2" t="str">
        <f t="shared" si="178"/>
        <v>3E8</v>
      </c>
      <c r="AO995" s="2"/>
      <c r="AP995" s="2" t="str">
        <f t="shared" si="179"/>
        <v>03E8</v>
      </c>
    </row>
    <row r="996" spans="7:42" x14ac:dyDescent="0.2">
      <c r="G996" s="3"/>
      <c r="H996" s="8"/>
      <c r="K996" s="6"/>
      <c r="L996" s="6"/>
      <c r="M996" s="6"/>
      <c r="N996" s="6"/>
      <c r="O996" s="6"/>
      <c r="AJ996" s="6">
        <f t="shared" si="176"/>
        <v>1000</v>
      </c>
      <c r="AK996" s="5">
        <v>979</v>
      </c>
      <c r="AM996" s="2" t="str">
        <f t="shared" si="177"/>
        <v>0</v>
      </c>
      <c r="AN996" s="2" t="str">
        <f t="shared" si="178"/>
        <v>3E8</v>
      </c>
      <c r="AO996" s="2"/>
      <c r="AP996" s="2" t="str">
        <f t="shared" si="179"/>
        <v>03E8</v>
      </c>
    </row>
    <row r="997" spans="7:42" x14ac:dyDescent="0.2">
      <c r="G997" s="3"/>
      <c r="H997" s="8"/>
      <c r="K997" s="6"/>
      <c r="L997" s="6"/>
      <c r="M997" s="6"/>
      <c r="N997" s="6"/>
      <c r="O997" s="6"/>
      <c r="AJ997" s="6">
        <f t="shared" si="176"/>
        <v>1000</v>
      </c>
      <c r="AK997" s="5">
        <v>980</v>
      </c>
      <c r="AM997" s="2" t="str">
        <f t="shared" si="177"/>
        <v>0</v>
      </c>
      <c r="AN997" s="2" t="str">
        <f t="shared" si="178"/>
        <v>3E8</v>
      </c>
      <c r="AO997" s="2"/>
      <c r="AP997" s="2" t="str">
        <f t="shared" si="179"/>
        <v>03E8</v>
      </c>
    </row>
    <row r="998" spans="7:42" x14ac:dyDescent="0.2">
      <c r="G998" s="3"/>
      <c r="H998" s="8"/>
      <c r="K998" s="6"/>
      <c r="L998" s="6"/>
      <c r="M998" s="6"/>
      <c r="N998" s="6"/>
      <c r="O998" s="6"/>
      <c r="AJ998" s="6">
        <f t="shared" si="176"/>
        <v>1000</v>
      </c>
      <c r="AK998" s="5">
        <v>981</v>
      </c>
      <c r="AM998" s="2" t="str">
        <f t="shared" si="177"/>
        <v>0</v>
      </c>
      <c r="AN998" s="2" t="str">
        <f t="shared" si="178"/>
        <v>3E8</v>
      </c>
      <c r="AO998" s="2"/>
      <c r="AP998" s="2" t="str">
        <f t="shared" si="179"/>
        <v>03E8</v>
      </c>
    </row>
    <row r="999" spans="7:42" x14ac:dyDescent="0.2">
      <c r="G999" s="3"/>
      <c r="H999" s="8"/>
      <c r="K999" s="6"/>
      <c r="L999" s="6"/>
      <c r="M999" s="6"/>
      <c r="N999" s="6"/>
      <c r="O999" s="6"/>
      <c r="AJ999" s="6">
        <f t="shared" si="176"/>
        <v>1000</v>
      </c>
      <c r="AK999" s="5">
        <v>982</v>
      </c>
      <c r="AM999" s="2" t="str">
        <f t="shared" si="177"/>
        <v>0</v>
      </c>
      <c r="AN999" s="2" t="str">
        <f t="shared" si="178"/>
        <v>3E8</v>
      </c>
      <c r="AO999" s="2"/>
      <c r="AP999" s="2" t="str">
        <f t="shared" si="179"/>
        <v>03E8</v>
      </c>
    </row>
    <row r="1000" spans="7:42" x14ac:dyDescent="0.2">
      <c r="G1000" s="3"/>
      <c r="H1000" s="8"/>
      <c r="K1000" s="6"/>
      <c r="L1000" s="6"/>
      <c r="M1000" s="6"/>
      <c r="N1000" s="6"/>
      <c r="O1000" s="6"/>
      <c r="AJ1000" s="6">
        <f t="shared" si="176"/>
        <v>1000</v>
      </c>
      <c r="AK1000" s="5">
        <v>983</v>
      </c>
      <c r="AM1000" s="2" t="str">
        <f t="shared" si="177"/>
        <v>0</v>
      </c>
      <c r="AN1000" s="2" t="str">
        <f t="shared" si="178"/>
        <v>3E8</v>
      </c>
      <c r="AO1000" s="2"/>
      <c r="AP1000" s="2" t="str">
        <f t="shared" si="179"/>
        <v>03E8</v>
      </c>
    </row>
    <row r="1001" spans="7:42" x14ac:dyDescent="0.2">
      <c r="G1001" s="3"/>
      <c r="H1001" s="8"/>
      <c r="K1001" s="6"/>
      <c r="L1001" s="6"/>
      <c r="M1001" s="6"/>
      <c r="N1001" s="6"/>
      <c r="O1001" s="6"/>
      <c r="AJ1001" s="6">
        <f t="shared" si="176"/>
        <v>1000</v>
      </c>
      <c r="AK1001" s="5">
        <v>984</v>
      </c>
      <c r="AM1001" s="2" t="str">
        <f t="shared" si="177"/>
        <v>0</v>
      </c>
      <c r="AN1001" s="2" t="str">
        <f t="shared" si="178"/>
        <v>3E8</v>
      </c>
      <c r="AO1001" s="2"/>
      <c r="AP1001" s="2" t="str">
        <f t="shared" si="179"/>
        <v>03E8</v>
      </c>
    </row>
    <row r="1002" spans="7:42" x14ac:dyDescent="0.2">
      <c r="G1002" s="3"/>
      <c r="H1002" s="8"/>
      <c r="K1002" s="6"/>
      <c r="L1002" s="6"/>
      <c r="M1002" s="6"/>
      <c r="N1002" s="6"/>
      <c r="O1002" s="6"/>
      <c r="AJ1002" s="6">
        <f t="shared" si="176"/>
        <v>1000</v>
      </c>
      <c r="AK1002" s="5">
        <v>985</v>
      </c>
      <c r="AM1002" s="2" t="str">
        <f t="shared" si="177"/>
        <v>0</v>
      </c>
      <c r="AN1002" s="2" t="str">
        <f t="shared" si="178"/>
        <v>3E8</v>
      </c>
      <c r="AO1002" s="2"/>
      <c r="AP1002" s="2" t="str">
        <f t="shared" si="179"/>
        <v>03E8</v>
      </c>
    </row>
    <row r="1003" spans="7:42" x14ac:dyDescent="0.2">
      <c r="G1003" s="3"/>
      <c r="H1003" s="8"/>
      <c r="K1003" s="6"/>
      <c r="L1003" s="6"/>
      <c r="M1003" s="6"/>
      <c r="N1003" s="6"/>
      <c r="O1003" s="6"/>
      <c r="AJ1003" s="6">
        <f t="shared" si="176"/>
        <v>1000</v>
      </c>
      <c r="AK1003" s="5">
        <v>986</v>
      </c>
      <c r="AM1003" s="2" t="str">
        <f t="shared" si="177"/>
        <v>0</v>
      </c>
      <c r="AN1003" s="2" t="str">
        <f t="shared" si="178"/>
        <v>3E8</v>
      </c>
      <c r="AO1003" s="2"/>
      <c r="AP1003" s="2" t="str">
        <f t="shared" si="179"/>
        <v>03E8</v>
      </c>
    </row>
    <row r="1004" spans="7:42" x14ac:dyDescent="0.2">
      <c r="G1004" s="3"/>
      <c r="H1004" s="8"/>
      <c r="K1004" s="6"/>
      <c r="L1004" s="6"/>
      <c r="M1004" s="6"/>
      <c r="N1004" s="6"/>
      <c r="O1004" s="6"/>
      <c r="AJ1004" s="6">
        <f t="shared" si="176"/>
        <v>1000</v>
      </c>
      <c r="AK1004" s="5">
        <v>987</v>
      </c>
      <c r="AM1004" s="2" t="str">
        <f t="shared" si="177"/>
        <v>0</v>
      </c>
      <c r="AN1004" s="2" t="str">
        <f t="shared" si="178"/>
        <v>3E8</v>
      </c>
      <c r="AO1004" s="2"/>
      <c r="AP1004" s="2" t="str">
        <f t="shared" si="179"/>
        <v>03E8</v>
      </c>
    </row>
    <row r="1005" spans="7:42" x14ac:dyDescent="0.2">
      <c r="G1005" s="3"/>
      <c r="H1005" s="8"/>
      <c r="K1005" s="6"/>
      <c r="L1005" s="6"/>
      <c r="M1005" s="6"/>
      <c r="N1005" s="6"/>
      <c r="O1005" s="6"/>
      <c r="AJ1005" s="6">
        <f t="shared" si="176"/>
        <v>1000</v>
      </c>
      <c r="AK1005" s="5">
        <v>988</v>
      </c>
      <c r="AM1005" s="2" t="str">
        <f t="shared" si="177"/>
        <v>0</v>
      </c>
      <c r="AN1005" s="2" t="str">
        <f t="shared" si="178"/>
        <v>3E8</v>
      </c>
      <c r="AO1005" s="2"/>
      <c r="AP1005" s="2" t="str">
        <f t="shared" si="179"/>
        <v>03E8</v>
      </c>
    </row>
    <row r="1006" spans="7:42" x14ac:dyDescent="0.2">
      <c r="G1006" s="3"/>
      <c r="H1006" s="8"/>
      <c r="K1006" s="6"/>
      <c r="L1006" s="6"/>
      <c r="M1006" s="6"/>
      <c r="N1006" s="6"/>
      <c r="O1006" s="6"/>
      <c r="AJ1006" s="6">
        <f t="shared" si="176"/>
        <v>1000</v>
      </c>
      <c r="AK1006" s="5">
        <v>989</v>
      </c>
      <c r="AM1006" s="2" t="str">
        <f t="shared" si="177"/>
        <v>0</v>
      </c>
      <c r="AN1006" s="2" t="str">
        <f t="shared" si="178"/>
        <v>3E8</v>
      </c>
      <c r="AO1006" s="2"/>
      <c r="AP1006" s="2" t="str">
        <f t="shared" si="179"/>
        <v>03E8</v>
      </c>
    </row>
    <row r="1007" spans="7:42" x14ac:dyDescent="0.2">
      <c r="G1007" s="3"/>
      <c r="H1007" s="8"/>
      <c r="K1007" s="6"/>
      <c r="L1007" s="6"/>
      <c r="M1007" s="6"/>
      <c r="N1007" s="6"/>
      <c r="O1007" s="6"/>
      <c r="AJ1007" s="6">
        <f t="shared" si="176"/>
        <v>1000</v>
      </c>
      <c r="AK1007" s="5">
        <v>990</v>
      </c>
      <c r="AM1007" s="2" t="str">
        <f t="shared" si="177"/>
        <v>0</v>
      </c>
      <c r="AN1007" s="2" t="str">
        <f t="shared" si="178"/>
        <v>3E8</v>
      </c>
      <c r="AO1007" s="2"/>
      <c r="AP1007" s="2" t="str">
        <f t="shared" si="179"/>
        <v>03E8</v>
      </c>
    </row>
    <row r="1008" spans="7:42" x14ac:dyDescent="0.2">
      <c r="G1008" s="3"/>
      <c r="H1008" s="8"/>
      <c r="K1008" s="6"/>
      <c r="L1008" s="6"/>
      <c r="M1008" s="6"/>
      <c r="N1008" s="6"/>
      <c r="O1008" s="6"/>
      <c r="AJ1008" s="6">
        <f t="shared" si="176"/>
        <v>1000</v>
      </c>
      <c r="AK1008" s="5">
        <v>991</v>
      </c>
      <c r="AM1008" s="2" t="str">
        <f t="shared" si="177"/>
        <v>0</v>
      </c>
      <c r="AN1008" s="2" t="str">
        <f t="shared" si="178"/>
        <v>3E8</v>
      </c>
      <c r="AO1008" s="2"/>
      <c r="AP1008" s="2" t="str">
        <f t="shared" si="179"/>
        <v>03E8</v>
      </c>
    </row>
    <row r="1009" spans="7:42" x14ac:dyDescent="0.2">
      <c r="G1009" s="3"/>
      <c r="H1009" s="8"/>
      <c r="K1009" s="6"/>
      <c r="L1009" s="6"/>
      <c r="M1009" s="6"/>
      <c r="N1009" s="6"/>
      <c r="O1009" s="6"/>
      <c r="AJ1009" s="6">
        <f t="shared" si="176"/>
        <v>1000</v>
      </c>
      <c r="AK1009" s="5">
        <v>992</v>
      </c>
      <c r="AM1009" s="2" t="str">
        <f t="shared" si="177"/>
        <v>0</v>
      </c>
      <c r="AN1009" s="2" t="str">
        <f t="shared" si="178"/>
        <v>3E8</v>
      </c>
      <c r="AO1009" s="2"/>
      <c r="AP1009" s="2" t="str">
        <f t="shared" si="179"/>
        <v>03E8</v>
      </c>
    </row>
    <row r="1010" spans="7:42" x14ac:dyDescent="0.2">
      <c r="G1010" s="3"/>
      <c r="H1010" s="8"/>
      <c r="K1010" s="6"/>
      <c r="L1010" s="6"/>
      <c r="M1010" s="6"/>
      <c r="N1010" s="6"/>
      <c r="O1010" s="6"/>
      <c r="AJ1010" s="6">
        <f t="shared" si="176"/>
        <v>1000</v>
      </c>
      <c r="AK1010" s="5">
        <v>993</v>
      </c>
      <c r="AM1010" s="2" t="str">
        <f t="shared" si="177"/>
        <v>0</v>
      </c>
      <c r="AN1010" s="2" t="str">
        <f t="shared" si="178"/>
        <v>3E8</v>
      </c>
      <c r="AO1010" s="2"/>
      <c r="AP1010" s="2" t="str">
        <f t="shared" si="179"/>
        <v>03E8</v>
      </c>
    </row>
    <row r="1011" spans="7:42" x14ac:dyDescent="0.2">
      <c r="G1011" s="3"/>
      <c r="H1011" s="8"/>
      <c r="K1011" s="6"/>
      <c r="L1011" s="6"/>
      <c r="M1011" s="6"/>
      <c r="N1011" s="6"/>
      <c r="O1011" s="6"/>
      <c r="AJ1011" s="6">
        <f t="shared" si="176"/>
        <v>1000</v>
      </c>
      <c r="AK1011" s="5">
        <v>994</v>
      </c>
      <c r="AM1011" s="2" t="str">
        <f t="shared" ref="AM1011:AM1041" si="180">BIN2HEX(K499+10*L499+100*M499+1000*N499,1)</f>
        <v>0</v>
      </c>
      <c r="AN1011" s="2" t="str">
        <f t="shared" si="178"/>
        <v>3E8</v>
      </c>
      <c r="AO1011" s="2"/>
      <c r="AP1011" s="2" t="str">
        <f t="shared" si="179"/>
        <v>03E8</v>
      </c>
    </row>
    <row r="1012" spans="7:42" x14ac:dyDescent="0.2">
      <c r="G1012" s="3"/>
      <c r="H1012" s="8"/>
      <c r="K1012" s="6"/>
      <c r="L1012" s="6"/>
      <c r="M1012" s="6"/>
      <c r="N1012" s="6"/>
      <c r="O1012" s="6"/>
      <c r="AJ1012" s="6">
        <f t="shared" si="176"/>
        <v>1000</v>
      </c>
      <c r="AK1012" s="5">
        <v>995</v>
      </c>
      <c r="AM1012" s="2" t="str">
        <f t="shared" si="180"/>
        <v>0</v>
      </c>
      <c r="AN1012" s="2" t="str">
        <f t="shared" si="178"/>
        <v>3E8</v>
      </c>
      <c r="AO1012" s="2"/>
      <c r="AP1012" s="2" t="str">
        <f t="shared" si="179"/>
        <v>03E8</v>
      </c>
    </row>
    <row r="1013" spans="7:42" x14ac:dyDescent="0.2">
      <c r="G1013" s="3"/>
      <c r="H1013" s="8"/>
      <c r="K1013" s="6"/>
      <c r="L1013" s="6"/>
      <c r="M1013" s="6"/>
      <c r="N1013" s="6"/>
      <c r="O1013" s="6"/>
      <c r="AJ1013" s="6">
        <f t="shared" si="176"/>
        <v>1000</v>
      </c>
      <c r="AK1013" s="5">
        <v>996</v>
      </c>
      <c r="AM1013" s="2" t="str">
        <f t="shared" si="180"/>
        <v>0</v>
      </c>
      <c r="AN1013" s="2" t="str">
        <f t="shared" si="178"/>
        <v>3E8</v>
      </c>
      <c r="AO1013" s="2"/>
      <c r="AP1013" s="2" t="str">
        <f t="shared" si="179"/>
        <v>03E8</v>
      </c>
    </row>
    <row r="1014" spans="7:42" x14ac:dyDescent="0.2">
      <c r="G1014" s="3"/>
      <c r="H1014" s="8"/>
      <c r="K1014" s="6"/>
      <c r="L1014" s="6"/>
      <c r="M1014" s="6"/>
      <c r="N1014" s="6"/>
      <c r="O1014" s="6"/>
      <c r="AJ1014" s="6">
        <f t="shared" si="176"/>
        <v>1000</v>
      </c>
      <c r="AK1014" s="5">
        <v>997</v>
      </c>
      <c r="AM1014" s="2" t="str">
        <f t="shared" si="180"/>
        <v>0</v>
      </c>
      <c r="AN1014" s="2" t="str">
        <f t="shared" si="178"/>
        <v>3E8</v>
      </c>
      <c r="AO1014" s="2"/>
      <c r="AP1014" s="2" t="str">
        <f t="shared" si="179"/>
        <v>03E8</v>
      </c>
    </row>
    <row r="1015" spans="7:42" x14ac:dyDescent="0.2">
      <c r="G1015" s="3"/>
      <c r="H1015" s="8"/>
      <c r="K1015" s="6"/>
      <c r="L1015" s="6"/>
      <c r="M1015" s="6"/>
      <c r="N1015" s="6"/>
      <c r="O1015" s="6"/>
      <c r="AJ1015" s="6">
        <f t="shared" si="176"/>
        <v>1000</v>
      </c>
      <c r="AK1015" s="5">
        <v>998</v>
      </c>
      <c r="AM1015" s="2" t="str">
        <f t="shared" si="180"/>
        <v>0</v>
      </c>
      <c r="AN1015" s="2" t="str">
        <f t="shared" si="178"/>
        <v>3E8</v>
      </c>
      <c r="AO1015" s="2"/>
      <c r="AP1015" s="2" t="str">
        <f t="shared" si="179"/>
        <v>03E8</v>
      </c>
    </row>
    <row r="1016" spans="7:42" x14ac:dyDescent="0.2">
      <c r="G1016" s="3"/>
      <c r="H1016" s="8"/>
      <c r="K1016" s="6"/>
      <c r="L1016" s="6"/>
      <c r="M1016" s="6"/>
      <c r="N1016" s="6"/>
      <c r="O1016" s="6"/>
      <c r="AJ1016" s="6">
        <f t="shared" si="176"/>
        <v>1000</v>
      </c>
      <c r="AK1016" s="5">
        <v>999</v>
      </c>
      <c r="AM1016" s="2" t="str">
        <f t="shared" si="180"/>
        <v>0</v>
      </c>
      <c r="AN1016" s="2" t="str">
        <f t="shared" si="178"/>
        <v>3E8</v>
      </c>
      <c r="AO1016" s="2"/>
      <c r="AP1016" s="2" t="str">
        <f t="shared" si="179"/>
        <v>03E8</v>
      </c>
    </row>
    <row r="1017" spans="7:42" x14ac:dyDescent="0.2">
      <c r="G1017" s="3"/>
      <c r="H1017" s="8"/>
      <c r="K1017" s="6"/>
      <c r="L1017" s="6"/>
      <c r="M1017" s="6"/>
      <c r="N1017" s="6"/>
      <c r="O1017" s="6"/>
      <c r="AJ1017" s="6">
        <f t="shared" si="176"/>
        <v>1000</v>
      </c>
      <c r="AK1017" s="5">
        <v>1000</v>
      </c>
      <c r="AM1017" s="2" t="str">
        <f t="shared" si="180"/>
        <v>0</v>
      </c>
      <c r="AN1017" s="2" t="str">
        <f t="shared" si="178"/>
        <v>3E8</v>
      </c>
      <c r="AO1017" s="2"/>
      <c r="AP1017" s="2" t="str">
        <f t="shared" si="179"/>
        <v>03E8</v>
      </c>
    </row>
    <row r="1018" spans="7:42" x14ac:dyDescent="0.2">
      <c r="G1018" s="3"/>
      <c r="H1018" s="8"/>
      <c r="K1018" s="6"/>
      <c r="L1018" s="6"/>
      <c r="M1018" s="6"/>
      <c r="N1018" s="6"/>
      <c r="O1018" s="6"/>
      <c r="AJ1018" s="6">
        <f t="shared" si="176"/>
        <v>1000</v>
      </c>
      <c r="AK1018" s="5">
        <v>1001</v>
      </c>
      <c r="AM1018" s="2" t="str">
        <f t="shared" si="180"/>
        <v>0</v>
      </c>
      <c r="AN1018" s="2" t="str">
        <f t="shared" si="178"/>
        <v>3E8</v>
      </c>
      <c r="AO1018" s="2"/>
      <c r="AP1018" s="2" t="str">
        <f t="shared" si="179"/>
        <v>03E8</v>
      </c>
    </row>
    <row r="1019" spans="7:42" x14ac:dyDescent="0.2">
      <c r="G1019" s="3"/>
      <c r="H1019" s="8"/>
      <c r="K1019" s="6"/>
      <c r="L1019" s="6"/>
      <c r="M1019" s="6"/>
      <c r="N1019" s="6"/>
      <c r="O1019" s="6"/>
      <c r="AJ1019" s="6">
        <f t="shared" si="176"/>
        <v>1000</v>
      </c>
      <c r="AK1019" s="5">
        <v>1002</v>
      </c>
      <c r="AM1019" s="2" t="str">
        <f t="shared" si="180"/>
        <v>0</v>
      </c>
      <c r="AN1019" s="2" t="str">
        <f t="shared" si="178"/>
        <v>3E8</v>
      </c>
      <c r="AO1019" s="2"/>
      <c r="AP1019" s="2" t="str">
        <f t="shared" si="179"/>
        <v>03E8</v>
      </c>
    </row>
    <row r="1020" spans="7:42" x14ac:dyDescent="0.2">
      <c r="G1020" s="3"/>
      <c r="H1020" s="8"/>
      <c r="K1020" s="6"/>
      <c r="L1020" s="6"/>
      <c r="M1020" s="6"/>
      <c r="N1020" s="6"/>
      <c r="O1020" s="6"/>
      <c r="AJ1020" s="6">
        <f t="shared" si="176"/>
        <v>1000</v>
      </c>
      <c r="AK1020" s="5">
        <v>1003</v>
      </c>
      <c r="AM1020" s="2" t="str">
        <f t="shared" si="180"/>
        <v>0</v>
      </c>
      <c r="AN1020" s="2" t="str">
        <f t="shared" si="178"/>
        <v>3E8</v>
      </c>
      <c r="AO1020" s="2"/>
      <c r="AP1020" s="2" t="str">
        <f t="shared" si="179"/>
        <v>03E8</v>
      </c>
    </row>
    <row r="1021" spans="7:42" x14ac:dyDescent="0.2">
      <c r="G1021" s="3"/>
      <c r="H1021" s="8"/>
      <c r="K1021" s="6"/>
      <c r="L1021" s="6"/>
      <c r="M1021" s="6"/>
      <c r="N1021" s="6"/>
      <c r="O1021" s="6"/>
      <c r="AJ1021" s="6">
        <f t="shared" si="176"/>
        <v>1000</v>
      </c>
      <c r="AK1021" s="5">
        <v>1004</v>
      </c>
      <c r="AM1021" s="2" t="str">
        <f t="shared" si="180"/>
        <v>0</v>
      </c>
      <c r="AN1021" s="2" t="str">
        <f t="shared" si="178"/>
        <v>3E8</v>
      </c>
      <c r="AO1021" s="2"/>
      <c r="AP1021" s="2" t="str">
        <f t="shared" si="179"/>
        <v>03E8</v>
      </c>
    </row>
    <row r="1022" spans="7:42" x14ac:dyDescent="0.2">
      <c r="G1022" s="3"/>
      <c r="H1022" s="8"/>
      <c r="K1022" s="6"/>
      <c r="L1022" s="6"/>
      <c r="M1022" s="6"/>
      <c r="N1022" s="6"/>
      <c r="O1022" s="6"/>
      <c r="AJ1022" s="6">
        <f t="shared" si="176"/>
        <v>1000</v>
      </c>
      <c r="AK1022" s="5">
        <v>1005</v>
      </c>
      <c r="AM1022" s="2" t="str">
        <f t="shared" si="180"/>
        <v>0</v>
      </c>
      <c r="AN1022" s="2" t="str">
        <f t="shared" si="178"/>
        <v>3E8</v>
      </c>
      <c r="AO1022" s="2"/>
      <c r="AP1022" s="2" t="str">
        <f t="shared" si="179"/>
        <v>03E8</v>
      </c>
    </row>
    <row r="1023" spans="7:42" x14ac:dyDescent="0.2">
      <c r="G1023" s="3"/>
      <c r="H1023" s="8"/>
      <c r="K1023" s="6"/>
      <c r="L1023" s="6"/>
      <c r="M1023" s="6"/>
      <c r="N1023" s="6"/>
      <c r="O1023" s="6"/>
      <c r="AJ1023" s="6">
        <f t="shared" si="176"/>
        <v>1000</v>
      </c>
      <c r="AK1023" s="5">
        <v>1006</v>
      </c>
      <c r="AM1023" s="2" t="str">
        <f t="shared" si="180"/>
        <v>0</v>
      </c>
      <c r="AN1023" s="2" t="str">
        <f t="shared" si="178"/>
        <v>3E8</v>
      </c>
      <c r="AO1023" s="2"/>
      <c r="AP1023" s="2" t="str">
        <f t="shared" si="179"/>
        <v>03E8</v>
      </c>
    </row>
    <row r="1024" spans="7:42" x14ac:dyDescent="0.2">
      <c r="G1024" s="3"/>
      <c r="H1024" s="8"/>
      <c r="K1024" s="6"/>
      <c r="L1024" s="6"/>
      <c r="M1024" s="6"/>
      <c r="N1024" s="6"/>
      <c r="O1024" s="6"/>
      <c r="AJ1024" s="6">
        <f t="shared" si="176"/>
        <v>1000</v>
      </c>
      <c r="AK1024" s="5">
        <v>1007</v>
      </c>
      <c r="AM1024" s="2" t="str">
        <f t="shared" si="180"/>
        <v>0</v>
      </c>
      <c r="AN1024" s="2" t="str">
        <f t="shared" si="178"/>
        <v>3E8</v>
      </c>
      <c r="AO1024" s="2"/>
      <c r="AP1024" s="2" t="str">
        <f t="shared" si="179"/>
        <v>03E8</v>
      </c>
    </row>
    <row r="1025" spans="7:42" x14ac:dyDescent="0.2">
      <c r="G1025" s="3"/>
      <c r="H1025" s="8"/>
      <c r="K1025" s="6"/>
      <c r="L1025" s="6"/>
      <c r="M1025" s="6"/>
      <c r="N1025" s="6"/>
      <c r="O1025" s="6"/>
      <c r="AJ1025" s="6">
        <f t="shared" si="176"/>
        <v>1000</v>
      </c>
      <c r="AK1025" s="5">
        <v>1008</v>
      </c>
      <c r="AM1025" s="2" t="str">
        <f t="shared" si="180"/>
        <v>0</v>
      </c>
      <c r="AN1025" s="2" t="str">
        <f t="shared" si="178"/>
        <v>3E8</v>
      </c>
      <c r="AO1025" s="2"/>
      <c r="AP1025" s="2" t="str">
        <f t="shared" si="179"/>
        <v>03E8</v>
      </c>
    </row>
    <row r="1026" spans="7:42" x14ac:dyDescent="0.2">
      <c r="G1026" s="3"/>
      <c r="H1026" s="8"/>
      <c r="K1026" s="6"/>
      <c r="L1026" s="6"/>
      <c r="M1026" s="6"/>
      <c r="N1026" s="6"/>
      <c r="O1026" s="6"/>
      <c r="AJ1026" s="6">
        <f t="shared" si="176"/>
        <v>1000</v>
      </c>
      <c r="AK1026" s="5">
        <v>1009</v>
      </c>
      <c r="AM1026" s="2" t="str">
        <f t="shared" si="180"/>
        <v>0</v>
      </c>
      <c r="AN1026" s="2" t="str">
        <f t="shared" si="178"/>
        <v>3E8</v>
      </c>
      <c r="AO1026" s="2"/>
      <c r="AP1026" s="2" t="str">
        <f t="shared" si="179"/>
        <v>03E8</v>
      </c>
    </row>
    <row r="1027" spans="7:42" x14ac:dyDescent="0.2">
      <c r="G1027" s="3"/>
      <c r="H1027" s="8"/>
      <c r="K1027" s="6"/>
      <c r="L1027" s="6"/>
      <c r="M1027" s="6"/>
      <c r="N1027" s="6"/>
      <c r="O1027" s="6"/>
      <c r="AJ1027" s="6">
        <f t="shared" si="176"/>
        <v>1000</v>
      </c>
      <c r="AK1027" s="5">
        <v>1010</v>
      </c>
      <c r="AM1027" s="2" t="str">
        <f t="shared" si="180"/>
        <v>0</v>
      </c>
      <c r="AN1027" s="2" t="str">
        <f t="shared" si="178"/>
        <v>3E8</v>
      </c>
      <c r="AO1027" s="2"/>
      <c r="AP1027" s="2" t="str">
        <f t="shared" si="179"/>
        <v>03E8</v>
      </c>
    </row>
    <row r="1028" spans="7:42" x14ac:dyDescent="0.2">
      <c r="G1028" s="3"/>
      <c r="H1028" s="8"/>
      <c r="K1028" s="6"/>
      <c r="L1028" s="6"/>
      <c r="M1028" s="6"/>
      <c r="N1028" s="6"/>
      <c r="O1028" s="6"/>
      <c r="AJ1028" s="6">
        <f t="shared" si="176"/>
        <v>1000</v>
      </c>
      <c r="AK1028" s="5">
        <v>1011</v>
      </c>
      <c r="AM1028" s="2" t="str">
        <f t="shared" si="180"/>
        <v>0</v>
      </c>
      <c r="AN1028" s="2" t="str">
        <f t="shared" si="178"/>
        <v>3E8</v>
      </c>
      <c r="AO1028" s="2"/>
      <c r="AP1028" s="2" t="str">
        <f t="shared" si="179"/>
        <v>03E8</v>
      </c>
    </row>
    <row r="1029" spans="7:42" x14ac:dyDescent="0.2">
      <c r="G1029" s="3"/>
      <c r="H1029" s="8"/>
      <c r="K1029" s="6"/>
      <c r="L1029" s="6"/>
      <c r="M1029" s="6"/>
      <c r="N1029" s="6"/>
      <c r="O1029" s="6"/>
      <c r="AJ1029" s="6">
        <f t="shared" si="176"/>
        <v>1000</v>
      </c>
      <c r="AK1029" s="5">
        <v>1012</v>
      </c>
      <c r="AM1029" s="2" t="str">
        <f t="shared" si="180"/>
        <v>0</v>
      </c>
      <c r="AN1029" s="2" t="str">
        <f t="shared" si="178"/>
        <v>3E8</v>
      </c>
      <c r="AO1029" s="2"/>
      <c r="AP1029" s="2" t="str">
        <f t="shared" si="179"/>
        <v>03E8</v>
      </c>
    </row>
    <row r="1030" spans="7:42" x14ac:dyDescent="0.2">
      <c r="G1030" s="3"/>
      <c r="H1030" s="8"/>
      <c r="K1030" s="6"/>
      <c r="L1030" s="6"/>
      <c r="M1030" s="6"/>
      <c r="N1030" s="6"/>
      <c r="O1030" s="6"/>
      <c r="AJ1030" s="6">
        <f t="shared" si="176"/>
        <v>1000</v>
      </c>
      <c r="AK1030" s="5">
        <v>1013</v>
      </c>
      <c r="AM1030" s="2" t="str">
        <f t="shared" si="180"/>
        <v>0</v>
      </c>
      <c r="AN1030" s="2" t="str">
        <f t="shared" si="178"/>
        <v>3E8</v>
      </c>
      <c r="AO1030" s="2"/>
      <c r="AP1030" s="2" t="str">
        <f t="shared" si="179"/>
        <v>03E8</v>
      </c>
    </row>
    <row r="1031" spans="7:42" x14ac:dyDescent="0.2">
      <c r="G1031" s="3"/>
      <c r="H1031" s="8"/>
      <c r="K1031" s="6"/>
      <c r="L1031" s="6"/>
      <c r="M1031" s="6"/>
      <c r="N1031" s="6"/>
      <c r="O1031" s="6"/>
      <c r="AJ1031" s="6">
        <f t="shared" si="176"/>
        <v>1000</v>
      </c>
      <c r="AK1031" s="5">
        <v>1014</v>
      </c>
      <c r="AM1031" s="2" t="str">
        <f t="shared" si="180"/>
        <v>0</v>
      </c>
      <c r="AN1031" s="2" t="str">
        <f t="shared" si="178"/>
        <v>3E8</v>
      </c>
      <c r="AO1031" s="2"/>
      <c r="AP1031" s="2" t="str">
        <f t="shared" si="179"/>
        <v>03E8</v>
      </c>
    </row>
    <row r="1032" spans="7:42" x14ac:dyDescent="0.2">
      <c r="G1032" s="3"/>
      <c r="H1032" s="8"/>
      <c r="K1032" s="6"/>
      <c r="L1032" s="6"/>
      <c r="M1032" s="6"/>
      <c r="N1032" s="6"/>
      <c r="O1032" s="6"/>
      <c r="AJ1032" s="6">
        <f t="shared" si="176"/>
        <v>1000</v>
      </c>
      <c r="AK1032" s="5">
        <v>1015</v>
      </c>
      <c r="AM1032" s="2" t="str">
        <f t="shared" si="180"/>
        <v>0</v>
      </c>
      <c r="AN1032" s="2" t="str">
        <f t="shared" si="178"/>
        <v>3E8</v>
      </c>
      <c r="AO1032" s="2"/>
      <c r="AP1032" s="2" t="str">
        <f t="shared" si="179"/>
        <v>03E8</v>
      </c>
    </row>
    <row r="1033" spans="7:42" x14ac:dyDescent="0.2">
      <c r="G1033" s="3"/>
      <c r="H1033" s="8"/>
      <c r="K1033" s="6"/>
      <c r="L1033" s="6"/>
      <c r="M1033" s="6"/>
      <c r="N1033" s="6"/>
      <c r="O1033" s="6"/>
      <c r="AJ1033" s="6">
        <f t="shared" si="176"/>
        <v>1000</v>
      </c>
      <c r="AK1033" s="5">
        <v>1016</v>
      </c>
      <c r="AM1033" s="2" t="str">
        <f t="shared" si="180"/>
        <v>0</v>
      </c>
      <c r="AN1033" s="2" t="str">
        <f t="shared" si="178"/>
        <v>3E8</v>
      </c>
      <c r="AO1033" s="2"/>
      <c r="AP1033" s="2" t="str">
        <f t="shared" si="179"/>
        <v>03E8</v>
      </c>
    </row>
    <row r="1034" spans="7:42" x14ac:dyDescent="0.2">
      <c r="G1034" s="3"/>
      <c r="H1034" s="8"/>
      <c r="K1034" s="6"/>
      <c r="L1034" s="6"/>
      <c r="M1034" s="6"/>
      <c r="N1034" s="6"/>
      <c r="O1034" s="6"/>
      <c r="AJ1034" s="6">
        <f t="shared" si="176"/>
        <v>1000</v>
      </c>
      <c r="AK1034" s="5">
        <v>1017</v>
      </c>
      <c r="AM1034" s="2" t="str">
        <f t="shared" si="180"/>
        <v>0</v>
      </c>
      <c r="AN1034" s="2" t="str">
        <f t="shared" si="178"/>
        <v>3E8</v>
      </c>
      <c r="AO1034" s="2"/>
      <c r="AP1034" s="2" t="str">
        <f t="shared" si="179"/>
        <v>03E8</v>
      </c>
    </row>
    <row r="1035" spans="7:42" x14ac:dyDescent="0.2">
      <c r="G1035" s="3"/>
      <c r="H1035" s="8"/>
      <c r="K1035" s="6"/>
      <c r="L1035" s="6"/>
      <c r="M1035" s="6"/>
      <c r="N1035" s="6"/>
      <c r="O1035" s="6"/>
      <c r="AJ1035" s="6">
        <f t="shared" si="176"/>
        <v>1000</v>
      </c>
      <c r="AK1035" s="5">
        <v>1018</v>
      </c>
      <c r="AM1035" s="2" t="str">
        <f t="shared" si="180"/>
        <v>0</v>
      </c>
      <c r="AN1035" s="2" t="str">
        <f t="shared" si="178"/>
        <v>3E8</v>
      </c>
      <c r="AO1035" s="2"/>
      <c r="AP1035" s="2" t="str">
        <f t="shared" si="179"/>
        <v>03E8</v>
      </c>
    </row>
    <row r="1036" spans="7:42" x14ac:dyDescent="0.2">
      <c r="G1036" s="3"/>
      <c r="H1036" s="8"/>
      <c r="K1036" s="6"/>
      <c r="L1036" s="6"/>
      <c r="M1036" s="6"/>
      <c r="N1036" s="6"/>
      <c r="O1036" s="6"/>
      <c r="AJ1036" s="6">
        <f t="shared" si="176"/>
        <v>1000</v>
      </c>
      <c r="AK1036" s="5">
        <v>1019</v>
      </c>
      <c r="AM1036" s="2" t="str">
        <f t="shared" si="180"/>
        <v>0</v>
      </c>
      <c r="AN1036" s="2" t="str">
        <f t="shared" si="178"/>
        <v>3E8</v>
      </c>
      <c r="AO1036" s="2"/>
      <c r="AP1036" s="2" t="str">
        <f t="shared" si="179"/>
        <v>03E8</v>
      </c>
    </row>
    <row r="1037" spans="7:42" x14ac:dyDescent="0.2">
      <c r="G1037" s="3"/>
      <c r="H1037" s="8"/>
      <c r="K1037" s="6"/>
      <c r="L1037" s="6"/>
      <c r="M1037" s="6"/>
      <c r="N1037" s="6"/>
      <c r="O1037" s="6"/>
      <c r="AJ1037" s="6">
        <f t="shared" si="176"/>
        <v>1000</v>
      </c>
      <c r="AK1037" s="5">
        <v>1020</v>
      </c>
      <c r="AM1037" s="2" t="str">
        <f t="shared" si="180"/>
        <v>0</v>
      </c>
      <c r="AN1037" s="2" t="str">
        <f t="shared" si="178"/>
        <v>3E8</v>
      </c>
      <c r="AO1037" s="2"/>
      <c r="AP1037" s="2" t="str">
        <f t="shared" si="179"/>
        <v>03E8</v>
      </c>
    </row>
    <row r="1038" spans="7:42" x14ac:dyDescent="0.2">
      <c r="G1038" s="3"/>
      <c r="H1038" s="8"/>
      <c r="K1038" s="6"/>
      <c r="L1038" s="6"/>
      <c r="M1038" s="6"/>
      <c r="N1038" s="6"/>
      <c r="O1038" s="6"/>
      <c r="AJ1038" s="6">
        <f t="shared" si="176"/>
        <v>1000</v>
      </c>
      <c r="AK1038" s="5">
        <v>1021</v>
      </c>
      <c r="AM1038" s="2" t="str">
        <f t="shared" si="180"/>
        <v>0</v>
      </c>
      <c r="AN1038" s="2" t="str">
        <f t="shared" si="178"/>
        <v>3E8</v>
      </c>
      <c r="AO1038" s="2"/>
      <c r="AP1038" s="2" t="str">
        <f t="shared" si="179"/>
        <v>03E8</v>
      </c>
    </row>
    <row r="1039" spans="7:42" x14ac:dyDescent="0.2">
      <c r="G1039" s="3"/>
      <c r="H1039" s="8"/>
      <c r="K1039" s="6"/>
      <c r="L1039" s="6"/>
      <c r="M1039" s="6"/>
      <c r="N1039" s="6"/>
      <c r="O1039" s="6"/>
      <c r="AJ1039" s="6">
        <f t="shared" si="176"/>
        <v>1000</v>
      </c>
      <c r="AK1039" s="5">
        <v>1022</v>
      </c>
      <c r="AM1039" s="2" t="str">
        <f t="shared" si="180"/>
        <v>0</v>
      </c>
      <c r="AN1039" s="2" t="str">
        <f t="shared" si="178"/>
        <v>3E8</v>
      </c>
      <c r="AO1039" s="2"/>
      <c r="AP1039" s="2" t="str">
        <f t="shared" si="179"/>
        <v>03E8</v>
      </c>
    </row>
    <row r="1040" spans="7:42" x14ac:dyDescent="0.2">
      <c r="G1040" s="3"/>
      <c r="H1040" s="8"/>
      <c r="K1040" s="6"/>
      <c r="L1040" s="6"/>
      <c r="M1040" s="6"/>
      <c r="N1040" s="6"/>
      <c r="O1040" s="6"/>
      <c r="AJ1040" s="6">
        <f t="shared" si="176"/>
        <v>1000</v>
      </c>
      <c r="AK1040" s="5">
        <v>1023</v>
      </c>
      <c r="AM1040" s="2" t="str">
        <f t="shared" si="180"/>
        <v>0</v>
      </c>
      <c r="AN1040" s="2" t="str">
        <f t="shared" si="178"/>
        <v>3E8</v>
      </c>
      <c r="AO1040" s="2"/>
      <c r="AP1040" s="2" t="str">
        <f t="shared" si="179"/>
        <v>03E8</v>
      </c>
    </row>
    <row r="1041" spans="7:42" x14ac:dyDescent="0.2">
      <c r="G1041" s="3"/>
      <c r="H1041" s="8"/>
      <c r="K1041" s="6"/>
      <c r="L1041" s="6"/>
      <c r="M1041" s="6"/>
      <c r="N1041" s="6"/>
      <c r="O1041" s="6"/>
      <c r="AJ1041" s="6">
        <f>ROUNDDOWN(($O529*$O$16+$I$6*100)*10,0)</f>
        <v>1000</v>
      </c>
      <c r="AK1041" s="5">
        <v>1024</v>
      </c>
      <c r="AM1041" s="2" t="str">
        <f t="shared" si="180"/>
        <v>0</v>
      </c>
      <c r="AN1041" s="2" t="str">
        <f t="shared" si="178"/>
        <v>3E8</v>
      </c>
      <c r="AO1041" s="2"/>
      <c r="AP1041" s="2" t="str">
        <f t="shared" si="179"/>
        <v>03E8</v>
      </c>
    </row>
    <row r="1042" spans="7:42" x14ac:dyDescent="0.2">
      <c r="G1042" s="3"/>
      <c r="H1042" s="8"/>
      <c r="K1042" s="6"/>
      <c r="L1042" s="6"/>
      <c r="M1042" s="6"/>
      <c r="N1042" s="6"/>
      <c r="O1042" s="6"/>
      <c r="AJ1042" s="6">
        <f>ROUNDDOWN(($W18*$W$16+$I$6*100)*10,0)</f>
        <v>1000</v>
      </c>
      <c r="AK1042">
        <v>1025</v>
      </c>
      <c r="AM1042" s="2" t="str">
        <f>BIN2HEX(S18+10*T18+100*U18+1000*V18,1)</f>
        <v>7</v>
      </c>
      <c r="AN1042" s="2" t="str">
        <f t="shared" si="178"/>
        <v>3E8</v>
      </c>
      <c r="AO1042" s="2"/>
      <c r="AP1042" s="2" t="str">
        <f t="shared" si="179"/>
        <v>73E8</v>
      </c>
    </row>
    <row r="1043" spans="7:42" x14ac:dyDescent="0.2">
      <c r="G1043" s="3"/>
      <c r="H1043" s="8"/>
      <c r="K1043" s="6"/>
      <c r="L1043" s="6"/>
      <c r="M1043" s="6"/>
      <c r="N1043" s="6"/>
      <c r="O1043" s="6"/>
      <c r="AJ1043" s="6">
        <f t="shared" ref="AJ1043:AJ1106" si="181">ROUNDDOWN(($W19*$W$16+$I$6*100)*10,0)</f>
        <v>1000</v>
      </c>
      <c r="AK1043">
        <v>1026</v>
      </c>
      <c r="AM1043" s="2" t="str">
        <f t="shared" ref="AM1043:AM1106" si="182">BIN2HEX(S19+10*T19+100*U19+1000*V19,1)</f>
        <v>7</v>
      </c>
      <c r="AN1043" s="2" t="str">
        <f t="shared" si="178"/>
        <v>3E8</v>
      </c>
      <c r="AO1043" s="2"/>
      <c r="AP1043" s="2" t="str">
        <f t="shared" si="179"/>
        <v>73E8</v>
      </c>
    </row>
    <row r="1044" spans="7:42" x14ac:dyDescent="0.2">
      <c r="G1044" s="3"/>
      <c r="H1044" s="8"/>
      <c r="K1044" s="6"/>
      <c r="L1044" s="6"/>
      <c r="M1044" s="6"/>
      <c r="N1044" s="6"/>
      <c r="O1044" s="6"/>
      <c r="AJ1044" s="6">
        <f t="shared" si="181"/>
        <v>1000</v>
      </c>
      <c r="AK1044">
        <v>1027</v>
      </c>
      <c r="AM1044" s="2" t="str">
        <f t="shared" si="182"/>
        <v>7</v>
      </c>
      <c r="AN1044" s="2" t="str">
        <f t="shared" si="178"/>
        <v>3E8</v>
      </c>
      <c r="AO1044" s="2"/>
      <c r="AP1044" s="2" t="str">
        <f t="shared" si="179"/>
        <v>73E8</v>
      </c>
    </row>
    <row r="1045" spans="7:42" x14ac:dyDescent="0.2">
      <c r="G1045" s="3"/>
      <c r="H1045" s="8"/>
      <c r="K1045" s="6"/>
      <c r="L1045" s="6"/>
      <c r="M1045" s="6"/>
      <c r="N1045" s="6"/>
      <c r="O1045" s="6"/>
      <c r="AJ1045" s="6">
        <f t="shared" si="181"/>
        <v>1000</v>
      </c>
      <c r="AK1045">
        <v>1028</v>
      </c>
      <c r="AM1045" s="2" t="str">
        <f t="shared" si="182"/>
        <v>7</v>
      </c>
      <c r="AN1045" s="2" t="str">
        <f t="shared" si="178"/>
        <v>3E8</v>
      </c>
      <c r="AO1045" s="2"/>
      <c r="AP1045" s="2" t="str">
        <f t="shared" si="179"/>
        <v>73E8</v>
      </c>
    </row>
    <row r="1046" spans="7:42" x14ac:dyDescent="0.2">
      <c r="G1046" s="3"/>
      <c r="H1046" s="8"/>
      <c r="K1046" s="6"/>
      <c r="L1046" s="6"/>
      <c r="M1046" s="6"/>
      <c r="N1046" s="6"/>
      <c r="O1046" s="6"/>
      <c r="AJ1046" s="6">
        <f t="shared" si="181"/>
        <v>1000</v>
      </c>
      <c r="AK1046">
        <v>1029</v>
      </c>
      <c r="AM1046" s="2" t="str">
        <f t="shared" si="182"/>
        <v>7</v>
      </c>
      <c r="AN1046" s="2" t="str">
        <f t="shared" si="178"/>
        <v>3E8</v>
      </c>
      <c r="AO1046" s="2"/>
      <c r="AP1046" s="2" t="str">
        <f t="shared" si="179"/>
        <v>73E8</v>
      </c>
    </row>
    <row r="1047" spans="7:42" x14ac:dyDescent="0.2">
      <c r="G1047" s="3"/>
      <c r="H1047" s="8"/>
      <c r="K1047" s="6"/>
      <c r="L1047" s="6"/>
      <c r="M1047" s="6"/>
      <c r="N1047" s="6"/>
      <c r="O1047" s="6"/>
      <c r="AJ1047" s="6">
        <f t="shared" si="181"/>
        <v>1000</v>
      </c>
      <c r="AK1047">
        <v>1030</v>
      </c>
      <c r="AM1047" s="2" t="str">
        <f t="shared" si="182"/>
        <v>7</v>
      </c>
      <c r="AN1047" s="2" t="str">
        <f t="shared" si="178"/>
        <v>3E8</v>
      </c>
      <c r="AO1047" s="2"/>
      <c r="AP1047" s="2" t="str">
        <f t="shared" si="179"/>
        <v>73E8</v>
      </c>
    </row>
    <row r="1048" spans="7:42" x14ac:dyDescent="0.2">
      <c r="G1048" s="3"/>
      <c r="H1048" s="8"/>
      <c r="K1048" s="6"/>
      <c r="L1048" s="6"/>
      <c r="M1048" s="6"/>
      <c r="N1048" s="6"/>
      <c r="O1048" s="6"/>
      <c r="AJ1048" s="6">
        <f t="shared" si="181"/>
        <v>1000</v>
      </c>
      <c r="AK1048">
        <v>1031</v>
      </c>
      <c r="AM1048" s="2" t="str">
        <f t="shared" si="182"/>
        <v>7</v>
      </c>
      <c r="AN1048" s="2" t="str">
        <f t="shared" si="178"/>
        <v>3E8</v>
      </c>
      <c r="AO1048" s="2"/>
      <c r="AP1048" s="2" t="str">
        <f t="shared" si="179"/>
        <v>73E8</v>
      </c>
    </row>
    <row r="1049" spans="7:42" x14ac:dyDescent="0.2">
      <c r="G1049" s="3"/>
      <c r="H1049" s="8"/>
      <c r="K1049" s="6"/>
      <c r="L1049" s="6"/>
      <c r="M1049" s="6"/>
      <c r="N1049" s="6"/>
      <c r="O1049" s="6"/>
      <c r="AJ1049" s="6">
        <f t="shared" si="181"/>
        <v>1000</v>
      </c>
      <c r="AK1049">
        <v>1032</v>
      </c>
      <c r="AM1049" s="2" t="str">
        <f t="shared" si="182"/>
        <v>7</v>
      </c>
      <c r="AN1049" s="2" t="str">
        <f t="shared" si="178"/>
        <v>3E8</v>
      </c>
      <c r="AO1049" s="2"/>
      <c r="AP1049" s="2" t="str">
        <f t="shared" si="179"/>
        <v>73E8</v>
      </c>
    </row>
    <row r="1050" spans="7:42" x14ac:dyDescent="0.2">
      <c r="G1050" s="3"/>
      <c r="H1050" s="8"/>
      <c r="K1050" s="6"/>
      <c r="L1050" s="6"/>
      <c r="M1050" s="6"/>
      <c r="N1050" s="6"/>
      <c r="O1050" s="6"/>
      <c r="AJ1050" s="6">
        <f t="shared" si="181"/>
        <v>1000</v>
      </c>
      <c r="AK1050">
        <v>1033</v>
      </c>
      <c r="AM1050" s="2" t="str">
        <f t="shared" si="182"/>
        <v>7</v>
      </c>
      <c r="AN1050" s="2" t="str">
        <f t="shared" si="178"/>
        <v>3E8</v>
      </c>
      <c r="AO1050" s="2"/>
      <c r="AP1050" s="2" t="str">
        <f t="shared" si="179"/>
        <v>73E8</v>
      </c>
    </row>
    <row r="1051" spans="7:42" x14ac:dyDescent="0.2">
      <c r="G1051" s="3"/>
      <c r="H1051" s="8"/>
      <c r="K1051" s="6"/>
      <c r="L1051" s="6"/>
      <c r="M1051" s="6"/>
      <c r="N1051" s="6"/>
      <c r="O1051" s="6"/>
      <c r="AJ1051" s="6">
        <f t="shared" si="181"/>
        <v>1000</v>
      </c>
      <c r="AK1051">
        <v>1034</v>
      </c>
      <c r="AM1051" s="2" t="str">
        <f t="shared" si="182"/>
        <v>7</v>
      </c>
      <c r="AN1051" s="2" t="str">
        <f t="shared" si="178"/>
        <v>3E8</v>
      </c>
      <c r="AO1051" s="2"/>
      <c r="AP1051" s="2" t="str">
        <f t="shared" si="179"/>
        <v>73E8</v>
      </c>
    </row>
    <row r="1052" spans="7:42" x14ac:dyDescent="0.2">
      <c r="G1052" s="3"/>
      <c r="H1052" s="8"/>
      <c r="K1052" s="6"/>
      <c r="L1052" s="6"/>
      <c r="M1052" s="6"/>
      <c r="N1052" s="6"/>
      <c r="O1052" s="6"/>
      <c r="AJ1052" s="6">
        <f t="shared" si="181"/>
        <v>1000</v>
      </c>
      <c r="AK1052">
        <v>1035</v>
      </c>
      <c r="AM1052" s="2" t="str">
        <f t="shared" si="182"/>
        <v>7</v>
      </c>
      <c r="AN1052" s="2" t="str">
        <f t="shared" si="178"/>
        <v>3E8</v>
      </c>
      <c r="AO1052" s="2"/>
      <c r="AP1052" s="2" t="str">
        <f t="shared" si="179"/>
        <v>73E8</v>
      </c>
    </row>
    <row r="1053" spans="7:42" x14ac:dyDescent="0.2">
      <c r="G1053" s="3"/>
      <c r="H1053" s="8"/>
      <c r="K1053" s="6"/>
      <c r="L1053" s="6"/>
      <c r="M1053" s="6"/>
      <c r="N1053" s="6"/>
      <c r="O1053" s="6"/>
      <c r="AJ1053" s="6">
        <f t="shared" si="181"/>
        <v>1000</v>
      </c>
      <c r="AK1053">
        <v>1036</v>
      </c>
      <c r="AM1053" s="2" t="str">
        <f t="shared" si="182"/>
        <v>6</v>
      </c>
      <c r="AN1053" s="2" t="str">
        <f t="shared" si="178"/>
        <v>3E8</v>
      </c>
      <c r="AO1053" s="2"/>
      <c r="AP1053" s="2" t="str">
        <f t="shared" si="179"/>
        <v>63E8</v>
      </c>
    </row>
    <row r="1054" spans="7:42" x14ac:dyDescent="0.2">
      <c r="G1054" s="3"/>
      <c r="H1054" s="8"/>
      <c r="K1054" s="6"/>
      <c r="L1054" s="6"/>
      <c r="M1054" s="6"/>
      <c r="N1054" s="6"/>
      <c r="O1054" s="6"/>
      <c r="AJ1054" s="6">
        <f t="shared" si="181"/>
        <v>1000</v>
      </c>
      <c r="AK1054">
        <v>1037</v>
      </c>
      <c r="AM1054" s="2" t="str">
        <f t="shared" si="182"/>
        <v>6</v>
      </c>
      <c r="AN1054" s="2" t="str">
        <f t="shared" si="178"/>
        <v>3E8</v>
      </c>
      <c r="AO1054" s="2"/>
      <c r="AP1054" s="2" t="str">
        <f t="shared" si="179"/>
        <v>63E8</v>
      </c>
    </row>
    <row r="1055" spans="7:42" x14ac:dyDescent="0.2">
      <c r="G1055" s="3"/>
      <c r="H1055" s="8"/>
      <c r="K1055" s="6"/>
      <c r="L1055" s="6"/>
      <c r="M1055" s="6"/>
      <c r="N1055" s="6"/>
      <c r="O1055" s="6"/>
      <c r="AJ1055" s="6">
        <f t="shared" si="181"/>
        <v>1000</v>
      </c>
      <c r="AK1055">
        <v>1038</v>
      </c>
      <c r="AM1055" s="2" t="str">
        <f t="shared" si="182"/>
        <v>6</v>
      </c>
      <c r="AN1055" s="2" t="str">
        <f t="shared" si="178"/>
        <v>3E8</v>
      </c>
      <c r="AO1055" s="2"/>
      <c r="AP1055" s="2" t="str">
        <f t="shared" si="179"/>
        <v>63E8</v>
      </c>
    </row>
    <row r="1056" spans="7:42" x14ac:dyDescent="0.2">
      <c r="G1056" s="3"/>
      <c r="H1056" s="8"/>
      <c r="K1056" s="6"/>
      <c r="L1056" s="6"/>
      <c r="M1056" s="6"/>
      <c r="N1056" s="6"/>
      <c r="O1056" s="6"/>
      <c r="AJ1056" s="6">
        <f t="shared" si="181"/>
        <v>1000</v>
      </c>
      <c r="AK1056">
        <v>1039</v>
      </c>
      <c r="AM1056" s="2" t="str">
        <f t="shared" si="182"/>
        <v>6</v>
      </c>
      <c r="AN1056" s="2" t="str">
        <f t="shared" ref="AN1056:AN1119" si="183">DEC2HEX(AJ1056,3)</f>
        <v>3E8</v>
      </c>
      <c r="AO1056" s="2"/>
      <c r="AP1056" s="2" t="str">
        <f t="shared" ref="AP1056:AP1119" si="184">CONCATENATE(AM1056,AN1056)</f>
        <v>63E8</v>
      </c>
    </row>
    <row r="1057" spans="7:42" x14ac:dyDescent="0.2">
      <c r="G1057" s="3"/>
      <c r="H1057" s="8"/>
      <c r="K1057" s="6"/>
      <c r="L1057" s="6"/>
      <c r="M1057" s="6"/>
      <c r="N1057" s="6"/>
      <c r="O1057" s="6"/>
      <c r="AJ1057" s="6">
        <f t="shared" si="181"/>
        <v>1000</v>
      </c>
      <c r="AK1057">
        <v>1040</v>
      </c>
      <c r="AM1057" s="2" t="str">
        <f t="shared" si="182"/>
        <v>6</v>
      </c>
      <c r="AN1057" s="2" t="str">
        <f t="shared" si="183"/>
        <v>3E8</v>
      </c>
      <c r="AO1057" s="2"/>
      <c r="AP1057" s="2" t="str">
        <f t="shared" si="184"/>
        <v>63E8</v>
      </c>
    </row>
    <row r="1058" spans="7:42" x14ac:dyDescent="0.2">
      <c r="G1058" s="3"/>
      <c r="H1058" s="8"/>
      <c r="K1058" s="6"/>
      <c r="L1058" s="6"/>
      <c r="M1058" s="6"/>
      <c r="N1058" s="6"/>
      <c r="O1058" s="6"/>
      <c r="AJ1058" s="6">
        <f t="shared" si="181"/>
        <v>1000</v>
      </c>
      <c r="AK1058">
        <v>1041</v>
      </c>
      <c r="AM1058" s="2" t="str">
        <f t="shared" si="182"/>
        <v>6</v>
      </c>
      <c r="AN1058" s="2" t="str">
        <f t="shared" si="183"/>
        <v>3E8</v>
      </c>
      <c r="AO1058" s="2"/>
      <c r="AP1058" s="2" t="str">
        <f t="shared" si="184"/>
        <v>63E8</v>
      </c>
    </row>
    <row r="1059" spans="7:42" x14ac:dyDescent="0.2">
      <c r="G1059" s="3"/>
      <c r="H1059" s="8"/>
      <c r="K1059" s="6"/>
      <c r="L1059" s="6"/>
      <c r="M1059" s="6"/>
      <c r="N1059" s="6"/>
      <c r="O1059" s="6"/>
      <c r="AJ1059" s="6">
        <f t="shared" si="181"/>
        <v>1000</v>
      </c>
      <c r="AK1059">
        <v>1042</v>
      </c>
      <c r="AM1059" s="2" t="str">
        <f t="shared" si="182"/>
        <v>6</v>
      </c>
      <c r="AN1059" s="2" t="str">
        <f t="shared" si="183"/>
        <v>3E8</v>
      </c>
      <c r="AO1059" s="2"/>
      <c r="AP1059" s="2" t="str">
        <f t="shared" si="184"/>
        <v>63E8</v>
      </c>
    </row>
    <row r="1060" spans="7:42" x14ac:dyDescent="0.2">
      <c r="G1060" s="3"/>
      <c r="H1060" s="8"/>
      <c r="K1060" s="6"/>
      <c r="L1060" s="6"/>
      <c r="M1060" s="6"/>
      <c r="N1060" s="6"/>
      <c r="O1060" s="6"/>
      <c r="AJ1060" s="6">
        <f t="shared" si="181"/>
        <v>1000</v>
      </c>
      <c r="AK1060">
        <v>1043</v>
      </c>
      <c r="AM1060" s="2" t="str">
        <f t="shared" si="182"/>
        <v>6</v>
      </c>
      <c r="AN1060" s="2" t="str">
        <f t="shared" si="183"/>
        <v>3E8</v>
      </c>
      <c r="AO1060" s="2"/>
      <c r="AP1060" s="2" t="str">
        <f t="shared" si="184"/>
        <v>63E8</v>
      </c>
    </row>
    <row r="1061" spans="7:42" x14ac:dyDescent="0.2">
      <c r="G1061" s="3"/>
      <c r="H1061" s="8"/>
      <c r="K1061" s="6"/>
      <c r="L1061" s="6"/>
      <c r="M1061" s="6"/>
      <c r="N1061" s="6"/>
      <c r="O1061" s="6"/>
      <c r="AJ1061" s="6">
        <f t="shared" si="181"/>
        <v>1000</v>
      </c>
      <c r="AK1061">
        <v>1044</v>
      </c>
      <c r="AM1061" s="2" t="str">
        <f t="shared" si="182"/>
        <v>6</v>
      </c>
      <c r="AN1061" s="2" t="str">
        <f t="shared" si="183"/>
        <v>3E8</v>
      </c>
      <c r="AO1061" s="2"/>
      <c r="AP1061" s="2" t="str">
        <f t="shared" si="184"/>
        <v>63E8</v>
      </c>
    </row>
    <row r="1062" spans="7:42" x14ac:dyDescent="0.2">
      <c r="G1062" s="3"/>
      <c r="H1062" s="8"/>
      <c r="K1062" s="6"/>
      <c r="L1062" s="6"/>
      <c r="M1062" s="6"/>
      <c r="N1062" s="6"/>
      <c r="O1062" s="6"/>
      <c r="AJ1062" s="6">
        <f t="shared" si="181"/>
        <v>1000</v>
      </c>
      <c r="AK1062">
        <v>1045</v>
      </c>
      <c r="AM1062" s="2" t="str">
        <f t="shared" si="182"/>
        <v>6</v>
      </c>
      <c r="AN1062" s="2" t="str">
        <f t="shared" si="183"/>
        <v>3E8</v>
      </c>
      <c r="AO1062" s="2"/>
      <c r="AP1062" s="2" t="str">
        <f t="shared" si="184"/>
        <v>63E8</v>
      </c>
    </row>
    <row r="1063" spans="7:42" x14ac:dyDescent="0.2">
      <c r="G1063" s="3"/>
      <c r="H1063" s="8"/>
      <c r="K1063" s="6"/>
      <c r="L1063" s="6"/>
      <c r="M1063" s="6"/>
      <c r="N1063" s="6"/>
      <c r="O1063" s="6"/>
      <c r="AJ1063" s="6">
        <f t="shared" si="181"/>
        <v>961</v>
      </c>
      <c r="AK1063">
        <v>1046</v>
      </c>
      <c r="AM1063" s="2" t="str">
        <f t="shared" si="182"/>
        <v>6</v>
      </c>
      <c r="AN1063" s="2" t="str">
        <f t="shared" si="183"/>
        <v>3C1</v>
      </c>
      <c r="AO1063" s="2"/>
      <c r="AP1063" s="2" t="str">
        <f t="shared" si="184"/>
        <v>63C1</v>
      </c>
    </row>
    <row r="1064" spans="7:42" x14ac:dyDescent="0.2">
      <c r="G1064" s="3"/>
      <c r="H1064" s="8"/>
      <c r="K1064" s="6"/>
      <c r="L1064" s="6"/>
      <c r="M1064" s="6"/>
      <c r="N1064" s="6"/>
      <c r="O1064" s="6"/>
      <c r="AJ1064" s="6">
        <f t="shared" si="181"/>
        <v>923</v>
      </c>
      <c r="AK1064">
        <v>1047</v>
      </c>
      <c r="AM1064" s="2" t="str">
        <f t="shared" si="182"/>
        <v>6</v>
      </c>
      <c r="AN1064" s="2" t="str">
        <f t="shared" si="183"/>
        <v>39B</v>
      </c>
      <c r="AO1064" s="2"/>
      <c r="AP1064" s="2" t="str">
        <f t="shared" si="184"/>
        <v>639B</v>
      </c>
    </row>
    <row r="1065" spans="7:42" x14ac:dyDescent="0.2">
      <c r="G1065" s="3"/>
      <c r="H1065" s="8"/>
      <c r="K1065" s="6"/>
      <c r="L1065" s="6"/>
      <c r="M1065" s="6"/>
      <c r="N1065" s="6"/>
      <c r="O1065" s="6"/>
      <c r="AJ1065" s="6">
        <f t="shared" si="181"/>
        <v>884</v>
      </c>
      <c r="AK1065">
        <v>1048</v>
      </c>
      <c r="AM1065" s="2" t="str">
        <f t="shared" si="182"/>
        <v>6</v>
      </c>
      <c r="AN1065" s="2" t="str">
        <f t="shared" si="183"/>
        <v>374</v>
      </c>
      <c r="AO1065" s="2"/>
      <c r="AP1065" s="2" t="str">
        <f t="shared" si="184"/>
        <v>6374</v>
      </c>
    </row>
    <row r="1066" spans="7:42" x14ac:dyDescent="0.2">
      <c r="G1066" s="3"/>
      <c r="H1066" s="8"/>
      <c r="K1066" s="6"/>
      <c r="L1066" s="6"/>
      <c r="M1066" s="6"/>
      <c r="N1066" s="6"/>
      <c r="O1066" s="6"/>
      <c r="AJ1066" s="6">
        <f t="shared" si="181"/>
        <v>846</v>
      </c>
      <c r="AK1066">
        <v>1049</v>
      </c>
      <c r="AM1066" s="2" t="str">
        <f t="shared" si="182"/>
        <v>6</v>
      </c>
      <c r="AN1066" s="2" t="str">
        <f t="shared" si="183"/>
        <v>34E</v>
      </c>
      <c r="AO1066" s="2"/>
      <c r="AP1066" s="2" t="str">
        <f t="shared" si="184"/>
        <v>634E</v>
      </c>
    </row>
    <row r="1067" spans="7:42" x14ac:dyDescent="0.2">
      <c r="G1067" s="3"/>
      <c r="H1067" s="8"/>
      <c r="K1067" s="6"/>
      <c r="L1067" s="6"/>
      <c r="M1067" s="6"/>
      <c r="N1067" s="6"/>
      <c r="O1067" s="6"/>
      <c r="AJ1067" s="6">
        <f t="shared" si="181"/>
        <v>807</v>
      </c>
      <c r="AK1067">
        <v>1050</v>
      </c>
      <c r="AM1067" s="2" t="str">
        <f t="shared" si="182"/>
        <v>6</v>
      </c>
      <c r="AN1067" s="2" t="str">
        <f t="shared" si="183"/>
        <v>327</v>
      </c>
      <c r="AO1067" s="2"/>
      <c r="AP1067" s="2" t="str">
        <f t="shared" si="184"/>
        <v>6327</v>
      </c>
    </row>
    <row r="1068" spans="7:42" x14ac:dyDescent="0.2">
      <c r="G1068" s="3"/>
      <c r="H1068" s="8"/>
      <c r="K1068" s="6"/>
      <c r="L1068" s="6"/>
      <c r="M1068" s="6"/>
      <c r="N1068" s="6"/>
      <c r="O1068" s="6"/>
      <c r="AJ1068" s="6">
        <f t="shared" si="181"/>
        <v>769</v>
      </c>
      <c r="AK1068">
        <v>1051</v>
      </c>
      <c r="AM1068" s="2" t="str">
        <f t="shared" si="182"/>
        <v>6</v>
      </c>
      <c r="AN1068" s="2" t="str">
        <f t="shared" si="183"/>
        <v>301</v>
      </c>
      <c r="AO1068" s="2"/>
      <c r="AP1068" s="2" t="str">
        <f t="shared" si="184"/>
        <v>6301</v>
      </c>
    </row>
    <row r="1069" spans="7:42" x14ac:dyDescent="0.2">
      <c r="G1069" s="3"/>
      <c r="H1069" s="8"/>
      <c r="K1069" s="6"/>
      <c r="L1069" s="6"/>
      <c r="M1069" s="6"/>
      <c r="N1069" s="6"/>
      <c r="O1069" s="6"/>
      <c r="AJ1069" s="6">
        <f t="shared" si="181"/>
        <v>730</v>
      </c>
      <c r="AK1069">
        <v>1052</v>
      </c>
      <c r="AM1069" s="2" t="str">
        <f t="shared" si="182"/>
        <v>6</v>
      </c>
      <c r="AN1069" s="2" t="str">
        <f t="shared" si="183"/>
        <v>2DA</v>
      </c>
      <c r="AO1069" s="2"/>
      <c r="AP1069" s="2" t="str">
        <f t="shared" si="184"/>
        <v>62DA</v>
      </c>
    </row>
    <row r="1070" spans="7:42" x14ac:dyDescent="0.2">
      <c r="G1070" s="3"/>
      <c r="H1070" s="8"/>
      <c r="K1070" s="6"/>
      <c r="L1070" s="6"/>
      <c r="M1070" s="6"/>
      <c r="N1070" s="6"/>
      <c r="O1070" s="6"/>
      <c r="AJ1070" s="6">
        <f t="shared" si="181"/>
        <v>692</v>
      </c>
      <c r="AK1070">
        <v>1053</v>
      </c>
      <c r="AM1070" s="2" t="str">
        <f t="shared" si="182"/>
        <v>6</v>
      </c>
      <c r="AN1070" s="2" t="str">
        <f t="shared" si="183"/>
        <v>2B4</v>
      </c>
      <c r="AO1070" s="2"/>
      <c r="AP1070" s="2" t="str">
        <f t="shared" si="184"/>
        <v>62B4</v>
      </c>
    </row>
    <row r="1071" spans="7:42" x14ac:dyDescent="0.2">
      <c r="G1071" s="3"/>
      <c r="H1071" s="8"/>
      <c r="K1071" s="6"/>
      <c r="L1071" s="6"/>
      <c r="M1071" s="6"/>
      <c r="N1071" s="6"/>
      <c r="O1071" s="6"/>
      <c r="AJ1071" s="6">
        <f t="shared" si="181"/>
        <v>653</v>
      </c>
      <c r="AK1071">
        <v>1054</v>
      </c>
      <c r="AM1071" s="2" t="str">
        <f t="shared" si="182"/>
        <v>6</v>
      </c>
      <c r="AN1071" s="2" t="str">
        <f t="shared" si="183"/>
        <v>28D</v>
      </c>
      <c r="AO1071" s="2"/>
      <c r="AP1071" s="2" t="str">
        <f t="shared" si="184"/>
        <v>628D</v>
      </c>
    </row>
    <row r="1072" spans="7:42" x14ac:dyDescent="0.2">
      <c r="G1072" s="3"/>
      <c r="H1072" s="8"/>
      <c r="K1072" s="6"/>
      <c r="L1072" s="6"/>
      <c r="M1072" s="6"/>
      <c r="N1072" s="6"/>
      <c r="O1072" s="6"/>
      <c r="AJ1072" s="6">
        <f t="shared" si="181"/>
        <v>615</v>
      </c>
      <c r="AK1072">
        <v>1055</v>
      </c>
      <c r="AM1072" s="2" t="str">
        <f t="shared" si="182"/>
        <v>6</v>
      </c>
      <c r="AN1072" s="2" t="str">
        <f t="shared" si="183"/>
        <v>267</v>
      </c>
      <c r="AO1072" s="2"/>
      <c r="AP1072" s="2" t="str">
        <f t="shared" si="184"/>
        <v>6267</v>
      </c>
    </row>
    <row r="1073" spans="7:42" x14ac:dyDescent="0.2">
      <c r="G1073" s="3"/>
      <c r="H1073" s="8"/>
      <c r="K1073" s="6"/>
      <c r="L1073" s="6"/>
      <c r="M1073" s="6"/>
      <c r="N1073" s="6"/>
      <c r="O1073" s="6"/>
      <c r="AJ1073" s="6">
        <f t="shared" si="181"/>
        <v>576</v>
      </c>
      <c r="AK1073">
        <v>1056</v>
      </c>
      <c r="AM1073" s="2" t="str">
        <f t="shared" si="182"/>
        <v>6</v>
      </c>
      <c r="AN1073" s="2" t="str">
        <f t="shared" si="183"/>
        <v>240</v>
      </c>
      <c r="AO1073" s="2"/>
      <c r="AP1073" s="2" t="str">
        <f t="shared" si="184"/>
        <v>6240</v>
      </c>
    </row>
    <row r="1074" spans="7:42" x14ac:dyDescent="0.2">
      <c r="G1074" s="3"/>
      <c r="H1074" s="8"/>
      <c r="K1074" s="6"/>
      <c r="L1074" s="6"/>
      <c r="M1074" s="6"/>
      <c r="N1074" s="6"/>
      <c r="O1074" s="6"/>
      <c r="AJ1074" s="6">
        <f t="shared" si="181"/>
        <v>538</v>
      </c>
      <c r="AK1074">
        <v>1057</v>
      </c>
      <c r="AM1074" s="2" t="str">
        <f t="shared" si="182"/>
        <v>6</v>
      </c>
      <c r="AN1074" s="2" t="str">
        <f t="shared" si="183"/>
        <v>21A</v>
      </c>
      <c r="AO1074" s="2"/>
      <c r="AP1074" s="2" t="str">
        <f t="shared" si="184"/>
        <v>621A</v>
      </c>
    </row>
    <row r="1075" spans="7:42" x14ac:dyDescent="0.2">
      <c r="G1075" s="3"/>
      <c r="H1075" s="8"/>
      <c r="K1075" s="6"/>
      <c r="L1075" s="6"/>
      <c r="M1075" s="6"/>
      <c r="N1075" s="6"/>
      <c r="O1075" s="6"/>
      <c r="AJ1075" s="6">
        <f t="shared" si="181"/>
        <v>499</v>
      </c>
      <c r="AK1075">
        <v>1058</v>
      </c>
      <c r="AM1075" s="2" t="str">
        <f t="shared" si="182"/>
        <v>6</v>
      </c>
      <c r="AN1075" s="2" t="str">
        <f t="shared" si="183"/>
        <v>1F3</v>
      </c>
      <c r="AO1075" s="2"/>
      <c r="AP1075" s="2" t="str">
        <f t="shared" si="184"/>
        <v>61F3</v>
      </c>
    </row>
    <row r="1076" spans="7:42" x14ac:dyDescent="0.2">
      <c r="G1076" s="3"/>
      <c r="H1076" s="8"/>
      <c r="K1076" s="6"/>
      <c r="L1076" s="6"/>
      <c r="M1076" s="6"/>
      <c r="N1076" s="6"/>
      <c r="O1076" s="6"/>
      <c r="AJ1076" s="6">
        <f t="shared" si="181"/>
        <v>461</v>
      </c>
      <c r="AK1076">
        <v>1059</v>
      </c>
      <c r="AM1076" s="2" t="str">
        <f t="shared" si="182"/>
        <v>6</v>
      </c>
      <c r="AN1076" s="2" t="str">
        <f t="shared" si="183"/>
        <v>1CD</v>
      </c>
      <c r="AO1076" s="2"/>
      <c r="AP1076" s="2" t="str">
        <f t="shared" si="184"/>
        <v>61CD</v>
      </c>
    </row>
    <row r="1077" spans="7:42" x14ac:dyDescent="0.2">
      <c r="G1077" s="3"/>
      <c r="H1077" s="8"/>
      <c r="K1077" s="6"/>
      <c r="L1077" s="6"/>
      <c r="M1077" s="6"/>
      <c r="N1077" s="6"/>
      <c r="O1077" s="6"/>
      <c r="AJ1077" s="6">
        <f t="shared" si="181"/>
        <v>422</v>
      </c>
      <c r="AK1077">
        <v>1060</v>
      </c>
      <c r="AM1077" s="2" t="str">
        <f t="shared" si="182"/>
        <v>6</v>
      </c>
      <c r="AN1077" s="2" t="str">
        <f t="shared" si="183"/>
        <v>1A6</v>
      </c>
      <c r="AO1077" s="2"/>
      <c r="AP1077" s="2" t="str">
        <f t="shared" si="184"/>
        <v>61A6</v>
      </c>
    </row>
    <row r="1078" spans="7:42" x14ac:dyDescent="0.2">
      <c r="G1078" s="3"/>
      <c r="H1078" s="8"/>
      <c r="K1078" s="6"/>
      <c r="L1078" s="6"/>
      <c r="M1078" s="6"/>
      <c r="N1078" s="6"/>
      <c r="O1078" s="6"/>
      <c r="AJ1078" s="6">
        <f t="shared" si="181"/>
        <v>384</v>
      </c>
      <c r="AK1078">
        <v>1061</v>
      </c>
      <c r="AM1078" s="2" t="str">
        <f t="shared" si="182"/>
        <v>6</v>
      </c>
      <c r="AN1078" s="2" t="str">
        <f t="shared" si="183"/>
        <v>180</v>
      </c>
      <c r="AO1078" s="2"/>
      <c r="AP1078" s="2" t="str">
        <f t="shared" si="184"/>
        <v>6180</v>
      </c>
    </row>
    <row r="1079" spans="7:42" x14ac:dyDescent="0.2">
      <c r="G1079" s="3"/>
      <c r="H1079" s="8"/>
      <c r="K1079" s="6"/>
      <c r="L1079" s="6"/>
      <c r="M1079" s="6"/>
      <c r="N1079" s="6"/>
      <c r="O1079" s="6"/>
      <c r="AJ1079" s="6">
        <f t="shared" si="181"/>
        <v>345</v>
      </c>
      <c r="AK1079">
        <v>1062</v>
      </c>
      <c r="AM1079" s="2" t="str">
        <f t="shared" si="182"/>
        <v>6</v>
      </c>
      <c r="AN1079" s="2" t="str">
        <f t="shared" si="183"/>
        <v>159</v>
      </c>
      <c r="AO1079" s="2"/>
      <c r="AP1079" s="2" t="str">
        <f t="shared" si="184"/>
        <v>6159</v>
      </c>
    </row>
    <row r="1080" spans="7:42" x14ac:dyDescent="0.2">
      <c r="G1080" s="3"/>
      <c r="H1080" s="8"/>
      <c r="K1080" s="6"/>
      <c r="L1080" s="6"/>
      <c r="M1080" s="6"/>
      <c r="N1080" s="6"/>
      <c r="O1080" s="6"/>
      <c r="AJ1080" s="6">
        <f t="shared" si="181"/>
        <v>307</v>
      </c>
      <c r="AK1080">
        <v>1063</v>
      </c>
      <c r="AM1080" s="2" t="str">
        <f t="shared" si="182"/>
        <v>6</v>
      </c>
      <c r="AN1080" s="2" t="str">
        <f t="shared" si="183"/>
        <v>133</v>
      </c>
      <c r="AO1080" s="2"/>
      <c r="AP1080" s="2" t="str">
        <f t="shared" si="184"/>
        <v>6133</v>
      </c>
    </row>
    <row r="1081" spans="7:42" x14ac:dyDescent="0.2">
      <c r="G1081" s="3"/>
      <c r="H1081" s="8"/>
      <c r="K1081" s="6"/>
      <c r="L1081" s="6"/>
      <c r="M1081" s="6"/>
      <c r="N1081" s="6"/>
      <c r="O1081" s="6"/>
      <c r="AJ1081" s="6">
        <f t="shared" si="181"/>
        <v>268</v>
      </c>
      <c r="AK1081">
        <v>1064</v>
      </c>
      <c r="AM1081" s="2" t="str">
        <f t="shared" si="182"/>
        <v>6</v>
      </c>
      <c r="AN1081" s="2" t="str">
        <f t="shared" si="183"/>
        <v>10C</v>
      </c>
      <c r="AO1081" s="2"/>
      <c r="AP1081" s="2" t="str">
        <f t="shared" si="184"/>
        <v>610C</v>
      </c>
    </row>
    <row r="1082" spans="7:42" x14ac:dyDescent="0.2">
      <c r="G1082" s="3"/>
      <c r="H1082" s="8"/>
      <c r="K1082" s="6"/>
      <c r="L1082" s="6"/>
      <c r="M1082" s="6"/>
      <c r="N1082" s="6"/>
      <c r="O1082" s="6"/>
      <c r="AJ1082" s="6">
        <f t="shared" si="181"/>
        <v>230</v>
      </c>
      <c r="AK1082">
        <v>1065</v>
      </c>
      <c r="AM1082" s="2" t="str">
        <f t="shared" si="182"/>
        <v>6</v>
      </c>
      <c r="AN1082" s="2" t="str">
        <f t="shared" si="183"/>
        <v>0E6</v>
      </c>
      <c r="AO1082" s="2"/>
      <c r="AP1082" s="2" t="str">
        <f t="shared" si="184"/>
        <v>60E6</v>
      </c>
    </row>
    <row r="1083" spans="7:42" x14ac:dyDescent="0.2">
      <c r="G1083" s="3"/>
      <c r="H1083" s="8"/>
      <c r="K1083" s="6"/>
      <c r="L1083" s="6"/>
      <c r="M1083" s="6"/>
      <c r="N1083" s="6"/>
      <c r="O1083" s="6"/>
      <c r="AJ1083" s="6">
        <f t="shared" si="181"/>
        <v>230</v>
      </c>
      <c r="AK1083">
        <v>1066</v>
      </c>
      <c r="AM1083" s="2" t="str">
        <f t="shared" si="182"/>
        <v>6</v>
      </c>
      <c r="AN1083" s="2" t="str">
        <f t="shared" si="183"/>
        <v>0E6</v>
      </c>
      <c r="AO1083" s="2"/>
      <c r="AP1083" s="2" t="str">
        <f t="shared" si="184"/>
        <v>60E6</v>
      </c>
    </row>
    <row r="1084" spans="7:42" x14ac:dyDescent="0.2">
      <c r="G1084" s="3"/>
      <c r="H1084" s="8"/>
      <c r="K1084" s="6"/>
      <c r="L1084" s="6"/>
      <c r="M1084" s="6"/>
      <c r="N1084" s="6"/>
      <c r="O1084" s="6"/>
      <c r="AJ1084" s="6">
        <f t="shared" si="181"/>
        <v>230</v>
      </c>
      <c r="AK1084">
        <v>1067</v>
      </c>
      <c r="AM1084" s="2" t="str">
        <f t="shared" si="182"/>
        <v>6</v>
      </c>
      <c r="AN1084" s="2" t="str">
        <f t="shared" si="183"/>
        <v>0E6</v>
      </c>
      <c r="AO1084" s="2"/>
      <c r="AP1084" s="2" t="str">
        <f t="shared" si="184"/>
        <v>60E6</v>
      </c>
    </row>
    <row r="1085" spans="7:42" x14ac:dyDescent="0.2">
      <c r="G1085" s="3"/>
      <c r="H1085" s="8"/>
      <c r="K1085" s="6"/>
      <c r="L1085" s="6"/>
      <c r="M1085" s="6"/>
      <c r="N1085" s="6"/>
      <c r="O1085" s="6"/>
      <c r="AJ1085" s="6">
        <f t="shared" si="181"/>
        <v>230</v>
      </c>
      <c r="AK1085">
        <v>1068</v>
      </c>
      <c r="AM1085" s="2" t="str">
        <f t="shared" si="182"/>
        <v>6</v>
      </c>
      <c r="AN1085" s="2" t="str">
        <f t="shared" si="183"/>
        <v>0E6</v>
      </c>
      <c r="AO1085" s="2"/>
      <c r="AP1085" s="2" t="str">
        <f t="shared" si="184"/>
        <v>60E6</v>
      </c>
    </row>
    <row r="1086" spans="7:42" x14ac:dyDescent="0.2">
      <c r="G1086" s="3"/>
      <c r="H1086" s="8"/>
      <c r="K1086" s="6"/>
      <c r="L1086" s="6"/>
      <c r="M1086" s="6"/>
      <c r="N1086" s="6"/>
      <c r="O1086" s="6"/>
      <c r="AJ1086" s="6">
        <f t="shared" si="181"/>
        <v>230</v>
      </c>
      <c r="AK1086">
        <v>1069</v>
      </c>
      <c r="AM1086" s="2" t="str">
        <f t="shared" si="182"/>
        <v>6</v>
      </c>
      <c r="AN1086" s="2" t="str">
        <f t="shared" si="183"/>
        <v>0E6</v>
      </c>
      <c r="AO1086" s="2"/>
      <c r="AP1086" s="2" t="str">
        <f t="shared" si="184"/>
        <v>60E6</v>
      </c>
    </row>
    <row r="1087" spans="7:42" x14ac:dyDescent="0.2">
      <c r="G1087" s="3"/>
      <c r="H1087" s="8"/>
      <c r="K1087" s="6"/>
      <c r="L1087" s="6"/>
      <c r="M1087" s="6"/>
      <c r="N1087" s="6"/>
      <c r="O1087" s="6"/>
      <c r="AJ1087" s="6">
        <f t="shared" si="181"/>
        <v>230</v>
      </c>
      <c r="AK1087">
        <v>1070</v>
      </c>
      <c r="AM1087" s="2" t="str">
        <f t="shared" si="182"/>
        <v>6</v>
      </c>
      <c r="AN1087" s="2" t="str">
        <f t="shared" si="183"/>
        <v>0E6</v>
      </c>
      <c r="AO1087" s="2"/>
      <c r="AP1087" s="2" t="str">
        <f t="shared" si="184"/>
        <v>60E6</v>
      </c>
    </row>
    <row r="1088" spans="7:42" x14ac:dyDescent="0.2">
      <c r="G1088" s="3"/>
      <c r="H1088" s="8"/>
      <c r="K1088" s="6"/>
      <c r="L1088" s="6"/>
      <c r="M1088" s="6"/>
      <c r="N1088" s="6"/>
      <c r="O1088" s="6"/>
      <c r="AJ1088" s="6">
        <f t="shared" si="181"/>
        <v>230</v>
      </c>
      <c r="AK1088">
        <v>1071</v>
      </c>
      <c r="AM1088" s="2" t="str">
        <f t="shared" si="182"/>
        <v>6</v>
      </c>
      <c r="AN1088" s="2" t="str">
        <f t="shared" si="183"/>
        <v>0E6</v>
      </c>
      <c r="AO1088" s="2"/>
      <c r="AP1088" s="2" t="str">
        <f t="shared" si="184"/>
        <v>60E6</v>
      </c>
    </row>
    <row r="1089" spans="7:42" x14ac:dyDescent="0.2">
      <c r="G1089" s="3"/>
      <c r="H1089" s="8"/>
      <c r="K1089" s="6"/>
      <c r="L1089" s="6"/>
      <c r="M1089" s="6"/>
      <c r="N1089" s="6"/>
      <c r="O1089" s="6"/>
      <c r="AJ1089" s="6">
        <f t="shared" si="181"/>
        <v>230</v>
      </c>
      <c r="AK1089">
        <v>1072</v>
      </c>
      <c r="AM1089" s="2" t="str">
        <f t="shared" si="182"/>
        <v>6</v>
      </c>
      <c r="AN1089" s="2" t="str">
        <f t="shared" si="183"/>
        <v>0E6</v>
      </c>
      <c r="AO1089" s="2"/>
      <c r="AP1089" s="2" t="str">
        <f t="shared" si="184"/>
        <v>60E6</v>
      </c>
    </row>
    <row r="1090" spans="7:42" x14ac:dyDescent="0.2">
      <c r="G1090" s="3"/>
      <c r="H1090" s="8"/>
      <c r="K1090" s="6"/>
      <c r="L1090" s="6"/>
      <c r="M1090" s="6"/>
      <c r="N1090" s="6"/>
      <c r="O1090" s="6"/>
      <c r="AJ1090" s="6">
        <f t="shared" si="181"/>
        <v>230</v>
      </c>
      <c r="AK1090">
        <v>1073</v>
      </c>
      <c r="AM1090" s="2" t="str">
        <f t="shared" si="182"/>
        <v>6</v>
      </c>
      <c r="AN1090" s="2" t="str">
        <f t="shared" si="183"/>
        <v>0E6</v>
      </c>
      <c r="AO1090" s="2"/>
      <c r="AP1090" s="2" t="str">
        <f t="shared" si="184"/>
        <v>60E6</v>
      </c>
    </row>
    <row r="1091" spans="7:42" x14ac:dyDescent="0.2">
      <c r="G1091" s="3"/>
      <c r="H1091" s="8"/>
      <c r="K1091" s="6"/>
      <c r="L1091" s="6"/>
      <c r="M1091" s="6"/>
      <c r="N1091" s="6"/>
      <c r="O1091" s="6"/>
      <c r="AJ1091" s="6">
        <f t="shared" si="181"/>
        <v>230</v>
      </c>
      <c r="AK1091">
        <v>1074</v>
      </c>
      <c r="AM1091" s="2" t="str">
        <f t="shared" si="182"/>
        <v>6</v>
      </c>
      <c r="AN1091" s="2" t="str">
        <f t="shared" si="183"/>
        <v>0E6</v>
      </c>
      <c r="AO1091" s="2"/>
      <c r="AP1091" s="2" t="str">
        <f t="shared" si="184"/>
        <v>60E6</v>
      </c>
    </row>
    <row r="1092" spans="7:42" x14ac:dyDescent="0.2">
      <c r="G1092" s="3"/>
      <c r="H1092" s="8"/>
      <c r="K1092" s="6"/>
      <c r="L1092" s="6"/>
      <c r="M1092" s="6"/>
      <c r="N1092" s="6"/>
      <c r="O1092" s="6"/>
      <c r="AJ1092" s="6">
        <f t="shared" si="181"/>
        <v>230</v>
      </c>
      <c r="AK1092">
        <v>1075</v>
      </c>
      <c r="AM1092" s="2" t="str">
        <f t="shared" si="182"/>
        <v>6</v>
      </c>
      <c r="AN1092" s="2" t="str">
        <f t="shared" si="183"/>
        <v>0E6</v>
      </c>
      <c r="AO1092" s="2"/>
      <c r="AP1092" s="2" t="str">
        <f t="shared" si="184"/>
        <v>60E6</v>
      </c>
    </row>
    <row r="1093" spans="7:42" x14ac:dyDescent="0.2">
      <c r="G1093" s="3"/>
      <c r="H1093" s="8"/>
      <c r="K1093" s="6"/>
      <c r="L1093" s="6"/>
      <c r="M1093" s="6"/>
      <c r="N1093" s="6"/>
      <c r="O1093" s="6"/>
      <c r="AJ1093" s="6">
        <f t="shared" si="181"/>
        <v>230</v>
      </c>
      <c r="AK1093">
        <v>1076</v>
      </c>
      <c r="AM1093" s="2" t="str">
        <f t="shared" si="182"/>
        <v>6</v>
      </c>
      <c r="AN1093" s="2" t="str">
        <f t="shared" si="183"/>
        <v>0E6</v>
      </c>
      <c r="AO1093" s="2"/>
      <c r="AP1093" s="2" t="str">
        <f t="shared" si="184"/>
        <v>60E6</v>
      </c>
    </row>
    <row r="1094" spans="7:42" x14ac:dyDescent="0.2">
      <c r="G1094" s="3"/>
      <c r="H1094" s="8"/>
      <c r="K1094" s="6"/>
      <c r="L1094" s="6"/>
      <c r="M1094" s="6"/>
      <c r="N1094" s="6"/>
      <c r="O1094" s="6"/>
      <c r="AJ1094" s="6">
        <f t="shared" si="181"/>
        <v>230</v>
      </c>
      <c r="AK1094">
        <v>1077</v>
      </c>
      <c r="AM1094" s="2" t="str">
        <f t="shared" si="182"/>
        <v>6</v>
      </c>
      <c r="AN1094" s="2" t="str">
        <f t="shared" si="183"/>
        <v>0E6</v>
      </c>
      <c r="AO1094" s="2"/>
      <c r="AP1094" s="2" t="str">
        <f t="shared" si="184"/>
        <v>60E6</v>
      </c>
    </row>
    <row r="1095" spans="7:42" x14ac:dyDescent="0.2">
      <c r="G1095" s="3"/>
      <c r="H1095" s="8"/>
      <c r="K1095" s="6"/>
      <c r="L1095" s="6"/>
      <c r="M1095" s="6"/>
      <c r="N1095" s="6"/>
      <c r="O1095" s="6"/>
      <c r="AJ1095" s="6">
        <f t="shared" si="181"/>
        <v>230</v>
      </c>
      <c r="AK1095">
        <v>1078</v>
      </c>
      <c r="AM1095" s="2" t="str">
        <f t="shared" si="182"/>
        <v>6</v>
      </c>
      <c r="AN1095" s="2" t="str">
        <f t="shared" si="183"/>
        <v>0E6</v>
      </c>
      <c r="AO1095" s="2"/>
      <c r="AP1095" s="2" t="str">
        <f t="shared" si="184"/>
        <v>60E6</v>
      </c>
    </row>
    <row r="1096" spans="7:42" x14ac:dyDescent="0.2">
      <c r="G1096" s="3"/>
      <c r="H1096" s="8"/>
      <c r="K1096" s="6"/>
      <c r="L1096" s="6"/>
      <c r="M1096" s="6"/>
      <c r="N1096" s="6"/>
      <c r="O1096" s="6"/>
      <c r="AJ1096" s="6">
        <f t="shared" si="181"/>
        <v>230</v>
      </c>
      <c r="AK1096">
        <v>1079</v>
      </c>
      <c r="AM1096" s="2" t="str">
        <f t="shared" si="182"/>
        <v>6</v>
      </c>
      <c r="AN1096" s="2" t="str">
        <f t="shared" si="183"/>
        <v>0E6</v>
      </c>
      <c r="AO1096" s="2"/>
      <c r="AP1096" s="2" t="str">
        <f t="shared" si="184"/>
        <v>60E6</v>
      </c>
    </row>
    <row r="1097" spans="7:42" x14ac:dyDescent="0.2">
      <c r="G1097" s="3"/>
      <c r="H1097" s="8"/>
      <c r="K1097" s="6"/>
      <c r="L1097" s="6"/>
      <c r="M1097" s="6"/>
      <c r="N1097" s="6"/>
      <c r="O1097" s="6"/>
      <c r="AJ1097" s="6">
        <f t="shared" si="181"/>
        <v>230</v>
      </c>
      <c r="AK1097">
        <v>1080</v>
      </c>
      <c r="AM1097" s="2" t="str">
        <f t="shared" si="182"/>
        <v>6</v>
      </c>
      <c r="AN1097" s="2" t="str">
        <f t="shared" si="183"/>
        <v>0E6</v>
      </c>
      <c r="AO1097" s="2"/>
      <c r="AP1097" s="2" t="str">
        <f t="shared" si="184"/>
        <v>60E6</v>
      </c>
    </row>
    <row r="1098" spans="7:42" x14ac:dyDescent="0.2">
      <c r="G1098" s="3"/>
      <c r="H1098" s="8"/>
      <c r="K1098" s="6"/>
      <c r="L1098" s="6"/>
      <c r="M1098" s="6"/>
      <c r="N1098" s="6"/>
      <c r="O1098" s="6"/>
      <c r="AJ1098" s="6">
        <f t="shared" si="181"/>
        <v>230</v>
      </c>
      <c r="AK1098">
        <v>1081</v>
      </c>
      <c r="AM1098" s="2" t="str">
        <f t="shared" si="182"/>
        <v>6</v>
      </c>
      <c r="AN1098" s="2" t="str">
        <f t="shared" si="183"/>
        <v>0E6</v>
      </c>
      <c r="AO1098" s="2"/>
      <c r="AP1098" s="2" t="str">
        <f t="shared" si="184"/>
        <v>60E6</v>
      </c>
    </row>
    <row r="1099" spans="7:42" x14ac:dyDescent="0.2">
      <c r="G1099" s="3"/>
      <c r="H1099" s="8"/>
      <c r="K1099" s="6"/>
      <c r="L1099" s="6"/>
      <c r="M1099" s="6"/>
      <c r="N1099" s="6"/>
      <c r="O1099" s="6"/>
      <c r="AJ1099" s="6">
        <f t="shared" si="181"/>
        <v>230</v>
      </c>
      <c r="AK1099">
        <v>1082</v>
      </c>
      <c r="AM1099" s="2" t="str">
        <f t="shared" si="182"/>
        <v>6</v>
      </c>
      <c r="AN1099" s="2" t="str">
        <f t="shared" si="183"/>
        <v>0E6</v>
      </c>
      <c r="AO1099" s="2"/>
      <c r="AP1099" s="2" t="str">
        <f t="shared" si="184"/>
        <v>60E6</v>
      </c>
    </row>
    <row r="1100" spans="7:42" x14ac:dyDescent="0.2">
      <c r="G1100" s="3"/>
      <c r="H1100" s="8"/>
      <c r="K1100" s="6"/>
      <c r="L1100" s="6"/>
      <c r="M1100" s="6"/>
      <c r="N1100" s="6"/>
      <c r="O1100" s="6"/>
      <c r="AJ1100" s="6">
        <f t="shared" si="181"/>
        <v>230</v>
      </c>
      <c r="AK1100">
        <v>1083</v>
      </c>
      <c r="AM1100" s="2" t="str">
        <f t="shared" si="182"/>
        <v>6</v>
      </c>
      <c r="AN1100" s="2" t="str">
        <f t="shared" si="183"/>
        <v>0E6</v>
      </c>
      <c r="AO1100" s="2"/>
      <c r="AP1100" s="2" t="str">
        <f t="shared" si="184"/>
        <v>60E6</v>
      </c>
    </row>
    <row r="1101" spans="7:42" x14ac:dyDescent="0.2">
      <c r="G1101" s="3"/>
      <c r="H1101" s="8"/>
      <c r="K1101" s="6"/>
      <c r="L1101" s="6"/>
      <c r="M1101" s="6"/>
      <c r="N1101" s="6"/>
      <c r="O1101" s="6"/>
      <c r="AJ1101" s="6">
        <f t="shared" si="181"/>
        <v>230</v>
      </c>
      <c r="AK1101">
        <v>1084</v>
      </c>
      <c r="AM1101" s="2" t="str">
        <f t="shared" si="182"/>
        <v>6</v>
      </c>
      <c r="AN1101" s="2" t="str">
        <f t="shared" si="183"/>
        <v>0E6</v>
      </c>
      <c r="AO1101" s="2"/>
      <c r="AP1101" s="2" t="str">
        <f t="shared" si="184"/>
        <v>60E6</v>
      </c>
    </row>
    <row r="1102" spans="7:42" x14ac:dyDescent="0.2">
      <c r="G1102" s="3"/>
      <c r="H1102" s="8"/>
      <c r="K1102" s="6"/>
      <c r="L1102" s="6"/>
      <c r="M1102" s="6"/>
      <c r="N1102" s="6"/>
      <c r="O1102" s="6"/>
      <c r="AJ1102" s="6">
        <f t="shared" si="181"/>
        <v>230</v>
      </c>
      <c r="AK1102">
        <v>1085</v>
      </c>
      <c r="AM1102" s="2" t="str">
        <f t="shared" si="182"/>
        <v>6</v>
      </c>
      <c r="AN1102" s="2" t="str">
        <f t="shared" si="183"/>
        <v>0E6</v>
      </c>
      <c r="AO1102" s="2"/>
      <c r="AP1102" s="2" t="str">
        <f t="shared" si="184"/>
        <v>60E6</v>
      </c>
    </row>
    <row r="1103" spans="7:42" x14ac:dyDescent="0.2">
      <c r="G1103" s="3"/>
      <c r="H1103" s="8"/>
      <c r="K1103" s="6"/>
      <c r="L1103" s="6"/>
      <c r="M1103" s="6"/>
      <c r="N1103" s="6"/>
      <c r="O1103" s="6"/>
      <c r="AJ1103" s="6">
        <f t="shared" si="181"/>
        <v>230</v>
      </c>
      <c r="AK1103">
        <v>1086</v>
      </c>
      <c r="AM1103" s="2" t="str">
        <f t="shared" si="182"/>
        <v>6</v>
      </c>
      <c r="AN1103" s="2" t="str">
        <f t="shared" si="183"/>
        <v>0E6</v>
      </c>
      <c r="AO1103" s="2"/>
      <c r="AP1103" s="2" t="str">
        <f t="shared" si="184"/>
        <v>60E6</v>
      </c>
    </row>
    <row r="1104" spans="7:42" x14ac:dyDescent="0.2">
      <c r="G1104" s="3"/>
      <c r="H1104" s="8"/>
      <c r="K1104" s="6"/>
      <c r="L1104" s="6"/>
      <c r="M1104" s="6"/>
      <c r="N1104" s="6"/>
      <c r="O1104" s="6"/>
      <c r="AJ1104" s="6">
        <f t="shared" si="181"/>
        <v>230</v>
      </c>
      <c r="AK1104">
        <v>1087</v>
      </c>
      <c r="AM1104" s="2" t="str">
        <f t="shared" si="182"/>
        <v>6</v>
      </c>
      <c r="AN1104" s="2" t="str">
        <f t="shared" si="183"/>
        <v>0E6</v>
      </c>
      <c r="AO1104" s="2"/>
      <c r="AP1104" s="2" t="str">
        <f t="shared" si="184"/>
        <v>60E6</v>
      </c>
    </row>
    <row r="1105" spans="7:42" x14ac:dyDescent="0.2">
      <c r="G1105" s="3"/>
      <c r="H1105" s="8"/>
      <c r="K1105" s="6"/>
      <c r="L1105" s="6"/>
      <c r="M1105" s="6"/>
      <c r="N1105" s="6"/>
      <c r="O1105" s="6"/>
      <c r="AJ1105" s="6">
        <f t="shared" si="181"/>
        <v>268</v>
      </c>
      <c r="AK1105">
        <v>1088</v>
      </c>
      <c r="AM1105" s="2" t="str">
        <f t="shared" si="182"/>
        <v>6</v>
      </c>
      <c r="AN1105" s="2" t="str">
        <f t="shared" si="183"/>
        <v>10C</v>
      </c>
      <c r="AO1105" s="2"/>
      <c r="AP1105" s="2" t="str">
        <f t="shared" si="184"/>
        <v>610C</v>
      </c>
    </row>
    <row r="1106" spans="7:42" x14ac:dyDescent="0.2">
      <c r="G1106" s="3"/>
      <c r="H1106" s="8"/>
      <c r="K1106" s="6"/>
      <c r="L1106" s="6"/>
      <c r="M1106" s="6"/>
      <c r="N1106" s="6"/>
      <c r="O1106" s="6"/>
      <c r="AJ1106" s="6">
        <f t="shared" si="181"/>
        <v>307</v>
      </c>
      <c r="AK1106">
        <v>1089</v>
      </c>
      <c r="AM1106" s="2" t="str">
        <f t="shared" si="182"/>
        <v>6</v>
      </c>
      <c r="AN1106" s="2" t="str">
        <f t="shared" si="183"/>
        <v>133</v>
      </c>
      <c r="AO1106" s="2"/>
      <c r="AP1106" s="2" t="str">
        <f t="shared" si="184"/>
        <v>6133</v>
      </c>
    </row>
    <row r="1107" spans="7:42" x14ac:dyDescent="0.2">
      <c r="G1107" s="3"/>
      <c r="H1107" s="8"/>
      <c r="K1107" s="6"/>
      <c r="L1107" s="6"/>
      <c r="M1107" s="6"/>
      <c r="N1107" s="6"/>
      <c r="O1107" s="6"/>
      <c r="AJ1107" s="6">
        <f t="shared" ref="AJ1107:AJ1170" si="185">ROUNDDOWN(($W83*$W$16+$I$6*100)*10,0)</f>
        <v>345</v>
      </c>
      <c r="AK1107">
        <v>1090</v>
      </c>
      <c r="AM1107" s="2" t="str">
        <f t="shared" ref="AM1107:AM1170" si="186">BIN2HEX(S83+10*T83+100*U83+1000*V83,1)</f>
        <v>6</v>
      </c>
      <c r="AN1107" s="2" t="str">
        <f t="shared" si="183"/>
        <v>159</v>
      </c>
      <c r="AO1107" s="2"/>
      <c r="AP1107" s="2" t="str">
        <f t="shared" si="184"/>
        <v>6159</v>
      </c>
    </row>
    <row r="1108" spans="7:42" x14ac:dyDescent="0.2">
      <c r="G1108" s="3"/>
      <c r="H1108" s="8"/>
      <c r="K1108" s="6"/>
      <c r="L1108" s="6"/>
      <c r="M1108" s="6"/>
      <c r="N1108" s="6"/>
      <c r="O1108" s="6"/>
      <c r="AJ1108" s="6">
        <f t="shared" si="185"/>
        <v>384</v>
      </c>
      <c r="AK1108">
        <v>1091</v>
      </c>
      <c r="AM1108" s="2" t="str">
        <f t="shared" si="186"/>
        <v>6</v>
      </c>
      <c r="AN1108" s="2" t="str">
        <f t="shared" si="183"/>
        <v>180</v>
      </c>
      <c r="AO1108" s="2"/>
      <c r="AP1108" s="2" t="str">
        <f t="shared" si="184"/>
        <v>6180</v>
      </c>
    </row>
    <row r="1109" spans="7:42" x14ac:dyDescent="0.2">
      <c r="G1109" s="3"/>
      <c r="H1109" s="8"/>
      <c r="K1109" s="6"/>
      <c r="L1109" s="6"/>
      <c r="M1109" s="6"/>
      <c r="N1109" s="6"/>
      <c r="O1109" s="6"/>
      <c r="AJ1109" s="6">
        <f t="shared" si="185"/>
        <v>422</v>
      </c>
      <c r="AK1109">
        <v>1092</v>
      </c>
      <c r="AM1109" s="2" t="str">
        <f t="shared" si="186"/>
        <v>6</v>
      </c>
      <c r="AN1109" s="2" t="str">
        <f t="shared" si="183"/>
        <v>1A6</v>
      </c>
      <c r="AO1109" s="2"/>
      <c r="AP1109" s="2" t="str">
        <f t="shared" si="184"/>
        <v>61A6</v>
      </c>
    </row>
    <row r="1110" spans="7:42" x14ac:dyDescent="0.2">
      <c r="G1110" s="3"/>
      <c r="H1110" s="8"/>
      <c r="K1110" s="6"/>
      <c r="L1110" s="6"/>
      <c r="M1110" s="6"/>
      <c r="N1110" s="6"/>
      <c r="O1110" s="6"/>
      <c r="AJ1110" s="6">
        <f t="shared" si="185"/>
        <v>461</v>
      </c>
      <c r="AK1110">
        <v>1093</v>
      </c>
      <c r="AM1110" s="2" t="str">
        <f t="shared" si="186"/>
        <v>6</v>
      </c>
      <c r="AN1110" s="2" t="str">
        <f t="shared" si="183"/>
        <v>1CD</v>
      </c>
      <c r="AO1110" s="2"/>
      <c r="AP1110" s="2" t="str">
        <f t="shared" si="184"/>
        <v>61CD</v>
      </c>
    </row>
    <row r="1111" spans="7:42" x14ac:dyDescent="0.2">
      <c r="G1111" s="3"/>
      <c r="H1111" s="8"/>
      <c r="K1111" s="6"/>
      <c r="L1111" s="6"/>
      <c r="M1111" s="6"/>
      <c r="N1111" s="6"/>
      <c r="O1111" s="6"/>
      <c r="AJ1111" s="6">
        <f t="shared" si="185"/>
        <v>499</v>
      </c>
      <c r="AK1111">
        <v>1094</v>
      </c>
      <c r="AM1111" s="2" t="str">
        <f t="shared" si="186"/>
        <v>6</v>
      </c>
      <c r="AN1111" s="2" t="str">
        <f t="shared" si="183"/>
        <v>1F3</v>
      </c>
      <c r="AO1111" s="2"/>
      <c r="AP1111" s="2" t="str">
        <f t="shared" si="184"/>
        <v>61F3</v>
      </c>
    </row>
    <row r="1112" spans="7:42" x14ac:dyDescent="0.2">
      <c r="G1112" s="3"/>
      <c r="H1112" s="8"/>
      <c r="K1112" s="6"/>
      <c r="L1112" s="6"/>
      <c r="M1112" s="6"/>
      <c r="N1112" s="6"/>
      <c r="O1112" s="6"/>
      <c r="AJ1112" s="6">
        <f t="shared" si="185"/>
        <v>538</v>
      </c>
      <c r="AK1112">
        <v>1095</v>
      </c>
      <c r="AM1112" s="2" t="str">
        <f t="shared" si="186"/>
        <v>6</v>
      </c>
      <c r="AN1112" s="2" t="str">
        <f t="shared" si="183"/>
        <v>21A</v>
      </c>
      <c r="AO1112" s="2"/>
      <c r="AP1112" s="2" t="str">
        <f t="shared" si="184"/>
        <v>621A</v>
      </c>
    </row>
    <row r="1113" spans="7:42" x14ac:dyDescent="0.2">
      <c r="G1113" s="3"/>
      <c r="H1113" s="8"/>
      <c r="K1113" s="6"/>
      <c r="L1113" s="6"/>
      <c r="M1113" s="6"/>
      <c r="N1113" s="6"/>
      <c r="O1113" s="6"/>
      <c r="AJ1113" s="6">
        <f t="shared" si="185"/>
        <v>576</v>
      </c>
      <c r="AK1113">
        <v>1096</v>
      </c>
      <c r="AM1113" s="2" t="str">
        <f t="shared" si="186"/>
        <v>6</v>
      </c>
      <c r="AN1113" s="2" t="str">
        <f t="shared" si="183"/>
        <v>240</v>
      </c>
      <c r="AO1113" s="2"/>
      <c r="AP1113" s="2" t="str">
        <f t="shared" si="184"/>
        <v>6240</v>
      </c>
    </row>
    <row r="1114" spans="7:42" x14ac:dyDescent="0.2">
      <c r="G1114" s="3"/>
      <c r="H1114" s="8"/>
      <c r="K1114" s="6"/>
      <c r="L1114" s="6"/>
      <c r="M1114" s="6"/>
      <c r="N1114" s="6"/>
      <c r="O1114" s="6"/>
      <c r="AJ1114" s="6">
        <f t="shared" si="185"/>
        <v>615</v>
      </c>
      <c r="AK1114">
        <v>1097</v>
      </c>
      <c r="AM1114" s="2" t="str">
        <f t="shared" si="186"/>
        <v>6</v>
      </c>
      <c r="AN1114" s="2" t="str">
        <f t="shared" si="183"/>
        <v>267</v>
      </c>
      <c r="AO1114" s="2"/>
      <c r="AP1114" s="2" t="str">
        <f t="shared" si="184"/>
        <v>6267</v>
      </c>
    </row>
    <row r="1115" spans="7:42" x14ac:dyDescent="0.2">
      <c r="G1115" s="3"/>
      <c r="H1115" s="8"/>
      <c r="K1115" s="6"/>
      <c r="L1115" s="6"/>
      <c r="M1115" s="6"/>
      <c r="N1115" s="6"/>
      <c r="O1115" s="6"/>
      <c r="AJ1115" s="6">
        <f t="shared" si="185"/>
        <v>653</v>
      </c>
      <c r="AK1115">
        <v>1098</v>
      </c>
      <c r="AM1115" s="2" t="str">
        <f t="shared" si="186"/>
        <v>6</v>
      </c>
      <c r="AN1115" s="2" t="str">
        <f t="shared" si="183"/>
        <v>28D</v>
      </c>
      <c r="AO1115" s="2"/>
      <c r="AP1115" s="2" t="str">
        <f t="shared" si="184"/>
        <v>628D</v>
      </c>
    </row>
    <row r="1116" spans="7:42" x14ac:dyDescent="0.2">
      <c r="G1116" s="3"/>
      <c r="H1116" s="8"/>
      <c r="K1116" s="6"/>
      <c r="L1116" s="6"/>
      <c r="M1116" s="6"/>
      <c r="N1116" s="6"/>
      <c r="O1116" s="6"/>
      <c r="AJ1116" s="6">
        <f t="shared" si="185"/>
        <v>692</v>
      </c>
      <c r="AK1116">
        <v>1099</v>
      </c>
      <c r="AM1116" s="2" t="str">
        <f t="shared" si="186"/>
        <v>6</v>
      </c>
      <c r="AN1116" s="2" t="str">
        <f t="shared" si="183"/>
        <v>2B4</v>
      </c>
      <c r="AO1116" s="2"/>
      <c r="AP1116" s="2" t="str">
        <f t="shared" si="184"/>
        <v>62B4</v>
      </c>
    </row>
    <row r="1117" spans="7:42" x14ac:dyDescent="0.2">
      <c r="G1117" s="3"/>
      <c r="H1117" s="8"/>
      <c r="K1117" s="6"/>
      <c r="L1117" s="6"/>
      <c r="M1117" s="6"/>
      <c r="N1117" s="6"/>
      <c r="O1117" s="6"/>
      <c r="AJ1117" s="6">
        <f t="shared" si="185"/>
        <v>730</v>
      </c>
      <c r="AK1117">
        <v>1100</v>
      </c>
      <c r="AM1117" s="2" t="str">
        <f t="shared" si="186"/>
        <v>6</v>
      </c>
      <c r="AN1117" s="2" t="str">
        <f t="shared" si="183"/>
        <v>2DA</v>
      </c>
      <c r="AO1117" s="2"/>
      <c r="AP1117" s="2" t="str">
        <f t="shared" si="184"/>
        <v>62DA</v>
      </c>
    </row>
    <row r="1118" spans="7:42" x14ac:dyDescent="0.2">
      <c r="G1118" s="3"/>
      <c r="H1118" s="8"/>
      <c r="AJ1118" s="6">
        <f t="shared" si="185"/>
        <v>769</v>
      </c>
      <c r="AK1118">
        <v>1101</v>
      </c>
      <c r="AM1118" s="2" t="str">
        <f t="shared" si="186"/>
        <v>6</v>
      </c>
      <c r="AN1118" s="2" t="str">
        <f t="shared" si="183"/>
        <v>301</v>
      </c>
      <c r="AO1118" s="2"/>
      <c r="AP1118" s="2" t="str">
        <f t="shared" si="184"/>
        <v>6301</v>
      </c>
    </row>
    <row r="1119" spans="7:42" x14ac:dyDescent="0.2">
      <c r="G1119" s="3"/>
      <c r="H1119" s="8"/>
      <c r="AJ1119" s="6">
        <f t="shared" si="185"/>
        <v>807</v>
      </c>
      <c r="AK1119">
        <v>1102</v>
      </c>
      <c r="AM1119" s="2" t="str">
        <f t="shared" si="186"/>
        <v>6</v>
      </c>
      <c r="AN1119" s="2" t="str">
        <f t="shared" si="183"/>
        <v>327</v>
      </c>
      <c r="AO1119" s="2"/>
      <c r="AP1119" s="2" t="str">
        <f t="shared" si="184"/>
        <v>6327</v>
      </c>
    </row>
    <row r="1120" spans="7:42" x14ac:dyDescent="0.2">
      <c r="G1120" s="3"/>
      <c r="H1120" s="8"/>
      <c r="AJ1120" s="6">
        <f t="shared" si="185"/>
        <v>846</v>
      </c>
      <c r="AK1120">
        <v>1103</v>
      </c>
      <c r="AM1120" s="2" t="str">
        <f t="shared" si="186"/>
        <v>6</v>
      </c>
      <c r="AN1120" s="2" t="str">
        <f t="shared" ref="AN1120:AN1183" si="187">DEC2HEX(AJ1120,3)</f>
        <v>34E</v>
      </c>
      <c r="AO1120" s="2"/>
      <c r="AP1120" s="2" t="str">
        <f t="shared" ref="AP1120:AP1183" si="188">CONCATENATE(AM1120,AN1120)</f>
        <v>634E</v>
      </c>
    </row>
    <row r="1121" spans="7:42" x14ac:dyDescent="0.2">
      <c r="G1121" s="3"/>
      <c r="H1121" s="8"/>
      <c r="AJ1121" s="6">
        <f t="shared" si="185"/>
        <v>884</v>
      </c>
      <c r="AK1121">
        <v>1104</v>
      </c>
      <c r="AM1121" s="2" t="str">
        <f t="shared" si="186"/>
        <v>6</v>
      </c>
      <c r="AN1121" s="2" t="str">
        <f t="shared" si="187"/>
        <v>374</v>
      </c>
      <c r="AO1121" s="2"/>
      <c r="AP1121" s="2" t="str">
        <f t="shared" si="188"/>
        <v>6374</v>
      </c>
    </row>
    <row r="1122" spans="7:42" x14ac:dyDescent="0.2">
      <c r="G1122" s="3"/>
      <c r="H1122" s="8"/>
      <c r="AJ1122" s="6">
        <f t="shared" si="185"/>
        <v>923</v>
      </c>
      <c r="AK1122">
        <v>1105</v>
      </c>
      <c r="AM1122" s="2" t="str">
        <f t="shared" si="186"/>
        <v>6</v>
      </c>
      <c r="AN1122" s="2" t="str">
        <f t="shared" si="187"/>
        <v>39B</v>
      </c>
      <c r="AO1122" s="2"/>
      <c r="AP1122" s="2" t="str">
        <f t="shared" si="188"/>
        <v>639B</v>
      </c>
    </row>
    <row r="1123" spans="7:42" x14ac:dyDescent="0.2">
      <c r="G1123" s="3"/>
      <c r="H1123" s="8"/>
      <c r="AJ1123" s="6">
        <f t="shared" si="185"/>
        <v>961</v>
      </c>
      <c r="AK1123">
        <v>1106</v>
      </c>
      <c r="AM1123" s="2" t="str">
        <f t="shared" si="186"/>
        <v>6</v>
      </c>
      <c r="AN1123" s="2" t="str">
        <f t="shared" si="187"/>
        <v>3C1</v>
      </c>
      <c r="AO1123" s="2"/>
      <c r="AP1123" s="2" t="str">
        <f t="shared" si="188"/>
        <v>63C1</v>
      </c>
    </row>
    <row r="1124" spans="7:42" x14ac:dyDescent="0.2">
      <c r="G1124" s="3"/>
      <c r="H1124" s="8"/>
      <c r="AJ1124" s="6">
        <f t="shared" si="185"/>
        <v>1000</v>
      </c>
      <c r="AK1124">
        <v>1107</v>
      </c>
      <c r="AM1124" s="2" t="str">
        <f t="shared" si="186"/>
        <v>6</v>
      </c>
      <c r="AN1124" s="2" t="str">
        <f t="shared" si="187"/>
        <v>3E8</v>
      </c>
      <c r="AO1124" s="2"/>
      <c r="AP1124" s="2" t="str">
        <f t="shared" si="188"/>
        <v>63E8</v>
      </c>
    </row>
    <row r="1125" spans="7:42" x14ac:dyDescent="0.2">
      <c r="G1125" s="3"/>
      <c r="H1125" s="8"/>
      <c r="AJ1125" s="6">
        <f t="shared" si="185"/>
        <v>1000</v>
      </c>
      <c r="AK1125">
        <v>1108</v>
      </c>
      <c r="AM1125" s="2" t="str">
        <f t="shared" si="186"/>
        <v>6</v>
      </c>
      <c r="AN1125" s="2" t="str">
        <f t="shared" si="187"/>
        <v>3E8</v>
      </c>
      <c r="AO1125" s="2"/>
      <c r="AP1125" s="2" t="str">
        <f t="shared" si="188"/>
        <v>63E8</v>
      </c>
    </row>
    <row r="1126" spans="7:42" x14ac:dyDescent="0.2">
      <c r="G1126" s="3"/>
      <c r="H1126" s="8"/>
      <c r="AJ1126" s="6">
        <f t="shared" si="185"/>
        <v>1000</v>
      </c>
      <c r="AK1126">
        <v>1109</v>
      </c>
      <c r="AM1126" s="2" t="str">
        <f t="shared" si="186"/>
        <v>6</v>
      </c>
      <c r="AN1126" s="2" t="str">
        <f t="shared" si="187"/>
        <v>3E8</v>
      </c>
      <c r="AO1126" s="2"/>
      <c r="AP1126" s="2" t="str">
        <f t="shared" si="188"/>
        <v>63E8</v>
      </c>
    </row>
    <row r="1127" spans="7:42" x14ac:dyDescent="0.2">
      <c r="G1127" s="3"/>
      <c r="H1127" s="8"/>
      <c r="AJ1127" s="6">
        <f t="shared" si="185"/>
        <v>1000</v>
      </c>
      <c r="AK1127">
        <v>1110</v>
      </c>
      <c r="AM1127" s="2" t="str">
        <f t="shared" si="186"/>
        <v>6</v>
      </c>
      <c r="AN1127" s="2" t="str">
        <f t="shared" si="187"/>
        <v>3E8</v>
      </c>
      <c r="AO1127" s="2"/>
      <c r="AP1127" s="2" t="str">
        <f t="shared" si="188"/>
        <v>63E8</v>
      </c>
    </row>
    <row r="1128" spans="7:42" x14ac:dyDescent="0.2">
      <c r="G1128" s="3"/>
      <c r="H1128" s="8"/>
      <c r="AJ1128" s="6">
        <f t="shared" si="185"/>
        <v>1000</v>
      </c>
      <c r="AK1128">
        <v>1111</v>
      </c>
      <c r="AM1128" s="2" t="str">
        <f t="shared" si="186"/>
        <v>6</v>
      </c>
      <c r="AN1128" s="2" t="str">
        <f t="shared" si="187"/>
        <v>3E8</v>
      </c>
      <c r="AO1128" s="2"/>
      <c r="AP1128" s="2" t="str">
        <f t="shared" si="188"/>
        <v>63E8</v>
      </c>
    </row>
    <row r="1129" spans="7:42" x14ac:dyDescent="0.2">
      <c r="G1129" s="3"/>
      <c r="H1129" s="8"/>
      <c r="AJ1129" s="6">
        <f t="shared" si="185"/>
        <v>1000</v>
      </c>
      <c r="AK1129">
        <v>1112</v>
      </c>
      <c r="AM1129" s="2" t="str">
        <f t="shared" si="186"/>
        <v>6</v>
      </c>
      <c r="AN1129" s="2" t="str">
        <f t="shared" si="187"/>
        <v>3E8</v>
      </c>
      <c r="AO1129" s="2"/>
      <c r="AP1129" s="2" t="str">
        <f t="shared" si="188"/>
        <v>63E8</v>
      </c>
    </row>
    <row r="1130" spans="7:42" x14ac:dyDescent="0.2">
      <c r="G1130" s="3"/>
      <c r="H1130" s="8"/>
      <c r="AJ1130" s="6">
        <f t="shared" si="185"/>
        <v>1000</v>
      </c>
      <c r="AK1130">
        <v>1113</v>
      </c>
      <c r="AM1130" s="2" t="str">
        <f t="shared" si="186"/>
        <v>6</v>
      </c>
      <c r="AN1130" s="2" t="str">
        <f t="shared" si="187"/>
        <v>3E8</v>
      </c>
      <c r="AO1130" s="2"/>
      <c r="AP1130" s="2" t="str">
        <f t="shared" si="188"/>
        <v>63E8</v>
      </c>
    </row>
    <row r="1131" spans="7:42" x14ac:dyDescent="0.2">
      <c r="G1131" s="3"/>
      <c r="H1131" s="8"/>
      <c r="AJ1131" s="6">
        <f t="shared" si="185"/>
        <v>1000</v>
      </c>
      <c r="AK1131">
        <v>1114</v>
      </c>
      <c r="AM1131" s="2" t="str">
        <f t="shared" si="186"/>
        <v>6</v>
      </c>
      <c r="AN1131" s="2" t="str">
        <f t="shared" si="187"/>
        <v>3E8</v>
      </c>
      <c r="AO1131" s="2"/>
      <c r="AP1131" s="2" t="str">
        <f t="shared" si="188"/>
        <v>63E8</v>
      </c>
    </row>
    <row r="1132" spans="7:42" x14ac:dyDescent="0.2">
      <c r="G1132" s="3"/>
      <c r="H1132" s="8"/>
      <c r="AJ1132" s="6">
        <f t="shared" si="185"/>
        <v>1000</v>
      </c>
      <c r="AK1132">
        <v>1115</v>
      </c>
      <c r="AM1132" s="2" t="str">
        <f t="shared" si="186"/>
        <v>6</v>
      </c>
      <c r="AN1132" s="2" t="str">
        <f t="shared" si="187"/>
        <v>3E8</v>
      </c>
      <c r="AO1132" s="2"/>
      <c r="AP1132" s="2" t="str">
        <f t="shared" si="188"/>
        <v>63E8</v>
      </c>
    </row>
    <row r="1133" spans="7:42" x14ac:dyDescent="0.2">
      <c r="G1133" s="3"/>
      <c r="H1133" s="8"/>
      <c r="AJ1133" s="6">
        <f t="shared" si="185"/>
        <v>1000</v>
      </c>
      <c r="AK1133">
        <v>1116</v>
      </c>
      <c r="AM1133" s="2" t="str">
        <f t="shared" si="186"/>
        <v>6</v>
      </c>
      <c r="AN1133" s="2" t="str">
        <f t="shared" si="187"/>
        <v>3E8</v>
      </c>
      <c r="AO1133" s="2"/>
      <c r="AP1133" s="2" t="str">
        <f t="shared" si="188"/>
        <v>63E8</v>
      </c>
    </row>
    <row r="1134" spans="7:42" x14ac:dyDescent="0.2">
      <c r="G1134" s="3"/>
      <c r="H1134" s="8"/>
      <c r="AJ1134" s="6">
        <f t="shared" si="185"/>
        <v>1000</v>
      </c>
      <c r="AK1134">
        <v>1117</v>
      </c>
      <c r="AM1134" s="2" t="str">
        <f t="shared" si="186"/>
        <v>6</v>
      </c>
      <c r="AN1134" s="2" t="str">
        <f t="shared" si="187"/>
        <v>3E8</v>
      </c>
      <c r="AO1134" s="2"/>
      <c r="AP1134" s="2" t="str">
        <f t="shared" si="188"/>
        <v>63E8</v>
      </c>
    </row>
    <row r="1135" spans="7:42" x14ac:dyDescent="0.2">
      <c r="G1135" s="3"/>
      <c r="H1135" s="8"/>
      <c r="AJ1135" s="6">
        <f t="shared" si="185"/>
        <v>1000</v>
      </c>
      <c r="AK1135">
        <v>1118</v>
      </c>
      <c r="AM1135" s="2" t="str">
        <f t="shared" si="186"/>
        <v>6</v>
      </c>
      <c r="AN1135" s="2" t="str">
        <f t="shared" si="187"/>
        <v>3E8</v>
      </c>
      <c r="AO1135" s="2"/>
      <c r="AP1135" s="2" t="str">
        <f t="shared" si="188"/>
        <v>63E8</v>
      </c>
    </row>
    <row r="1136" spans="7:42" x14ac:dyDescent="0.2">
      <c r="G1136" s="3"/>
      <c r="H1136" s="8"/>
      <c r="AJ1136" s="6">
        <f t="shared" si="185"/>
        <v>1000</v>
      </c>
      <c r="AK1136">
        <v>1119</v>
      </c>
      <c r="AM1136" s="2" t="str">
        <f t="shared" si="186"/>
        <v>6</v>
      </c>
      <c r="AN1136" s="2" t="str">
        <f t="shared" si="187"/>
        <v>3E8</v>
      </c>
      <c r="AO1136" s="2"/>
      <c r="AP1136" s="2" t="str">
        <f t="shared" si="188"/>
        <v>63E8</v>
      </c>
    </row>
    <row r="1137" spans="7:42" x14ac:dyDescent="0.2">
      <c r="G1137" s="3"/>
      <c r="H1137" s="8"/>
      <c r="AJ1137" s="6">
        <f t="shared" si="185"/>
        <v>1000</v>
      </c>
      <c r="AK1137">
        <v>1120</v>
      </c>
      <c r="AM1137" s="2" t="str">
        <f t="shared" si="186"/>
        <v>6</v>
      </c>
      <c r="AN1137" s="2" t="str">
        <f t="shared" si="187"/>
        <v>3E8</v>
      </c>
      <c r="AO1137" s="2"/>
      <c r="AP1137" s="2" t="str">
        <f t="shared" si="188"/>
        <v>63E8</v>
      </c>
    </row>
    <row r="1138" spans="7:42" x14ac:dyDescent="0.2">
      <c r="G1138" s="3"/>
      <c r="H1138" s="8"/>
      <c r="AJ1138" s="6">
        <f t="shared" si="185"/>
        <v>1000</v>
      </c>
      <c r="AK1138">
        <v>1121</v>
      </c>
      <c r="AM1138" s="2" t="str">
        <f t="shared" si="186"/>
        <v>6</v>
      </c>
      <c r="AN1138" s="2" t="str">
        <f t="shared" si="187"/>
        <v>3E8</v>
      </c>
      <c r="AO1138" s="2"/>
      <c r="AP1138" s="2" t="str">
        <f t="shared" si="188"/>
        <v>63E8</v>
      </c>
    </row>
    <row r="1139" spans="7:42" x14ac:dyDescent="0.2">
      <c r="G1139" s="3"/>
      <c r="H1139" s="8"/>
      <c r="AJ1139" s="6">
        <f t="shared" si="185"/>
        <v>950</v>
      </c>
      <c r="AK1139">
        <v>1122</v>
      </c>
      <c r="AM1139" s="2" t="str">
        <f t="shared" si="186"/>
        <v>6</v>
      </c>
      <c r="AN1139" s="2" t="str">
        <f t="shared" si="187"/>
        <v>3B6</v>
      </c>
      <c r="AO1139" s="2"/>
      <c r="AP1139" s="2" t="str">
        <f t="shared" si="188"/>
        <v>63B6</v>
      </c>
    </row>
    <row r="1140" spans="7:42" x14ac:dyDescent="0.2">
      <c r="G1140" s="3"/>
      <c r="H1140" s="8"/>
      <c r="AJ1140" s="6">
        <f t="shared" si="185"/>
        <v>900</v>
      </c>
      <c r="AK1140">
        <v>1123</v>
      </c>
      <c r="AM1140" s="2" t="str">
        <f t="shared" si="186"/>
        <v>6</v>
      </c>
      <c r="AN1140" s="2" t="str">
        <f t="shared" si="187"/>
        <v>384</v>
      </c>
      <c r="AO1140" s="2"/>
      <c r="AP1140" s="2" t="str">
        <f t="shared" si="188"/>
        <v>6384</v>
      </c>
    </row>
    <row r="1141" spans="7:42" x14ac:dyDescent="0.2">
      <c r="G1141" s="3"/>
      <c r="H1141" s="8"/>
      <c r="AJ1141" s="6">
        <f t="shared" si="185"/>
        <v>850</v>
      </c>
      <c r="AK1141">
        <v>1124</v>
      </c>
      <c r="AM1141" s="2" t="str">
        <f t="shared" si="186"/>
        <v>6</v>
      </c>
      <c r="AN1141" s="2" t="str">
        <f t="shared" si="187"/>
        <v>352</v>
      </c>
      <c r="AO1141" s="2"/>
      <c r="AP1141" s="2" t="str">
        <f t="shared" si="188"/>
        <v>6352</v>
      </c>
    </row>
    <row r="1142" spans="7:42" x14ac:dyDescent="0.2">
      <c r="G1142" s="3"/>
      <c r="H1142" s="8"/>
      <c r="AJ1142" s="6">
        <f t="shared" si="185"/>
        <v>800</v>
      </c>
      <c r="AK1142">
        <v>1125</v>
      </c>
      <c r="AM1142" s="2" t="str">
        <f t="shared" si="186"/>
        <v>6</v>
      </c>
      <c r="AN1142" s="2" t="str">
        <f t="shared" si="187"/>
        <v>320</v>
      </c>
      <c r="AO1142" s="2"/>
      <c r="AP1142" s="2" t="str">
        <f t="shared" si="188"/>
        <v>6320</v>
      </c>
    </row>
    <row r="1143" spans="7:42" x14ac:dyDescent="0.2">
      <c r="G1143" s="3"/>
      <c r="H1143" s="8"/>
      <c r="AJ1143" s="6">
        <f t="shared" si="185"/>
        <v>750</v>
      </c>
      <c r="AK1143">
        <v>1126</v>
      </c>
      <c r="AM1143" s="2" t="str">
        <f t="shared" si="186"/>
        <v>6</v>
      </c>
      <c r="AN1143" s="2" t="str">
        <f t="shared" si="187"/>
        <v>2EE</v>
      </c>
      <c r="AO1143" s="2"/>
      <c r="AP1143" s="2" t="str">
        <f t="shared" si="188"/>
        <v>62EE</v>
      </c>
    </row>
    <row r="1144" spans="7:42" x14ac:dyDescent="0.2">
      <c r="G1144" s="3"/>
      <c r="H1144" s="8"/>
      <c r="AJ1144" s="6">
        <f t="shared" si="185"/>
        <v>700</v>
      </c>
      <c r="AK1144">
        <v>1127</v>
      </c>
      <c r="AM1144" s="2" t="str">
        <f t="shared" si="186"/>
        <v>6</v>
      </c>
      <c r="AN1144" s="2" t="str">
        <f t="shared" si="187"/>
        <v>2BC</v>
      </c>
      <c r="AO1144" s="2"/>
      <c r="AP1144" s="2" t="str">
        <f t="shared" si="188"/>
        <v>62BC</v>
      </c>
    </row>
    <row r="1145" spans="7:42" x14ac:dyDescent="0.2">
      <c r="G1145" s="3"/>
      <c r="H1145" s="8"/>
      <c r="AJ1145" s="6">
        <f t="shared" si="185"/>
        <v>650</v>
      </c>
      <c r="AK1145">
        <v>1128</v>
      </c>
      <c r="AM1145" s="2" t="str">
        <f t="shared" si="186"/>
        <v>6</v>
      </c>
      <c r="AN1145" s="2" t="str">
        <f t="shared" si="187"/>
        <v>28A</v>
      </c>
      <c r="AO1145" s="2"/>
      <c r="AP1145" s="2" t="str">
        <f t="shared" si="188"/>
        <v>628A</v>
      </c>
    </row>
    <row r="1146" spans="7:42" x14ac:dyDescent="0.2">
      <c r="G1146" s="3"/>
      <c r="H1146" s="8"/>
      <c r="AJ1146" s="6">
        <f t="shared" si="185"/>
        <v>600</v>
      </c>
      <c r="AK1146">
        <v>1129</v>
      </c>
      <c r="AM1146" s="2" t="str">
        <f t="shared" si="186"/>
        <v>6</v>
      </c>
      <c r="AN1146" s="2" t="str">
        <f t="shared" si="187"/>
        <v>258</v>
      </c>
      <c r="AO1146" s="2"/>
      <c r="AP1146" s="2" t="str">
        <f t="shared" si="188"/>
        <v>6258</v>
      </c>
    </row>
    <row r="1147" spans="7:42" x14ac:dyDescent="0.2">
      <c r="G1147" s="3"/>
      <c r="H1147" s="8"/>
      <c r="AJ1147" s="6">
        <f t="shared" si="185"/>
        <v>550</v>
      </c>
      <c r="AK1147">
        <v>1130</v>
      </c>
      <c r="AM1147" s="2" t="str">
        <f t="shared" si="186"/>
        <v>6</v>
      </c>
      <c r="AN1147" s="2" t="str">
        <f t="shared" si="187"/>
        <v>226</v>
      </c>
      <c r="AO1147" s="2"/>
      <c r="AP1147" s="2" t="str">
        <f t="shared" si="188"/>
        <v>6226</v>
      </c>
    </row>
    <row r="1148" spans="7:42" x14ac:dyDescent="0.2">
      <c r="G1148" s="3"/>
      <c r="H1148" s="8"/>
      <c r="AJ1148" s="6">
        <f t="shared" si="185"/>
        <v>500</v>
      </c>
      <c r="AK1148">
        <v>1131</v>
      </c>
      <c r="AM1148" s="2" t="str">
        <f t="shared" si="186"/>
        <v>6</v>
      </c>
      <c r="AN1148" s="2" t="str">
        <f t="shared" si="187"/>
        <v>1F4</v>
      </c>
      <c r="AO1148" s="2"/>
      <c r="AP1148" s="2" t="str">
        <f t="shared" si="188"/>
        <v>61F4</v>
      </c>
    </row>
    <row r="1149" spans="7:42" x14ac:dyDescent="0.2">
      <c r="G1149" s="3"/>
      <c r="H1149" s="8"/>
      <c r="AJ1149" s="6">
        <f t="shared" si="185"/>
        <v>450</v>
      </c>
      <c r="AK1149">
        <v>1132</v>
      </c>
      <c r="AM1149" s="2" t="str">
        <f t="shared" si="186"/>
        <v>6</v>
      </c>
      <c r="AN1149" s="2" t="str">
        <f t="shared" si="187"/>
        <v>1C2</v>
      </c>
      <c r="AO1149" s="2"/>
      <c r="AP1149" s="2" t="str">
        <f t="shared" si="188"/>
        <v>61C2</v>
      </c>
    </row>
    <row r="1150" spans="7:42" x14ac:dyDescent="0.2">
      <c r="G1150" s="3"/>
      <c r="H1150" s="8"/>
      <c r="AJ1150" s="6">
        <f t="shared" si="185"/>
        <v>400</v>
      </c>
      <c r="AK1150">
        <v>1133</v>
      </c>
      <c r="AM1150" s="2" t="str">
        <f t="shared" si="186"/>
        <v>6</v>
      </c>
      <c r="AN1150" s="2" t="str">
        <f t="shared" si="187"/>
        <v>190</v>
      </c>
      <c r="AO1150" s="2"/>
      <c r="AP1150" s="2" t="str">
        <f t="shared" si="188"/>
        <v>6190</v>
      </c>
    </row>
    <row r="1151" spans="7:42" x14ac:dyDescent="0.2">
      <c r="G1151" s="3"/>
      <c r="H1151" s="8"/>
      <c r="AJ1151" s="6">
        <f t="shared" si="185"/>
        <v>350</v>
      </c>
      <c r="AK1151">
        <v>1134</v>
      </c>
      <c r="AM1151" s="2" t="str">
        <f t="shared" si="186"/>
        <v>6</v>
      </c>
      <c r="AN1151" s="2" t="str">
        <f t="shared" si="187"/>
        <v>15E</v>
      </c>
      <c r="AO1151" s="2"/>
      <c r="AP1151" s="2" t="str">
        <f t="shared" si="188"/>
        <v>615E</v>
      </c>
    </row>
    <row r="1152" spans="7:42" x14ac:dyDescent="0.2">
      <c r="G1152" s="3"/>
      <c r="H1152" s="8"/>
      <c r="AJ1152" s="6">
        <f t="shared" si="185"/>
        <v>300</v>
      </c>
      <c r="AK1152">
        <v>1135</v>
      </c>
      <c r="AM1152" s="2" t="str">
        <f t="shared" si="186"/>
        <v>6</v>
      </c>
      <c r="AN1152" s="2" t="str">
        <f t="shared" si="187"/>
        <v>12C</v>
      </c>
      <c r="AO1152" s="2"/>
      <c r="AP1152" s="2" t="str">
        <f t="shared" si="188"/>
        <v>612C</v>
      </c>
    </row>
    <row r="1153" spans="7:42" x14ac:dyDescent="0.2">
      <c r="G1153" s="3"/>
      <c r="H1153" s="8"/>
      <c r="AJ1153" s="6">
        <f t="shared" si="185"/>
        <v>250</v>
      </c>
      <c r="AK1153">
        <v>1136</v>
      </c>
      <c r="AM1153" s="2" t="str">
        <f t="shared" si="186"/>
        <v>6</v>
      </c>
      <c r="AN1153" s="2" t="str">
        <f t="shared" si="187"/>
        <v>0FA</v>
      </c>
      <c r="AO1153" s="2"/>
      <c r="AP1153" s="2" t="str">
        <f t="shared" si="188"/>
        <v>60FA</v>
      </c>
    </row>
    <row r="1154" spans="7:42" x14ac:dyDescent="0.2">
      <c r="G1154" s="3"/>
      <c r="H1154" s="8"/>
      <c r="AJ1154" s="6">
        <f t="shared" si="185"/>
        <v>200</v>
      </c>
      <c r="AK1154">
        <v>1137</v>
      </c>
      <c r="AM1154" s="2" t="str">
        <f t="shared" si="186"/>
        <v>6</v>
      </c>
      <c r="AN1154" s="2" t="str">
        <f t="shared" si="187"/>
        <v>0C8</v>
      </c>
      <c r="AO1154" s="2"/>
      <c r="AP1154" s="2" t="str">
        <f t="shared" si="188"/>
        <v>60C8</v>
      </c>
    </row>
    <row r="1155" spans="7:42" x14ac:dyDescent="0.2">
      <c r="G1155" s="3"/>
      <c r="H1155" s="8"/>
      <c r="AJ1155" s="6">
        <f t="shared" si="185"/>
        <v>150</v>
      </c>
      <c r="AK1155">
        <v>1138</v>
      </c>
      <c r="AM1155" s="2" t="str">
        <f t="shared" si="186"/>
        <v>6</v>
      </c>
      <c r="AN1155" s="2" t="str">
        <f t="shared" si="187"/>
        <v>096</v>
      </c>
      <c r="AO1155" s="2"/>
      <c r="AP1155" s="2" t="str">
        <f t="shared" si="188"/>
        <v>6096</v>
      </c>
    </row>
    <row r="1156" spans="7:42" x14ac:dyDescent="0.2">
      <c r="G1156" s="3"/>
      <c r="H1156" s="8"/>
      <c r="AJ1156" s="6">
        <f t="shared" si="185"/>
        <v>100</v>
      </c>
      <c r="AK1156">
        <v>1139</v>
      </c>
      <c r="AM1156" s="2" t="str">
        <f t="shared" si="186"/>
        <v>6</v>
      </c>
      <c r="AN1156" s="2" t="str">
        <f t="shared" si="187"/>
        <v>064</v>
      </c>
      <c r="AO1156" s="2"/>
      <c r="AP1156" s="2" t="str">
        <f t="shared" si="188"/>
        <v>6064</v>
      </c>
    </row>
    <row r="1157" spans="7:42" x14ac:dyDescent="0.2">
      <c r="G1157" s="3"/>
      <c r="H1157" s="8"/>
      <c r="AJ1157" s="6">
        <f t="shared" si="185"/>
        <v>50</v>
      </c>
      <c r="AK1157">
        <v>1140</v>
      </c>
      <c r="AM1157" s="2" t="str">
        <f t="shared" si="186"/>
        <v>6</v>
      </c>
      <c r="AN1157" s="2" t="str">
        <f t="shared" si="187"/>
        <v>032</v>
      </c>
      <c r="AO1157" s="2"/>
      <c r="AP1157" s="2" t="str">
        <f t="shared" si="188"/>
        <v>6032</v>
      </c>
    </row>
    <row r="1158" spans="7:42" x14ac:dyDescent="0.2">
      <c r="G1158" s="3"/>
      <c r="H1158" s="8"/>
      <c r="AJ1158" s="6">
        <f t="shared" si="185"/>
        <v>0</v>
      </c>
      <c r="AK1158">
        <v>1141</v>
      </c>
      <c r="AM1158" s="2" t="str">
        <f t="shared" si="186"/>
        <v>6</v>
      </c>
      <c r="AN1158" s="2" t="str">
        <f t="shared" si="187"/>
        <v>000</v>
      </c>
      <c r="AO1158" s="2"/>
      <c r="AP1158" s="2" t="str">
        <f t="shared" si="188"/>
        <v>6000</v>
      </c>
    </row>
    <row r="1159" spans="7:42" x14ac:dyDescent="0.2">
      <c r="G1159" s="3"/>
      <c r="H1159" s="8"/>
      <c r="AJ1159" s="6">
        <f t="shared" si="185"/>
        <v>0</v>
      </c>
      <c r="AK1159">
        <v>1142</v>
      </c>
      <c r="AM1159" s="2" t="str">
        <f t="shared" si="186"/>
        <v>6</v>
      </c>
      <c r="AN1159" s="2" t="str">
        <f t="shared" si="187"/>
        <v>000</v>
      </c>
      <c r="AO1159" s="2"/>
      <c r="AP1159" s="2" t="str">
        <f t="shared" si="188"/>
        <v>6000</v>
      </c>
    </row>
    <row r="1160" spans="7:42" x14ac:dyDescent="0.2">
      <c r="G1160" s="3"/>
      <c r="H1160" s="8"/>
      <c r="AJ1160" s="6">
        <f t="shared" si="185"/>
        <v>0</v>
      </c>
      <c r="AK1160">
        <v>1143</v>
      </c>
      <c r="AM1160" s="2" t="str">
        <f t="shared" si="186"/>
        <v>6</v>
      </c>
      <c r="AN1160" s="2" t="str">
        <f t="shared" si="187"/>
        <v>000</v>
      </c>
      <c r="AO1160" s="2"/>
      <c r="AP1160" s="2" t="str">
        <f t="shared" si="188"/>
        <v>6000</v>
      </c>
    </row>
    <row r="1161" spans="7:42" x14ac:dyDescent="0.2">
      <c r="G1161" s="3"/>
      <c r="H1161" s="8"/>
      <c r="AJ1161" s="6">
        <f t="shared" si="185"/>
        <v>0</v>
      </c>
      <c r="AK1161">
        <v>1144</v>
      </c>
      <c r="AM1161" s="2" t="str">
        <f t="shared" si="186"/>
        <v>6</v>
      </c>
      <c r="AN1161" s="2" t="str">
        <f t="shared" si="187"/>
        <v>000</v>
      </c>
      <c r="AO1161" s="2"/>
      <c r="AP1161" s="2" t="str">
        <f t="shared" si="188"/>
        <v>6000</v>
      </c>
    </row>
    <row r="1162" spans="7:42" x14ac:dyDescent="0.2">
      <c r="G1162" s="3"/>
      <c r="H1162" s="8"/>
      <c r="AJ1162" s="6">
        <f t="shared" si="185"/>
        <v>0</v>
      </c>
      <c r="AK1162">
        <v>1145</v>
      </c>
      <c r="AM1162" s="2" t="str">
        <f t="shared" si="186"/>
        <v>6</v>
      </c>
      <c r="AN1162" s="2" t="str">
        <f t="shared" si="187"/>
        <v>000</v>
      </c>
      <c r="AO1162" s="2"/>
      <c r="AP1162" s="2" t="str">
        <f t="shared" si="188"/>
        <v>6000</v>
      </c>
    </row>
    <row r="1163" spans="7:42" x14ac:dyDescent="0.2">
      <c r="G1163" s="3"/>
      <c r="H1163" s="8"/>
      <c r="AJ1163" s="6">
        <f t="shared" si="185"/>
        <v>0</v>
      </c>
      <c r="AK1163">
        <v>1146</v>
      </c>
      <c r="AM1163" s="2" t="str">
        <f t="shared" si="186"/>
        <v>6</v>
      </c>
      <c r="AN1163" s="2" t="str">
        <f t="shared" si="187"/>
        <v>000</v>
      </c>
      <c r="AO1163" s="2"/>
      <c r="AP1163" s="2" t="str">
        <f t="shared" si="188"/>
        <v>6000</v>
      </c>
    </row>
    <row r="1164" spans="7:42" x14ac:dyDescent="0.2">
      <c r="G1164" s="3"/>
      <c r="H1164" s="8"/>
      <c r="AJ1164" s="6">
        <f t="shared" si="185"/>
        <v>0</v>
      </c>
      <c r="AK1164">
        <v>1147</v>
      </c>
      <c r="AM1164" s="2" t="str">
        <f t="shared" si="186"/>
        <v>6</v>
      </c>
      <c r="AN1164" s="2" t="str">
        <f t="shared" si="187"/>
        <v>000</v>
      </c>
      <c r="AO1164" s="2"/>
      <c r="AP1164" s="2" t="str">
        <f t="shared" si="188"/>
        <v>6000</v>
      </c>
    </row>
    <row r="1165" spans="7:42" x14ac:dyDescent="0.2">
      <c r="G1165" s="3"/>
      <c r="H1165" s="8"/>
      <c r="AJ1165" s="6">
        <f t="shared" si="185"/>
        <v>0</v>
      </c>
      <c r="AK1165">
        <v>1148</v>
      </c>
      <c r="AM1165" s="2" t="str">
        <f t="shared" si="186"/>
        <v>6</v>
      </c>
      <c r="AN1165" s="2" t="str">
        <f t="shared" si="187"/>
        <v>000</v>
      </c>
      <c r="AO1165" s="2"/>
      <c r="AP1165" s="2" t="str">
        <f t="shared" si="188"/>
        <v>6000</v>
      </c>
    </row>
    <row r="1166" spans="7:42" x14ac:dyDescent="0.2">
      <c r="G1166" s="3"/>
      <c r="H1166" s="8"/>
      <c r="AJ1166" s="6">
        <f t="shared" si="185"/>
        <v>0</v>
      </c>
      <c r="AK1166">
        <v>1149</v>
      </c>
      <c r="AM1166" s="2" t="str">
        <f t="shared" si="186"/>
        <v>6</v>
      </c>
      <c r="AN1166" s="2" t="str">
        <f t="shared" si="187"/>
        <v>000</v>
      </c>
      <c r="AO1166" s="2"/>
      <c r="AP1166" s="2" t="str">
        <f t="shared" si="188"/>
        <v>6000</v>
      </c>
    </row>
    <row r="1167" spans="7:42" x14ac:dyDescent="0.2">
      <c r="G1167" s="3"/>
      <c r="H1167" s="8"/>
      <c r="AJ1167" s="6">
        <f t="shared" si="185"/>
        <v>0</v>
      </c>
      <c r="AK1167">
        <v>1150</v>
      </c>
      <c r="AM1167" s="2" t="str">
        <f t="shared" si="186"/>
        <v>6</v>
      </c>
      <c r="AN1167" s="2" t="str">
        <f t="shared" si="187"/>
        <v>000</v>
      </c>
      <c r="AO1167" s="2"/>
      <c r="AP1167" s="2" t="str">
        <f t="shared" si="188"/>
        <v>6000</v>
      </c>
    </row>
    <row r="1168" spans="7:42" x14ac:dyDescent="0.2">
      <c r="G1168" s="3"/>
      <c r="H1168" s="8"/>
      <c r="AJ1168" s="6">
        <f t="shared" si="185"/>
        <v>0</v>
      </c>
      <c r="AK1168">
        <v>1151</v>
      </c>
      <c r="AM1168" s="2" t="str">
        <f t="shared" si="186"/>
        <v>6</v>
      </c>
      <c r="AN1168" s="2" t="str">
        <f t="shared" si="187"/>
        <v>000</v>
      </c>
      <c r="AO1168" s="2"/>
      <c r="AP1168" s="2" t="str">
        <f t="shared" si="188"/>
        <v>6000</v>
      </c>
    </row>
    <row r="1169" spans="7:42" x14ac:dyDescent="0.2">
      <c r="G1169" s="3"/>
      <c r="H1169" s="8"/>
      <c r="AJ1169" s="6">
        <f t="shared" si="185"/>
        <v>0</v>
      </c>
      <c r="AK1169">
        <v>1152</v>
      </c>
      <c r="AM1169" s="2" t="str">
        <f t="shared" si="186"/>
        <v>6</v>
      </c>
      <c r="AN1169" s="2" t="str">
        <f t="shared" si="187"/>
        <v>000</v>
      </c>
      <c r="AO1169" s="2"/>
      <c r="AP1169" s="2" t="str">
        <f t="shared" si="188"/>
        <v>6000</v>
      </c>
    </row>
    <row r="1170" spans="7:42" x14ac:dyDescent="0.2">
      <c r="G1170" s="3"/>
      <c r="H1170" s="8"/>
      <c r="AJ1170" s="6">
        <f t="shared" si="185"/>
        <v>0</v>
      </c>
      <c r="AK1170">
        <v>1153</v>
      </c>
      <c r="AM1170" s="2" t="str">
        <f t="shared" si="186"/>
        <v>6</v>
      </c>
      <c r="AN1170" s="2" t="str">
        <f t="shared" si="187"/>
        <v>000</v>
      </c>
      <c r="AO1170" s="2"/>
      <c r="AP1170" s="2" t="str">
        <f t="shared" si="188"/>
        <v>6000</v>
      </c>
    </row>
    <row r="1171" spans="7:42" x14ac:dyDescent="0.2">
      <c r="G1171" s="3"/>
      <c r="H1171" s="8"/>
      <c r="AJ1171" s="6">
        <f t="shared" ref="AJ1171:AJ1234" si="189">ROUNDDOWN(($W147*$W$16+$I$6*100)*10,0)</f>
        <v>0</v>
      </c>
      <c r="AK1171">
        <v>1154</v>
      </c>
      <c r="AM1171" s="2" t="str">
        <f t="shared" ref="AM1171:AM1234" si="190">BIN2HEX(S147+10*T147+100*U147+1000*V147,1)</f>
        <v>6</v>
      </c>
      <c r="AN1171" s="2" t="str">
        <f t="shared" si="187"/>
        <v>000</v>
      </c>
      <c r="AO1171" s="2"/>
      <c r="AP1171" s="2" t="str">
        <f t="shared" si="188"/>
        <v>6000</v>
      </c>
    </row>
    <row r="1172" spans="7:42" x14ac:dyDescent="0.2">
      <c r="G1172" s="3"/>
      <c r="H1172" s="8"/>
      <c r="AJ1172" s="6">
        <f t="shared" si="189"/>
        <v>0</v>
      </c>
      <c r="AK1172">
        <v>1155</v>
      </c>
      <c r="AM1172" s="2" t="str">
        <f t="shared" si="190"/>
        <v>6</v>
      </c>
      <c r="AN1172" s="2" t="str">
        <f t="shared" si="187"/>
        <v>000</v>
      </c>
      <c r="AO1172" s="2"/>
      <c r="AP1172" s="2" t="str">
        <f t="shared" si="188"/>
        <v>6000</v>
      </c>
    </row>
    <row r="1173" spans="7:42" x14ac:dyDescent="0.2">
      <c r="G1173" s="3"/>
      <c r="H1173" s="8"/>
      <c r="AJ1173" s="6">
        <f t="shared" si="189"/>
        <v>0</v>
      </c>
      <c r="AK1173">
        <v>1156</v>
      </c>
      <c r="AM1173" s="2" t="str">
        <f t="shared" si="190"/>
        <v>6</v>
      </c>
      <c r="AN1173" s="2" t="str">
        <f t="shared" si="187"/>
        <v>000</v>
      </c>
      <c r="AO1173" s="2"/>
      <c r="AP1173" s="2" t="str">
        <f t="shared" si="188"/>
        <v>6000</v>
      </c>
    </row>
    <row r="1174" spans="7:42" x14ac:dyDescent="0.2">
      <c r="G1174" s="3"/>
      <c r="H1174" s="8"/>
      <c r="AJ1174" s="6">
        <f t="shared" si="189"/>
        <v>0</v>
      </c>
      <c r="AK1174">
        <v>1157</v>
      </c>
      <c r="AM1174" s="2" t="str">
        <f t="shared" si="190"/>
        <v>6</v>
      </c>
      <c r="AN1174" s="2" t="str">
        <f t="shared" si="187"/>
        <v>000</v>
      </c>
      <c r="AO1174" s="2"/>
      <c r="AP1174" s="2" t="str">
        <f t="shared" si="188"/>
        <v>6000</v>
      </c>
    </row>
    <row r="1175" spans="7:42" x14ac:dyDescent="0.2">
      <c r="G1175" s="3"/>
      <c r="H1175" s="8"/>
      <c r="AJ1175" s="6">
        <f t="shared" si="189"/>
        <v>0</v>
      </c>
      <c r="AK1175">
        <v>1158</v>
      </c>
      <c r="AM1175" s="2" t="str">
        <f t="shared" si="190"/>
        <v>6</v>
      </c>
      <c r="AN1175" s="2" t="str">
        <f t="shared" si="187"/>
        <v>000</v>
      </c>
      <c r="AO1175" s="2"/>
      <c r="AP1175" s="2" t="str">
        <f t="shared" si="188"/>
        <v>6000</v>
      </c>
    </row>
    <row r="1176" spans="7:42" x14ac:dyDescent="0.2">
      <c r="G1176" s="3"/>
      <c r="H1176" s="8"/>
      <c r="AJ1176" s="6">
        <f t="shared" si="189"/>
        <v>0</v>
      </c>
      <c r="AK1176">
        <v>1159</v>
      </c>
      <c r="AM1176" s="2" t="str">
        <f t="shared" si="190"/>
        <v>6</v>
      </c>
      <c r="AN1176" s="2" t="str">
        <f t="shared" si="187"/>
        <v>000</v>
      </c>
      <c r="AO1176" s="2"/>
      <c r="AP1176" s="2" t="str">
        <f t="shared" si="188"/>
        <v>6000</v>
      </c>
    </row>
    <row r="1177" spans="7:42" x14ac:dyDescent="0.2">
      <c r="G1177" s="3"/>
      <c r="H1177" s="8"/>
      <c r="AJ1177" s="6">
        <f t="shared" si="189"/>
        <v>0</v>
      </c>
      <c r="AK1177">
        <v>1160</v>
      </c>
      <c r="AM1177" s="2" t="str">
        <f t="shared" si="190"/>
        <v>6</v>
      </c>
      <c r="AN1177" s="2" t="str">
        <f t="shared" si="187"/>
        <v>000</v>
      </c>
      <c r="AO1177" s="2"/>
      <c r="AP1177" s="2" t="str">
        <f t="shared" si="188"/>
        <v>6000</v>
      </c>
    </row>
    <row r="1178" spans="7:42" x14ac:dyDescent="0.2">
      <c r="G1178" s="3"/>
      <c r="H1178" s="8"/>
      <c r="AJ1178" s="6">
        <f t="shared" si="189"/>
        <v>0</v>
      </c>
      <c r="AK1178">
        <v>1161</v>
      </c>
      <c r="AM1178" s="2" t="str">
        <f t="shared" si="190"/>
        <v>6</v>
      </c>
      <c r="AN1178" s="2" t="str">
        <f t="shared" si="187"/>
        <v>000</v>
      </c>
      <c r="AO1178" s="2"/>
      <c r="AP1178" s="2" t="str">
        <f t="shared" si="188"/>
        <v>6000</v>
      </c>
    </row>
    <row r="1179" spans="7:42" x14ac:dyDescent="0.2">
      <c r="G1179" s="3"/>
      <c r="H1179" s="8"/>
      <c r="AJ1179" s="6">
        <f t="shared" si="189"/>
        <v>0</v>
      </c>
      <c r="AK1179">
        <v>1162</v>
      </c>
      <c r="AM1179" s="2" t="str">
        <f t="shared" si="190"/>
        <v>6</v>
      </c>
      <c r="AN1179" s="2" t="str">
        <f t="shared" si="187"/>
        <v>000</v>
      </c>
      <c r="AO1179" s="2"/>
      <c r="AP1179" s="2" t="str">
        <f t="shared" si="188"/>
        <v>6000</v>
      </c>
    </row>
    <row r="1180" spans="7:42" x14ac:dyDescent="0.2">
      <c r="G1180" s="3"/>
      <c r="H1180" s="8"/>
      <c r="AJ1180" s="6">
        <f t="shared" si="189"/>
        <v>0</v>
      </c>
      <c r="AK1180">
        <v>1163</v>
      </c>
      <c r="AM1180" s="2" t="str">
        <f t="shared" si="190"/>
        <v>6</v>
      </c>
      <c r="AN1180" s="2" t="str">
        <f t="shared" si="187"/>
        <v>000</v>
      </c>
      <c r="AO1180" s="2"/>
      <c r="AP1180" s="2" t="str">
        <f t="shared" si="188"/>
        <v>6000</v>
      </c>
    </row>
    <row r="1181" spans="7:42" x14ac:dyDescent="0.2">
      <c r="G1181" s="3"/>
      <c r="H1181" s="8"/>
      <c r="AJ1181" s="6">
        <f t="shared" si="189"/>
        <v>40</v>
      </c>
      <c r="AK1181">
        <v>1164</v>
      </c>
      <c r="AM1181" s="2" t="str">
        <f t="shared" si="190"/>
        <v>6</v>
      </c>
      <c r="AN1181" s="2" t="str">
        <f t="shared" si="187"/>
        <v>028</v>
      </c>
      <c r="AO1181" s="2"/>
      <c r="AP1181" s="2" t="str">
        <f t="shared" si="188"/>
        <v>6028</v>
      </c>
    </row>
    <row r="1182" spans="7:42" x14ac:dyDescent="0.2">
      <c r="G1182" s="3"/>
      <c r="H1182" s="8"/>
      <c r="AJ1182" s="6">
        <f t="shared" si="189"/>
        <v>80</v>
      </c>
      <c r="AK1182">
        <v>1165</v>
      </c>
      <c r="AM1182" s="2" t="str">
        <f t="shared" si="190"/>
        <v>6</v>
      </c>
      <c r="AN1182" s="2" t="str">
        <f t="shared" si="187"/>
        <v>050</v>
      </c>
      <c r="AO1182" s="2"/>
      <c r="AP1182" s="2" t="str">
        <f t="shared" si="188"/>
        <v>6050</v>
      </c>
    </row>
    <row r="1183" spans="7:42" x14ac:dyDescent="0.2">
      <c r="G1183" s="3"/>
      <c r="H1183" s="8"/>
      <c r="AJ1183" s="6">
        <f t="shared" si="189"/>
        <v>120</v>
      </c>
      <c r="AK1183">
        <v>1166</v>
      </c>
      <c r="AM1183" s="2" t="str">
        <f t="shared" si="190"/>
        <v>6</v>
      </c>
      <c r="AN1183" s="2" t="str">
        <f t="shared" si="187"/>
        <v>078</v>
      </c>
      <c r="AO1183" s="2"/>
      <c r="AP1183" s="2" t="str">
        <f t="shared" si="188"/>
        <v>6078</v>
      </c>
    </row>
    <row r="1184" spans="7:42" x14ac:dyDescent="0.2">
      <c r="G1184" s="3"/>
      <c r="H1184" s="8"/>
      <c r="AJ1184" s="6">
        <f t="shared" si="189"/>
        <v>160</v>
      </c>
      <c r="AK1184">
        <v>1167</v>
      </c>
      <c r="AM1184" s="2" t="str">
        <f t="shared" si="190"/>
        <v>6</v>
      </c>
      <c r="AN1184" s="2" t="str">
        <f t="shared" ref="AN1184:AN1247" si="191">DEC2HEX(AJ1184,3)</f>
        <v>0A0</v>
      </c>
      <c r="AO1184" s="2"/>
      <c r="AP1184" s="2" t="str">
        <f t="shared" ref="AP1184:AP1247" si="192">CONCATENATE(AM1184,AN1184)</f>
        <v>60A0</v>
      </c>
    </row>
    <row r="1185" spans="7:42" x14ac:dyDescent="0.2">
      <c r="G1185" s="3"/>
      <c r="H1185" s="8"/>
      <c r="AJ1185" s="6">
        <f t="shared" si="189"/>
        <v>200</v>
      </c>
      <c r="AK1185">
        <v>1168</v>
      </c>
      <c r="AM1185" s="2" t="str">
        <f t="shared" si="190"/>
        <v>6</v>
      </c>
      <c r="AN1185" s="2" t="str">
        <f t="shared" si="191"/>
        <v>0C8</v>
      </c>
      <c r="AO1185" s="2"/>
      <c r="AP1185" s="2" t="str">
        <f t="shared" si="192"/>
        <v>60C8</v>
      </c>
    </row>
    <row r="1186" spans="7:42" x14ac:dyDescent="0.2">
      <c r="G1186" s="3"/>
      <c r="H1186" s="8"/>
      <c r="AJ1186" s="6">
        <f t="shared" si="189"/>
        <v>240</v>
      </c>
      <c r="AK1186">
        <v>1169</v>
      </c>
      <c r="AM1186" s="2" t="str">
        <f t="shared" si="190"/>
        <v>6</v>
      </c>
      <c r="AN1186" s="2" t="str">
        <f t="shared" si="191"/>
        <v>0F0</v>
      </c>
      <c r="AO1186" s="2"/>
      <c r="AP1186" s="2" t="str">
        <f t="shared" si="192"/>
        <v>60F0</v>
      </c>
    </row>
    <row r="1187" spans="7:42" x14ac:dyDescent="0.2">
      <c r="G1187" s="3"/>
      <c r="H1187" s="8"/>
      <c r="AJ1187" s="6">
        <f t="shared" si="189"/>
        <v>280</v>
      </c>
      <c r="AK1187">
        <v>1170</v>
      </c>
      <c r="AM1187" s="2" t="str">
        <f t="shared" si="190"/>
        <v>6</v>
      </c>
      <c r="AN1187" s="2" t="str">
        <f t="shared" si="191"/>
        <v>118</v>
      </c>
      <c r="AO1187" s="2"/>
      <c r="AP1187" s="2" t="str">
        <f t="shared" si="192"/>
        <v>6118</v>
      </c>
    </row>
    <row r="1188" spans="7:42" x14ac:dyDescent="0.2">
      <c r="G1188" s="3"/>
      <c r="H1188" s="8"/>
      <c r="AJ1188" s="6">
        <f t="shared" si="189"/>
        <v>320</v>
      </c>
      <c r="AK1188">
        <v>1171</v>
      </c>
      <c r="AM1188" s="2" t="str">
        <f t="shared" si="190"/>
        <v>6</v>
      </c>
      <c r="AN1188" s="2" t="str">
        <f t="shared" si="191"/>
        <v>140</v>
      </c>
      <c r="AO1188" s="2"/>
      <c r="AP1188" s="2" t="str">
        <f t="shared" si="192"/>
        <v>6140</v>
      </c>
    </row>
    <row r="1189" spans="7:42" x14ac:dyDescent="0.2">
      <c r="G1189" s="3"/>
      <c r="H1189" s="8"/>
      <c r="AJ1189" s="6">
        <f t="shared" si="189"/>
        <v>360</v>
      </c>
      <c r="AK1189">
        <v>1172</v>
      </c>
      <c r="AM1189" s="2" t="str">
        <f t="shared" si="190"/>
        <v>6</v>
      </c>
      <c r="AN1189" s="2" t="str">
        <f t="shared" si="191"/>
        <v>168</v>
      </c>
      <c r="AO1189" s="2"/>
      <c r="AP1189" s="2" t="str">
        <f t="shared" si="192"/>
        <v>6168</v>
      </c>
    </row>
    <row r="1190" spans="7:42" x14ac:dyDescent="0.2">
      <c r="G1190" s="3"/>
      <c r="H1190" s="8"/>
      <c r="AJ1190" s="6">
        <f t="shared" si="189"/>
        <v>400</v>
      </c>
      <c r="AK1190">
        <v>1173</v>
      </c>
      <c r="AM1190" s="2" t="str">
        <f t="shared" si="190"/>
        <v>6</v>
      </c>
      <c r="AN1190" s="2" t="str">
        <f t="shared" si="191"/>
        <v>190</v>
      </c>
      <c r="AO1190" s="2"/>
      <c r="AP1190" s="2" t="str">
        <f t="shared" si="192"/>
        <v>6190</v>
      </c>
    </row>
    <row r="1191" spans="7:42" x14ac:dyDescent="0.2">
      <c r="G1191" s="3"/>
      <c r="H1191" s="8"/>
      <c r="AJ1191" s="6">
        <f t="shared" si="189"/>
        <v>440</v>
      </c>
      <c r="AK1191">
        <v>1174</v>
      </c>
      <c r="AM1191" s="2" t="str">
        <f t="shared" si="190"/>
        <v>6</v>
      </c>
      <c r="AN1191" s="2" t="str">
        <f t="shared" si="191"/>
        <v>1B8</v>
      </c>
      <c r="AO1191" s="2"/>
      <c r="AP1191" s="2" t="str">
        <f t="shared" si="192"/>
        <v>61B8</v>
      </c>
    </row>
    <row r="1192" spans="7:42" x14ac:dyDescent="0.2">
      <c r="G1192" s="3"/>
      <c r="H1192" s="8"/>
      <c r="AJ1192" s="6">
        <f t="shared" si="189"/>
        <v>480</v>
      </c>
      <c r="AK1192">
        <v>1175</v>
      </c>
      <c r="AM1192" s="2" t="str">
        <f t="shared" si="190"/>
        <v>6</v>
      </c>
      <c r="AN1192" s="2" t="str">
        <f t="shared" si="191"/>
        <v>1E0</v>
      </c>
      <c r="AO1192" s="2"/>
      <c r="AP1192" s="2" t="str">
        <f t="shared" si="192"/>
        <v>61E0</v>
      </c>
    </row>
    <row r="1193" spans="7:42" x14ac:dyDescent="0.2">
      <c r="G1193" s="3"/>
      <c r="H1193" s="8"/>
      <c r="AJ1193" s="6">
        <f t="shared" si="189"/>
        <v>520</v>
      </c>
      <c r="AK1193">
        <v>1176</v>
      </c>
      <c r="AM1193" s="2" t="str">
        <f t="shared" si="190"/>
        <v>6</v>
      </c>
      <c r="AN1193" s="2" t="str">
        <f t="shared" si="191"/>
        <v>208</v>
      </c>
      <c r="AO1193" s="2"/>
      <c r="AP1193" s="2" t="str">
        <f t="shared" si="192"/>
        <v>6208</v>
      </c>
    </row>
    <row r="1194" spans="7:42" x14ac:dyDescent="0.2">
      <c r="G1194" s="3"/>
      <c r="H1194" s="8"/>
      <c r="AJ1194" s="6">
        <f t="shared" si="189"/>
        <v>560</v>
      </c>
      <c r="AK1194">
        <v>1177</v>
      </c>
      <c r="AM1194" s="2" t="str">
        <f t="shared" si="190"/>
        <v>6</v>
      </c>
      <c r="AN1194" s="2" t="str">
        <f t="shared" si="191"/>
        <v>230</v>
      </c>
      <c r="AO1194" s="2"/>
      <c r="AP1194" s="2" t="str">
        <f t="shared" si="192"/>
        <v>6230</v>
      </c>
    </row>
    <row r="1195" spans="7:42" x14ac:dyDescent="0.2">
      <c r="G1195" s="3"/>
      <c r="H1195" s="8"/>
      <c r="AJ1195" s="6">
        <f t="shared" si="189"/>
        <v>600</v>
      </c>
      <c r="AK1195">
        <v>1178</v>
      </c>
      <c r="AM1195" s="2" t="str">
        <f t="shared" si="190"/>
        <v>6</v>
      </c>
      <c r="AN1195" s="2" t="str">
        <f t="shared" si="191"/>
        <v>258</v>
      </c>
      <c r="AO1195" s="2"/>
      <c r="AP1195" s="2" t="str">
        <f t="shared" si="192"/>
        <v>6258</v>
      </c>
    </row>
    <row r="1196" spans="7:42" x14ac:dyDescent="0.2">
      <c r="G1196" s="3"/>
      <c r="H1196" s="8"/>
      <c r="AJ1196" s="6">
        <f t="shared" si="189"/>
        <v>640</v>
      </c>
      <c r="AK1196">
        <v>1179</v>
      </c>
      <c r="AM1196" s="2" t="str">
        <f t="shared" si="190"/>
        <v>6</v>
      </c>
      <c r="AN1196" s="2" t="str">
        <f t="shared" si="191"/>
        <v>280</v>
      </c>
      <c r="AO1196" s="2"/>
      <c r="AP1196" s="2" t="str">
        <f t="shared" si="192"/>
        <v>6280</v>
      </c>
    </row>
    <row r="1197" spans="7:42" x14ac:dyDescent="0.2">
      <c r="G1197" s="3"/>
      <c r="H1197" s="8"/>
      <c r="AJ1197" s="6">
        <f t="shared" si="189"/>
        <v>680</v>
      </c>
      <c r="AK1197">
        <v>1180</v>
      </c>
      <c r="AM1197" s="2" t="str">
        <f t="shared" si="190"/>
        <v>6</v>
      </c>
      <c r="AN1197" s="2" t="str">
        <f t="shared" si="191"/>
        <v>2A8</v>
      </c>
      <c r="AO1197" s="2"/>
      <c r="AP1197" s="2" t="str">
        <f t="shared" si="192"/>
        <v>62A8</v>
      </c>
    </row>
    <row r="1198" spans="7:42" x14ac:dyDescent="0.2">
      <c r="G1198" s="3"/>
      <c r="H1198" s="8"/>
      <c r="AJ1198" s="6">
        <f t="shared" si="189"/>
        <v>720</v>
      </c>
      <c r="AK1198">
        <v>1181</v>
      </c>
      <c r="AM1198" s="2" t="str">
        <f t="shared" si="190"/>
        <v>6</v>
      </c>
      <c r="AN1198" s="2" t="str">
        <f t="shared" si="191"/>
        <v>2D0</v>
      </c>
      <c r="AO1198" s="2"/>
      <c r="AP1198" s="2" t="str">
        <f t="shared" si="192"/>
        <v>62D0</v>
      </c>
    </row>
    <row r="1199" spans="7:42" x14ac:dyDescent="0.2">
      <c r="G1199" s="3"/>
      <c r="H1199" s="8"/>
      <c r="AJ1199" s="6">
        <f t="shared" si="189"/>
        <v>760</v>
      </c>
      <c r="AK1199">
        <v>1182</v>
      </c>
      <c r="AM1199" s="2" t="str">
        <f t="shared" si="190"/>
        <v>6</v>
      </c>
      <c r="AN1199" s="2" t="str">
        <f t="shared" si="191"/>
        <v>2F8</v>
      </c>
      <c r="AO1199" s="2"/>
      <c r="AP1199" s="2" t="str">
        <f t="shared" si="192"/>
        <v>62F8</v>
      </c>
    </row>
    <row r="1200" spans="7:42" x14ac:dyDescent="0.2">
      <c r="G1200" s="3"/>
      <c r="H1200" s="8"/>
      <c r="AJ1200" s="6">
        <f t="shared" si="189"/>
        <v>800</v>
      </c>
      <c r="AK1200">
        <v>1183</v>
      </c>
      <c r="AM1200" s="2" t="str">
        <f t="shared" si="190"/>
        <v>6</v>
      </c>
      <c r="AN1200" s="2" t="str">
        <f t="shared" si="191"/>
        <v>320</v>
      </c>
      <c r="AO1200" s="2"/>
      <c r="AP1200" s="2" t="str">
        <f t="shared" si="192"/>
        <v>6320</v>
      </c>
    </row>
    <row r="1201" spans="7:42" x14ac:dyDescent="0.2">
      <c r="G1201" s="3"/>
      <c r="H1201" s="8"/>
      <c r="AJ1201" s="6">
        <f t="shared" si="189"/>
        <v>800</v>
      </c>
      <c r="AK1201">
        <v>1184</v>
      </c>
      <c r="AM1201" s="2" t="str">
        <f t="shared" si="190"/>
        <v>6</v>
      </c>
      <c r="AN1201" s="2" t="str">
        <f t="shared" si="191"/>
        <v>320</v>
      </c>
      <c r="AO1201" s="2"/>
      <c r="AP1201" s="2" t="str">
        <f t="shared" si="192"/>
        <v>6320</v>
      </c>
    </row>
    <row r="1202" spans="7:42" x14ac:dyDescent="0.2">
      <c r="G1202" s="3"/>
      <c r="H1202" s="8"/>
      <c r="AJ1202" s="6">
        <f t="shared" si="189"/>
        <v>800</v>
      </c>
      <c r="AK1202">
        <v>1185</v>
      </c>
      <c r="AM1202" s="2" t="str">
        <f t="shared" si="190"/>
        <v>6</v>
      </c>
      <c r="AN1202" s="2" t="str">
        <f t="shared" si="191"/>
        <v>320</v>
      </c>
      <c r="AO1202" s="2"/>
      <c r="AP1202" s="2" t="str">
        <f t="shared" si="192"/>
        <v>6320</v>
      </c>
    </row>
    <row r="1203" spans="7:42" x14ac:dyDescent="0.2">
      <c r="G1203" s="3"/>
      <c r="H1203" s="8"/>
      <c r="AJ1203" s="6">
        <f t="shared" si="189"/>
        <v>800</v>
      </c>
      <c r="AK1203">
        <v>1186</v>
      </c>
      <c r="AM1203" s="2" t="str">
        <f t="shared" si="190"/>
        <v>6</v>
      </c>
      <c r="AN1203" s="2" t="str">
        <f t="shared" si="191"/>
        <v>320</v>
      </c>
      <c r="AO1203" s="2"/>
      <c r="AP1203" s="2" t="str">
        <f t="shared" si="192"/>
        <v>6320</v>
      </c>
    </row>
    <row r="1204" spans="7:42" x14ac:dyDescent="0.2">
      <c r="G1204" s="3"/>
      <c r="H1204" s="8"/>
      <c r="AJ1204" s="6">
        <f t="shared" si="189"/>
        <v>800</v>
      </c>
      <c r="AK1204">
        <v>1187</v>
      </c>
      <c r="AM1204" s="2" t="str">
        <f t="shared" si="190"/>
        <v>6</v>
      </c>
      <c r="AN1204" s="2" t="str">
        <f t="shared" si="191"/>
        <v>320</v>
      </c>
      <c r="AO1204" s="2"/>
      <c r="AP1204" s="2" t="str">
        <f t="shared" si="192"/>
        <v>6320</v>
      </c>
    </row>
    <row r="1205" spans="7:42" x14ac:dyDescent="0.2">
      <c r="G1205" s="3"/>
      <c r="H1205" s="8"/>
      <c r="AJ1205" s="6">
        <f t="shared" si="189"/>
        <v>800</v>
      </c>
      <c r="AK1205">
        <v>1188</v>
      </c>
      <c r="AM1205" s="2" t="str">
        <f t="shared" si="190"/>
        <v>6</v>
      </c>
      <c r="AN1205" s="2" t="str">
        <f t="shared" si="191"/>
        <v>320</v>
      </c>
      <c r="AO1205" s="2"/>
      <c r="AP1205" s="2" t="str">
        <f t="shared" si="192"/>
        <v>6320</v>
      </c>
    </row>
    <row r="1206" spans="7:42" x14ac:dyDescent="0.2">
      <c r="G1206" s="3"/>
      <c r="H1206" s="8"/>
      <c r="AJ1206" s="6">
        <f t="shared" si="189"/>
        <v>800</v>
      </c>
      <c r="AK1206">
        <v>1189</v>
      </c>
      <c r="AM1206" s="2" t="str">
        <f t="shared" si="190"/>
        <v>6</v>
      </c>
      <c r="AN1206" s="2" t="str">
        <f t="shared" si="191"/>
        <v>320</v>
      </c>
      <c r="AO1206" s="2"/>
      <c r="AP1206" s="2" t="str">
        <f t="shared" si="192"/>
        <v>6320</v>
      </c>
    </row>
    <row r="1207" spans="7:42" x14ac:dyDescent="0.2">
      <c r="G1207" s="3"/>
      <c r="H1207" s="8"/>
      <c r="AJ1207" s="6">
        <f t="shared" si="189"/>
        <v>800</v>
      </c>
      <c r="AK1207">
        <v>1190</v>
      </c>
      <c r="AM1207" s="2" t="str">
        <f t="shared" si="190"/>
        <v>6</v>
      </c>
      <c r="AN1207" s="2" t="str">
        <f t="shared" si="191"/>
        <v>320</v>
      </c>
      <c r="AO1207" s="2"/>
      <c r="AP1207" s="2" t="str">
        <f t="shared" si="192"/>
        <v>6320</v>
      </c>
    </row>
    <row r="1208" spans="7:42" x14ac:dyDescent="0.2">
      <c r="G1208" s="3"/>
      <c r="H1208" s="8"/>
      <c r="AJ1208" s="6">
        <f t="shared" si="189"/>
        <v>800</v>
      </c>
      <c r="AK1208">
        <v>1191</v>
      </c>
      <c r="AM1208" s="2" t="str">
        <f t="shared" si="190"/>
        <v>6</v>
      </c>
      <c r="AN1208" s="2" t="str">
        <f t="shared" si="191"/>
        <v>320</v>
      </c>
      <c r="AO1208" s="2"/>
      <c r="AP1208" s="2" t="str">
        <f t="shared" si="192"/>
        <v>6320</v>
      </c>
    </row>
    <row r="1209" spans="7:42" x14ac:dyDescent="0.2">
      <c r="G1209" s="3"/>
      <c r="H1209" s="8"/>
      <c r="AJ1209" s="6">
        <f t="shared" si="189"/>
        <v>800</v>
      </c>
      <c r="AK1209">
        <v>1192</v>
      </c>
      <c r="AM1209" s="2" t="str">
        <f t="shared" si="190"/>
        <v>6</v>
      </c>
      <c r="AN1209" s="2" t="str">
        <f t="shared" si="191"/>
        <v>320</v>
      </c>
      <c r="AO1209" s="2"/>
      <c r="AP1209" s="2" t="str">
        <f t="shared" si="192"/>
        <v>6320</v>
      </c>
    </row>
    <row r="1210" spans="7:42" x14ac:dyDescent="0.2">
      <c r="G1210" s="3"/>
      <c r="H1210" s="8"/>
      <c r="AJ1210" s="6">
        <f t="shared" si="189"/>
        <v>800</v>
      </c>
      <c r="AK1210">
        <v>1193</v>
      </c>
      <c r="AM1210" s="2" t="str">
        <f t="shared" si="190"/>
        <v>6</v>
      </c>
      <c r="AN1210" s="2" t="str">
        <f t="shared" si="191"/>
        <v>320</v>
      </c>
      <c r="AO1210" s="2"/>
      <c r="AP1210" s="2" t="str">
        <f t="shared" si="192"/>
        <v>6320</v>
      </c>
    </row>
    <row r="1211" spans="7:42" x14ac:dyDescent="0.2">
      <c r="G1211" s="3"/>
      <c r="H1211" s="8"/>
      <c r="AJ1211" s="6">
        <f t="shared" si="189"/>
        <v>800</v>
      </c>
      <c r="AK1211">
        <v>1194</v>
      </c>
      <c r="AM1211" s="2" t="str">
        <f t="shared" si="190"/>
        <v>6</v>
      </c>
      <c r="AN1211" s="2" t="str">
        <f t="shared" si="191"/>
        <v>320</v>
      </c>
      <c r="AO1211" s="2"/>
      <c r="AP1211" s="2" t="str">
        <f t="shared" si="192"/>
        <v>6320</v>
      </c>
    </row>
    <row r="1212" spans="7:42" x14ac:dyDescent="0.2">
      <c r="G1212" s="3"/>
      <c r="H1212" s="8"/>
      <c r="AJ1212" s="6">
        <f t="shared" si="189"/>
        <v>800</v>
      </c>
      <c r="AK1212">
        <v>1195</v>
      </c>
      <c r="AM1212" s="2" t="str">
        <f t="shared" si="190"/>
        <v>6</v>
      </c>
      <c r="AN1212" s="2" t="str">
        <f t="shared" si="191"/>
        <v>320</v>
      </c>
      <c r="AO1212" s="2"/>
      <c r="AP1212" s="2" t="str">
        <f t="shared" si="192"/>
        <v>6320</v>
      </c>
    </row>
    <row r="1213" spans="7:42" x14ac:dyDescent="0.2">
      <c r="G1213" s="3"/>
      <c r="H1213" s="8"/>
      <c r="AJ1213" s="6">
        <f t="shared" si="189"/>
        <v>800</v>
      </c>
      <c r="AK1213">
        <v>1196</v>
      </c>
      <c r="AM1213" s="2" t="str">
        <f t="shared" si="190"/>
        <v>6</v>
      </c>
      <c r="AN1213" s="2" t="str">
        <f t="shared" si="191"/>
        <v>320</v>
      </c>
      <c r="AO1213" s="2"/>
      <c r="AP1213" s="2" t="str">
        <f t="shared" si="192"/>
        <v>6320</v>
      </c>
    </row>
    <row r="1214" spans="7:42" x14ac:dyDescent="0.2">
      <c r="G1214" s="3"/>
      <c r="H1214" s="8"/>
      <c r="AJ1214" s="6">
        <f t="shared" si="189"/>
        <v>800</v>
      </c>
      <c r="AK1214">
        <v>1197</v>
      </c>
      <c r="AM1214" s="2" t="str">
        <f t="shared" si="190"/>
        <v>6</v>
      </c>
      <c r="AN1214" s="2" t="str">
        <f t="shared" si="191"/>
        <v>320</v>
      </c>
      <c r="AO1214" s="2"/>
      <c r="AP1214" s="2" t="str">
        <f t="shared" si="192"/>
        <v>6320</v>
      </c>
    </row>
    <row r="1215" spans="7:42" x14ac:dyDescent="0.2">
      <c r="G1215" s="3"/>
      <c r="H1215" s="8"/>
      <c r="AJ1215" s="6">
        <f t="shared" si="189"/>
        <v>820</v>
      </c>
      <c r="AK1215">
        <v>1198</v>
      </c>
      <c r="AM1215" s="2" t="str">
        <f t="shared" si="190"/>
        <v>6</v>
      </c>
      <c r="AN1215" s="2" t="str">
        <f t="shared" si="191"/>
        <v>334</v>
      </c>
      <c r="AO1215" s="2"/>
      <c r="AP1215" s="2" t="str">
        <f t="shared" si="192"/>
        <v>6334</v>
      </c>
    </row>
    <row r="1216" spans="7:42" x14ac:dyDescent="0.2">
      <c r="G1216" s="3"/>
      <c r="H1216" s="8"/>
      <c r="AJ1216" s="6">
        <f t="shared" si="189"/>
        <v>840</v>
      </c>
      <c r="AK1216">
        <v>1199</v>
      </c>
      <c r="AM1216" s="2" t="str">
        <f t="shared" si="190"/>
        <v>6</v>
      </c>
      <c r="AN1216" s="2" t="str">
        <f t="shared" si="191"/>
        <v>348</v>
      </c>
      <c r="AO1216" s="2"/>
      <c r="AP1216" s="2" t="str">
        <f t="shared" si="192"/>
        <v>6348</v>
      </c>
    </row>
    <row r="1217" spans="7:42" x14ac:dyDescent="0.2">
      <c r="G1217" s="3"/>
      <c r="H1217" s="8"/>
      <c r="AJ1217" s="6">
        <f t="shared" si="189"/>
        <v>860</v>
      </c>
      <c r="AK1217">
        <v>1200</v>
      </c>
      <c r="AM1217" s="2" t="str">
        <f t="shared" si="190"/>
        <v>6</v>
      </c>
      <c r="AN1217" s="2" t="str">
        <f t="shared" si="191"/>
        <v>35C</v>
      </c>
      <c r="AO1217" s="2"/>
      <c r="AP1217" s="2" t="str">
        <f t="shared" si="192"/>
        <v>635C</v>
      </c>
    </row>
    <row r="1218" spans="7:42" x14ac:dyDescent="0.2">
      <c r="G1218" s="3"/>
      <c r="H1218" s="8"/>
      <c r="AJ1218" s="6">
        <f t="shared" si="189"/>
        <v>880</v>
      </c>
      <c r="AK1218">
        <v>1201</v>
      </c>
      <c r="AM1218" s="2" t="str">
        <f t="shared" si="190"/>
        <v>6</v>
      </c>
      <c r="AN1218" s="2" t="str">
        <f t="shared" si="191"/>
        <v>370</v>
      </c>
      <c r="AO1218" s="2"/>
      <c r="AP1218" s="2" t="str">
        <f t="shared" si="192"/>
        <v>6370</v>
      </c>
    </row>
    <row r="1219" spans="7:42" x14ac:dyDescent="0.2">
      <c r="G1219" s="3"/>
      <c r="H1219" s="8"/>
      <c r="AJ1219" s="6">
        <f t="shared" si="189"/>
        <v>900</v>
      </c>
      <c r="AK1219">
        <v>1202</v>
      </c>
      <c r="AM1219" s="2" t="str">
        <f t="shared" si="190"/>
        <v>6</v>
      </c>
      <c r="AN1219" s="2" t="str">
        <f t="shared" si="191"/>
        <v>384</v>
      </c>
      <c r="AO1219" s="2"/>
      <c r="AP1219" s="2" t="str">
        <f t="shared" si="192"/>
        <v>6384</v>
      </c>
    </row>
    <row r="1220" spans="7:42" x14ac:dyDescent="0.2">
      <c r="G1220" s="3"/>
      <c r="H1220" s="8"/>
      <c r="AJ1220" s="6">
        <f t="shared" si="189"/>
        <v>920</v>
      </c>
      <c r="AK1220">
        <v>1203</v>
      </c>
      <c r="AM1220" s="2" t="str">
        <f t="shared" si="190"/>
        <v>6</v>
      </c>
      <c r="AN1220" s="2" t="str">
        <f t="shared" si="191"/>
        <v>398</v>
      </c>
      <c r="AO1220" s="2"/>
      <c r="AP1220" s="2" t="str">
        <f t="shared" si="192"/>
        <v>6398</v>
      </c>
    </row>
    <row r="1221" spans="7:42" x14ac:dyDescent="0.2">
      <c r="G1221" s="3"/>
      <c r="H1221" s="8"/>
      <c r="AJ1221" s="6">
        <f t="shared" si="189"/>
        <v>940</v>
      </c>
      <c r="AK1221">
        <v>1204</v>
      </c>
      <c r="AM1221" s="2" t="str">
        <f t="shared" si="190"/>
        <v>6</v>
      </c>
      <c r="AN1221" s="2" t="str">
        <f t="shared" si="191"/>
        <v>3AC</v>
      </c>
      <c r="AO1221" s="2"/>
      <c r="AP1221" s="2" t="str">
        <f t="shared" si="192"/>
        <v>63AC</v>
      </c>
    </row>
    <row r="1222" spans="7:42" x14ac:dyDescent="0.2">
      <c r="G1222" s="3"/>
      <c r="H1222" s="8"/>
      <c r="AJ1222" s="6">
        <f t="shared" si="189"/>
        <v>960</v>
      </c>
      <c r="AK1222">
        <v>1205</v>
      </c>
      <c r="AM1222" s="2" t="str">
        <f t="shared" si="190"/>
        <v>6</v>
      </c>
      <c r="AN1222" s="2" t="str">
        <f t="shared" si="191"/>
        <v>3C0</v>
      </c>
      <c r="AO1222" s="2"/>
      <c r="AP1222" s="2" t="str">
        <f t="shared" si="192"/>
        <v>63C0</v>
      </c>
    </row>
    <row r="1223" spans="7:42" x14ac:dyDescent="0.2">
      <c r="G1223" s="3"/>
      <c r="H1223" s="8"/>
      <c r="AJ1223" s="6">
        <f t="shared" si="189"/>
        <v>980</v>
      </c>
      <c r="AK1223">
        <v>1206</v>
      </c>
      <c r="AM1223" s="2" t="str">
        <f t="shared" si="190"/>
        <v>6</v>
      </c>
      <c r="AN1223" s="2" t="str">
        <f t="shared" si="191"/>
        <v>3D4</v>
      </c>
      <c r="AO1223" s="2"/>
      <c r="AP1223" s="2" t="str">
        <f t="shared" si="192"/>
        <v>63D4</v>
      </c>
    </row>
    <row r="1224" spans="7:42" x14ac:dyDescent="0.2">
      <c r="G1224" s="3"/>
      <c r="H1224" s="8"/>
      <c r="AJ1224" s="6">
        <f t="shared" si="189"/>
        <v>1000</v>
      </c>
      <c r="AK1224">
        <v>1207</v>
      </c>
      <c r="AM1224" s="2" t="str">
        <f t="shared" si="190"/>
        <v>6</v>
      </c>
      <c r="AN1224" s="2" t="str">
        <f t="shared" si="191"/>
        <v>3E8</v>
      </c>
      <c r="AO1224" s="2"/>
      <c r="AP1224" s="2" t="str">
        <f t="shared" si="192"/>
        <v>63E8</v>
      </c>
    </row>
    <row r="1225" spans="7:42" x14ac:dyDescent="0.2">
      <c r="G1225" s="3"/>
      <c r="H1225" s="8"/>
      <c r="AJ1225" s="6">
        <f t="shared" si="189"/>
        <v>1020</v>
      </c>
      <c r="AK1225">
        <v>1208</v>
      </c>
      <c r="AM1225" s="2" t="str">
        <f t="shared" si="190"/>
        <v>6</v>
      </c>
      <c r="AN1225" s="2" t="str">
        <f t="shared" si="191"/>
        <v>3FC</v>
      </c>
      <c r="AO1225" s="2"/>
      <c r="AP1225" s="2" t="str">
        <f t="shared" si="192"/>
        <v>63FC</v>
      </c>
    </row>
    <row r="1226" spans="7:42" x14ac:dyDescent="0.2">
      <c r="G1226" s="3"/>
      <c r="H1226" s="8"/>
      <c r="AJ1226" s="6">
        <f t="shared" si="189"/>
        <v>1040</v>
      </c>
      <c r="AK1226">
        <v>1209</v>
      </c>
      <c r="AM1226" s="2" t="str">
        <f t="shared" si="190"/>
        <v>6</v>
      </c>
      <c r="AN1226" s="2" t="str">
        <f t="shared" si="191"/>
        <v>410</v>
      </c>
      <c r="AO1226" s="2"/>
      <c r="AP1226" s="2" t="str">
        <f t="shared" si="192"/>
        <v>6410</v>
      </c>
    </row>
    <row r="1227" spans="7:42" x14ac:dyDescent="0.2">
      <c r="G1227" s="3"/>
      <c r="H1227" s="8"/>
      <c r="AJ1227" s="6">
        <f t="shared" si="189"/>
        <v>1060</v>
      </c>
      <c r="AK1227">
        <v>1210</v>
      </c>
      <c r="AM1227" s="2" t="str">
        <f t="shared" si="190"/>
        <v>6</v>
      </c>
      <c r="AN1227" s="2" t="str">
        <f t="shared" si="191"/>
        <v>424</v>
      </c>
      <c r="AO1227" s="2"/>
      <c r="AP1227" s="2" t="str">
        <f t="shared" si="192"/>
        <v>6424</v>
      </c>
    </row>
    <row r="1228" spans="7:42" x14ac:dyDescent="0.2">
      <c r="G1228" s="3"/>
      <c r="H1228" s="8"/>
      <c r="AJ1228" s="6">
        <f t="shared" si="189"/>
        <v>1080</v>
      </c>
      <c r="AK1228">
        <v>1211</v>
      </c>
      <c r="AM1228" s="2" t="str">
        <f t="shared" si="190"/>
        <v>6</v>
      </c>
      <c r="AN1228" s="2" t="str">
        <f t="shared" si="191"/>
        <v>438</v>
      </c>
      <c r="AO1228" s="2"/>
      <c r="AP1228" s="2" t="str">
        <f t="shared" si="192"/>
        <v>6438</v>
      </c>
    </row>
    <row r="1229" spans="7:42" x14ac:dyDescent="0.2">
      <c r="G1229" s="3"/>
      <c r="H1229" s="8"/>
      <c r="AJ1229" s="6">
        <f t="shared" si="189"/>
        <v>1100</v>
      </c>
      <c r="AK1229">
        <v>1212</v>
      </c>
      <c r="AM1229" s="2" t="str">
        <f t="shared" si="190"/>
        <v>6</v>
      </c>
      <c r="AN1229" s="2" t="str">
        <f t="shared" si="191"/>
        <v>44C</v>
      </c>
      <c r="AO1229" s="2"/>
      <c r="AP1229" s="2" t="str">
        <f t="shared" si="192"/>
        <v>644C</v>
      </c>
    </row>
    <row r="1230" spans="7:42" x14ac:dyDescent="0.2">
      <c r="G1230" s="3"/>
      <c r="H1230" s="8"/>
      <c r="AJ1230" s="6">
        <f t="shared" si="189"/>
        <v>1120</v>
      </c>
      <c r="AK1230">
        <v>1213</v>
      </c>
      <c r="AM1230" s="2" t="str">
        <f t="shared" si="190"/>
        <v>6</v>
      </c>
      <c r="AN1230" s="2" t="str">
        <f t="shared" si="191"/>
        <v>460</v>
      </c>
      <c r="AO1230" s="2"/>
      <c r="AP1230" s="2" t="str">
        <f t="shared" si="192"/>
        <v>6460</v>
      </c>
    </row>
    <row r="1231" spans="7:42" x14ac:dyDescent="0.2">
      <c r="G1231" s="3"/>
      <c r="H1231" s="8"/>
      <c r="AJ1231" s="6">
        <f t="shared" si="189"/>
        <v>1140</v>
      </c>
      <c r="AK1231">
        <v>1214</v>
      </c>
      <c r="AM1231" s="2" t="str">
        <f t="shared" si="190"/>
        <v>6</v>
      </c>
      <c r="AN1231" s="2" t="str">
        <f t="shared" si="191"/>
        <v>474</v>
      </c>
      <c r="AO1231" s="2"/>
      <c r="AP1231" s="2" t="str">
        <f t="shared" si="192"/>
        <v>6474</v>
      </c>
    </row>
    <row r="1232" spans="7:42" x14ac:dyDescent="0.2">
      <c r="G1232" s="3"/>
      <c r="H1232" s="8"/>
      <c r="AJ1232" s="6">
        <f t="shared" si="189"/>
        <v>1160</v>
      </c>
      <c r="AK1232">
        <v>1215</v>
      </c>
      <c r="AM1232" s="2" t="str">
        <f t="shared" si="190"/>
        <v>6</v>
      </c>
      <c r="AN1232" s="2" t="str">
        <f t="shared" si="191"/>
        <v>488</v>
      </c>
      <c r="AO1232" s="2"/>
      <c r="AP1232" s="2" t="str">
        <f t="shared" si="192"/>
        <v>6488</v>
      </c>
    </row>
    <row r="1233" spans="7:42" x14ac:dyDescent="0.2">
      <c r="G1233" s="3"/>
      <c r="H1233" s="8"/>
      <c r="AJ1233" s="6">
        <f t="shared" si="189"/>
        <v>1180</v>
      </c>
      <c r="AK1233">
        <v>1216</v>
      </c>
      <c r="AM1233" s="2" t="str">
        <f t="shared" si="190"/>
        <v>6</v>
      </c>
      <c r="AN1233" s="2" t="str">
        <f t="shared" si="191"/>
        <v>49C</v>
      </c>
      <c r="AO1233" s="2"/>
      <c r="AP1233" s="2" t="str">
        <f t="shared" si="192"/>
        <v>649C</v>
      </c>
    </row>
    <row r="1234" spans="7:42" x14ac:dyDescent="0.2">
      <c r="G1234" s="3"/>
      <c r="H1234" s="8"/>
      <c r="AJ1234" s="6">
        <f t="shared" si="189"/>
        <v>1200</v>
      </c>
      <c r="AK1234">
        <v>1217</v>
      </c>
      <c r="AM1234" s="2" t="str">
        <f t="shared" si="190"/>
        <v>6</v>
      </c>
      <c r="AN1234" s="2" t="str">
        <f t="shared" si="191"/>
        <v>4B0</v>
      </c>
      <c r="AO1234" s="2"/>
      <c r="AP1234" s="2" t="str">
        <f t="shared" si="192"/>
        <v>64B0</v>
      </c>
    </row>
    <row r="1235" spans="7:42" x14ac:dyDescent="0.2">
      <c r="G1235" s="3"/>
      <c r="H1235" s="8"/>
      <c r="AJ1235" s="6">
        <f t="shared" ref="AJ1235:AJ1298" si="193">ROUNDDOWN(($W211*$W$16+$I$6*100)*10,0)</f>
        <v>1200</v>
      </c>
      <c r="AK1235">
        <v>1218</v>
      </c>
      <c r="AM1235" s="2" t="str">
        <f t="shared" ref="AM1235:AM1298" si="194">BIN2HEX(S211+10*T211+100*U211+1000*V211,1)</f>
        <v>6</v>
      </c>
      <c r="AN1235" s="2" t="str">
        <f t="shared" si="191"/>
        <v>4B0</v>
      </c>
      <c r="AO1235" s="2"/>
      <c r="AP1235" s="2" t="str">
        <f t="shared" si="192"/>
        <v>64B0</v>
      </c>
    </row>
    <row r="1236" spans="7:42" x14ac:dyDescent="0.2">
      <c r="G1236" s="3"/>
      <c r="H1236" s="8"/>
      <c r="AJ1236" s="6">
        <f t="shared" si="193"/>
        <v>1200</v>
      </c>
      <c r="AK1236">
        <v>1219</v>
      </c>
      <c r="AM1236" s="2" t="str">
        <f t="shared" si="194"/>
        <v>6</v>
      </c>
      <c r="AN1236" s="2" t="str">
        <f t="shared" si="191"/>
        <v>4B0</v>
      </c>
      <c r="AO1236" s="2"/>
      <c r="AP1236" s="2" t="str">
        <f t="shared" si="192"/>
        <v>64B0</v>
      </c>
    </row>
    <row r="1237" spans="7:42" x14ac:dyDescent="0.2">
      <c r="G1237" s="3"/>
      <c r="H1237" s="8"/>
      <c r="AJ1237" s="6">
        <f t="shared" si="193"/>
        <v>1200</v>
      </c>
      <c r="AK1237">
        <v>1220</v>
      </c>
      <c r="AM1237" s="2" t="str">
        <f t="shared" si="194"/>
        <v>6</v>
      </c>
      <c r="AN1237" s="2" t="str">
        <f t="shared" si="191"/>
        <v>4B0</v>
      </c>
      <c r="AO1237" s="2"/>
      <c r="AP1237" s="2" t="str">
        <f t="shared" si="192"/>
        <v>64B0</v>
      </c>
    </row>
    <row r="1238" spans="7:42" x14ac:dyDescent="0.2">
      <c r="G1238" s="3"/>
      <c r="H1238" s="8"/>
      <c r="AJ1238" s="6">
        <f t="shared" si="193"/>
        <v>1200</v>
      </c>
      <c r="AK1238">
        <v>1221</v>
      </c>
      <c r="AM1238" s="2" t="str">
        <f t="shared" si="194"/>
        <v>6</v>
      </c>
      <c r="AN1238" s="2" t="str">
        <f t="shared" si="191"/>
        <v>4B0</v>
      </c>
      <c r="AO1238" s="2"/>
      <c r="AP1238" s="2" t="str">
        <f t="shared" si="192"/>
        <v>64B0</v>
      </c>
    </row>
    <row r="1239" spans="7:42" x14ac:dyDescent="0.2">
      <c r="G1239" s="3"/>
      <c r="H1239" s="8"/>
      <c r="AJ1239" s="6">
        <f t="shared" si="193"/>
        <v>1200</v>
      </c>
      <c r="AK1239">
        <v>1222</v>
      </c>
      <c r="AM1239" s="2" t="str">
        <f t="shared" si="194"/>
        <v>6</v>
      </c>
      <c r="AN1239" s="2" t="str">
        <f t="shared" si="191"/>
        <v>4B0</v>
      </c>
      <c r="AO1239" s="2"/>
      <c r="AP1239" s="2" t="str">
        <f t="shared" si="192"/>
        <v>64B0</v>
      </c>
    </row>
    <row r="1240" spans="7:42" x14ac:dyDescent="0.2">
      <c r="G1240" s="3"/>
      <c r="H1240" s="8"/>
      <c r="AJ1240" s="6">
        <f t="shared" si="193"/>
        <v>1200</v>
      </c>
      <c r="AK1240">
        <v>1223</v>
      </c>
      <c r="AM1240" s="2" t="str">
        <f t="shared" si="194"/>
        <v>6</v>
      </c>
      <c r="AN1240" s="2" t="str">
        <f t="shared" si="191"/>
        <v>4B0</v>
      </c>
      <c r="AO1240" s="2"/>
      <c r="AP1240" s="2" t="str">
        <f t="shared" si="192"/>
        <v>64B0</v>
      </c>
    </row>
    <row r="1241" spans="7:42" x14ac:dyDescent="0.2">
      <c r="G1241" s="3"/>
      <c r="H1241" s="8"/>
      <c r="AJ1241" s="6">
        <f t="shared" si="193"/>
        <v>1200</v>
      </c>
      <c r="AK1241">
        <v>1224</v>
      </c>
      <c r="AM1241" s="2" t="str">
        <f t="shared" si="194"/>
        <v>6</v>
      </c>
      <c r="AN1241" s="2" t="str">
        <f t="shared" si="191"/>
        <v>4B0</v>
      </c>
      <c r="AO1241" s="2"/>
      <c r="AP1241" s="2" t="str">
        <f t="shared" si="192"/>
        <v>64B0</v>
      </c>
    </row>
    <row r="1242" spans="7:42" x14ac:dyDescent="0.2">
      <c r="G1242" s="3"/>
      <c r="H1242" s="8"/>
      <c r="AJ1242" s="6">
        <f t="shared" si="193"/>
        <v>1200</v>
      </c>
      <c r="AK1242">
        <v>1225</v>
      </c>
      <c r="AM1242" s="2" t="str">
        <f t="shared" si="194"/>
        <v>6</v>
      </c>
      <c r="AN1242" s="2" t="str">
        <f t="shared" si="191"/>
        <v>4B0</v>
      </c>
      <c r="AO1242" s="2"/>
      <c r="AP1242" s="2" t="str">
        <f t="shared" si="192"/>
        <v>64B0</v>
      </c>
    </row>
    <row r="1243" spans="7:42" x14ac:dyDescent="0.2">
      <c r="G1243" s="3"/>
      <c r="H1243" s="8"/>
      <c r="AJ1243" s="6">
        <f t="shared" si="193"/>
        <v>1200</v>
      </c>
      <c r="AK1243">
        <v>1226</v>
      </c>
      <c r="AM1243" s="2" t="str">
        <f t="shared" si="194"/>
        <v>6</v>
      </c>
      <c r="AN1243" s="2" t="str">
        <f t="shared" si="191"/>
        <v>4B0</v>
      </c>
      <c r="AO1243" s="2"/>
      <c r="AP1243" s="2" t="str">
        <f t="shared" si="192"/>
        <v>64B0</v>
      </c>
    </row>
    <row r="1244" spans="7:42" x14ac:dyDescent="0.2">
      <c r="G1244" s="3"/>
      <c r="H1244" s="8"/>
      <c r="AJ1244" s="6">
        <f t="shared" si="193"/>
        <v>1200</v>
      </c>
      <c r="AK1244">
        <v>1227</v>
      </c>
      <c r="AM1244" s="2" t="str">
        <f t="shared" si="194"/>
        <v>6</v>
      </c>
      <c r="AN1244" s="2" t="str">
        <f t="shared" si="191"/>
        <v>4B0</v>
      </c>
      <c r="AO1244" s="2"/>
      <c r="AP1244" s="2" t="str">
        <f t="shared" si="192"/>
        <v>64B0</v>
      </c>
    </row>
    <row r="1245" spans="7:42" x14ac:dyDescent="0.2">
      <c r="G1245" s="3"/>
      <c r="H1245" s="8"/>
      <c r="AJ1245" s="6">
        <f t="shared" si="193"/>
        <v>1200</v>
      </c>
      <c r="AK1245">
        <v>1228</v>
      </c>
      <c r="AM1245" s="2" t="str">
        <f t="shared" si="194"/>
        <v>6</v>
      </c>
      <c r="AN1245" s="2" t="str">
        <f t="shared" si="191"/>
        <v>4B0</v>
      </c>
      <c r="AO1245" s="2"/>
      <c r="AP1245" s="2" t="str">
        <f t="shared" si="192"/>
        <v>64B0</v>
      </c>
    </row>
    <row r="1246" spans="7:42" x14ac:dyDescent="0.2">
      <c r="G1246" s="3"/>
      <c r="H1246" s="8"/>
      <c r="AJ1246" s="6">
        <f t="shared" si="193"/>
        <v>1200</v>
      </c>
      <c r="AK1246">
        <v>1229</v>
      </c>
      <c r="AM1246" s="2" t="str">
        <f t="shared" si="194"/>
        <v>6</v>
      </c>
      <c r="AN1246" s="2" t="str">
        <f t="shared" si="191"/>
        <v>4B0</v>
      </c>
      <c r="AO1246" s="2"/>
      <c r="AP1246" s="2" t="str">
        <f t="shared" si="192"/>
        <v>64B0</v>
      </c>
    </row>
    <row r="1247" spans="7:42" x14ac:dyDescent="0.2">
      <c r="G1247" s="3"/>
      <c r="H1247" s="8"/>
      <c r="AJ1247" s="6">
        <f t="shared" si="193"/>
        <v>1200</v>
      </c>
      <c r="AK1247">
        <v>1230</v>
      </c>
      <c r="AM1247" s="2" t="str">
        <f t="shared" si="194"/>
        <v>6</v>
      </c>
      <c r="AN1247" s="2" t="str">
        <f t="shared" si="191"/>
        <v>4B0</v>
      </c>
      <c r="AO1247" s="2"/>
      <c r="AP1247" s="2" t="str">
        <f t="shared" si="192"/>
        <v>64B0</v>
      </c>
    </row>
    <row r="1248" spans="7:42" x14ac:dyDescent="0.2">
      <c r="G1248" s="3"/>
      <c r="H1248" s="8"/>
      <c r="AJ1248" s="6">
        <f t="shared" si="193"/>
        <v>1200</v>
      </c>
      <c r="AK1248">
        <v>1231</v>
      </c>
      <c r="AM1248" s="2" t="str">
        <f t="shared" si="194"/>
        <v>6</v>
      </c>
      <c r="AN1248" s="2" t="str">
        <f t="shared" ref="AN1248:AN1311" si="195">DEC2HEX(AJ1248,3)</f>
        <v>4B0</v>
      </c>
      <c r="AO1248" s="2"/>
      <c r="AP1248" s="2" t="str">
        <f t="shared" ref="AP1248:AP1311" si="196">CONCATENATE(AM1248,AN1248)</f>
        <v>64B0</v>
      </c>
    </row>
    <row r="1249" spans="7:42" x14ac:dyDescent="0.2">
      <c r="G1249" s="3"/>
      <c r="H1249" s="8"/>
      <c r="AJ1249" s="6">
        <f t="shared" si="193"/>
        <v>1200</v>
      </c>
      <c r="AK1249">
        <v>1232</v>
      </c>
      <c r="AM1249" s="2" t="str">
        <f t="shared" si="194"/>
        <v>6</v>
      </c>
      <c r="AN1249" s="2" t="str">
        <f t="shared" si="195"/>
        <v>4B0</v>
      </c>
      <c r="AO1249" s="2"/>
      <c r="AP1249" s="2" t="str">
        <f t="shared" si="196"/>
        <v>64B0</v>
      </c>
    </row>
    <row r="1250" spans="7:42" x14ac:dyDescent="0.2">
      <c r="G1250" s="3"/>
      <c r="H1250" s="8"/>
      <c r="AJ1250" s="6">
        <f t="shared" si="193"/>
        <v>1200</v>
      </c>
      <c r="AK1250">
        <v>1233</v>
      </c>
      <c r="AM1250" s="2" t="str">
        <f t="shared" si="194"/>
        <v>6</v>
      </c>
      <c r="AN1250" s="2" t="str">
        <f t="shared" si="195"/>
        <v>4B0</v>
      </c>
      <c r="AO1250" s="2"/>
      <c r="AP1250" s="2" t="str">
        <f t="shared" si="196"/>
        <v>64B0</v>
      </c>
    </row>
    <row r="1251" spans="7:42" x14ac:dyDescent="0.2">
      <c r="G1251" s="3"/>
      <c r="H1251" s="8"/>
      <c r="AJ1251" s="6">
        <f t="shared" si="193"/>
        <v>1200</v>
      </c>
      <c r="AK1251">
        <v>1234</v>
      </c>
      <c r="AM1251" s="2" t="str">
        <f t="shared" si="194"/>
        <v>6</v>
      </c>
      <c r="AN1251" s="2" t="str">
        <f t="shared" si="195"/>
        <v>4B0</v>
      </c>
      <c r="AO1251" s="2"/>
      <c r="AP1251" s="2" t="str">
        <f t="shared" si="196"/>
        <v>64B0</v>
      </c>
    </row>
    <row r="1252" spans="7:42" x14ac:dyDescent="0.2">
      <c r="G1252" s="3"/>
      <c r="H1252" s="8"/>
      <c r="AJ1252" s="6">
        <f t="shared" si="193"/>
        <v>1200</v>
      </c>
      <c r="AK1252">
        <v>1235</v>
      </c>
      <c r="AM1252" s="2" t="str">
        <f t="shared" si="194"/>
        <v>6</v>
      </c>
      <c r="AN1252" s="2" t="str">
        <f t="shared" si="195"/>
        <v>4B0</v>
      </c>
      <c r="AO1252" s="2"/>
      <c r="AP1252" s="2" t="str">
        <f t="shared" si="196"/>
        <v>64B0</v>
      </c>
    </row>
    <row r="1253" spans="7:42" x14ac:dyDescent="0.2">
      <c r="G1253" s="3"/>
      <c r="H1253" s="8"/>
      <c r="AJ1253" s="6">
        <f t="shared" si="193"/>
        <v>1200</v>
      </c>
      <c r="AK1253">
        <v>1236</v>
      </c>
      <c r="AM1253" s="2" t="str">
        <f t="shared" si="194"/>
        <v>6</v>
      </c>
      <c r="AN1253" s="2" t="str">
        <f t="shared" si="195"/>
        <v>4B0</v>
      </c>
      <c r="AO1253" s="2"/>
      <c r="AP1253" s="2" t="str">
        <f t="shared" si="196"/>
        <v>64B0</v>
      </c>
    </row>
    <row r="1254" spans="7:42" x14ac:dyDescent="0.2">
      <c r="G1254" s="3"/>
      <c r="H1254" s="8"/>
      <c r="AJ1254" s="6">
        <f t="shared" si="193"/>
        <v>1200</v>
      </c>
      <c r="AK1254">
        <v>1237</v>
      </c>
      <c r="AM1254" s="2" t="str">
        <f t="shared" si="194"/>
        <v>6</v>
      </c>
      <c r="AN1254" s="2" t="str">
        <f t="shared" si="195"/>
        <v>4B0</v>
      </c>
      <c r="AO1254" s="2"/>
      <c r="AP1254" s="2" t="str">
        <f t="shared" si="196"/>
        <v>64B0</v>
      </c>
    </row>
    <row r="1255" spans="7:42" x14ac:dyDescent="0.2">
      <c r="G1255" s="3"/>
      <c r="H1255" s="8"/>
      <c r="AJ1255" s="6">
        <f t="shared" si="193"/>
        <v>1200</v>
      </c>
      <c r="AK1255">
        <v>1238</v>
      </c>
      <c r="AM1255" s="2" t="str">
        <f t="shared" si="194"/>
        <v>6</v>
      </c>
      <c r="AN1255" s="2" t="str">
        <f t="shared" si="195"/>
        <v>4B0</v>
      </c>
      <c r="AO1255" s="2"/>
      <c r="AP1255" s="2" t="str">
        <f t="shared" si="196"/>
        <v>64B0</v>
      </c>
    </row>
    <row r="1256" spans="7:42" x14ac:dyDescent="0.2">
      <c r="G1256" s="3"/>
      <c r="H1256" s="8"/>
      <c r="AJ1256" s="6">
        <f t="shared" si="193"/>
        <v>1200</v>
      </c>
      <c r="AK1256">
        <v>1239</v>
      </c>
      <c r="AM1256" s="2" t="str">
        <f t="shared" si="194"/>
        <v>6</v>
      </c>
      <c r="AN1256" s="2" t="str">
        <f t="shared" si="195"/>
        <v>4B0</v>
      </c>
      <c r="AO1256" s="2"/>
      <c r="AP1256" s="2" t="str">
        <f t="shared" si="196"/>
        <v>64B0</v>
      </c>
    </row>
    <row r="1257" spans="7:42" x14ac:dyDescent="0.2">
      <c r="G1257" s="3"/>
      <c r="H1257" s="8"/>
      <c r="AJ1257" s="6">
        <f t="shared" si="193"/>
        <v>1190</v>
      </c>
      <c r="AK1257">
        <v>1240</v>
      </c>
      <c r="AM1257" s="2" t="str">
        <f t="shared" si="194"/>
        <v>6</v>
      </c>
      <c r="AN1257" s="2" t="str">
        <f t="shared" si="195"/>
        <v>4A6</v>
      </c>
      <c r="AO1257" s="2"/>
      <c r="AP1257" s="2" t="str">
        <f t="shared" si="196"/>
        <v>64A6</v>
      </c>
    </row>
    <row r="1258" spans="7:42" x14ac:dyDescent="0.2">
      <c r="G1258" s="3"/>
      <c r="H1258" s="8"/>
      <c r="AJ1258" s="6">
        <f t="shared" si="193"/>
        <v>1180</v>
      </c>
      <c r="AK1258">
        <v>1241</v>
      </c>
      <c r="AM1258" s="2" t="str">
        <f t="shared" si="194"/>
        <v>6</v>
      </c>
      <c r="AN1258" s="2" t="str">
        <f t="shared" si="195"/>
        <v>49C</v>
      </c>
      <c r="AO1258" s="2"/>
      <c r="AP1258" s="2" t="str">
        <f t="shared" si="196"/>
        <v>649C</v>
      </c>
    </row>
    <row r="1259" spans="7:42" x14ac:dyDescent="0.2">
      <c r="G1259" s="3"/>
      <c r="H1259" s="8"/>
      <c r="AJ1259" s="6">
        <f t="shared" si="193"/>
        <v>1170</v>
      </c>
      <c r="AK1259">
        <v>1242</v>
      </c>
      <c r="AM1259" s="2" t="str">
        <f t="shared" si="194"/>
        <v>6</v>
      </c>
      <c r="AN1259" s="2" t="str">
        <f t="shared" si="195"/>
        <v>492</v>
      </c>
      <c r="AO1259" s="2"/>
      <c r="AP1259" s="2" t="str">
        <f t="shared" si="196"/>
        <v>6492</v>
      </c>
    </row>
    <row r="1260" spans="7:42" x14ac:dyDescent="0.2">
      <c r="G1260" s="3"/>
      <c r="H1260" s="8"/>
      <c r="AJ1260" s="6">
        <f t="shared" si="193"/>
        <v>1160</v>
      </c>
      <c r="AK1260">
        <v>1243</v>
      </c>
      <c r="AM1260" s="2" t="str">
        <f t="shared" si="194"/>
        <v>6</v>
      </c>
      <c r="AN1260" s="2" t="str">
        <f t="shared" si="195"/>
        <v>488</v>
      </c>
      <c r="AO1260" s="2"/>
      <c r="AP1260" s="2" t="str">
        <f t="shared" si="196"/>
        <v>6488</v>
      </c>
    </row>
    <row r="1261" spans="7:42" x14ac:dyDescent="0.2">
      <c r="G1261" s="3"/>
      <c r="H1261" s="8"/>
      <c r="AJ1261" s="6">
        <f t="shared" si="193"/>
        <v>1150</v>
      </c>
      <c r="AK1261">
        <v>1244</v>
      </c>
      <c r="AM1261" s="2" t="str">
        <f t="shared" si="194"/>
        <v>6</v>
      </c>
      <c r="AN1261" s="2" t="str">
        <f t="shared" si="195"/>
        <v>47E</v>
      </c>
      <c r="AO1261" s="2"/>
      <c r="AP1261" s="2" t="str">
        <f t="shared" si="196"/>
        <v>647E</v>
      </c>
    </row>
    <row r="1262" spans="7:42" x14ac:dyDescent="0.2">
      <c r="G1262" s="3"/>
      <c r="H1262" s="8"/>
      <c r="AJ1262" s="6">
        <f t="shared" si="193"/>
        <v>1140</v>
      </c>
      <c r="AK1262">
        <v>1245</v>
      </c>
      <c r="AM1262" s="2" t="str">
        <f t="shared" si="194"/>
        <v>6</v>
      </c>
      <c r="AN1262" s="2" t="str">
        <f t="shared" si="195"/>
        <v>474</v>
      </c>
      <c r="AO1262" s="2"/>
      <c r="AP1262" s="2" t="str">
        <f t="shared" si="196"/>
        <v>6474</v>
      </c>
    </row>
    <row r="1263" spans="7:42" x14ac:dyDescent="0.2">
      <c r="G1263" s="3"/>
      <c r="H1263" s="8"/>
      <c r="AJ1263" s="6">
        <f t="shared" si="193"/>
        <v>1130</v>
      </c>
      <c r="AK1263">
        <v>1246</v>
      </c>
      <c r="AM1263" s="2" t="str">
        <f t="shared" si="194"/>
        <v>6</v>
      </c>
      <c r="AN1263" s="2" t="str">
        <f t="shared" si="195"/>
        <v>46A</v>
      </c>
      <c r="AO1263" s="2"/>
      <c r="AP1263" s="2" t="str">
        <f t="shared" si="196"/>
        <v>646A</v>
      </c>
    </row>
    <row r="1264" spans="7:42" x14ac:dyDescent="0.2">
      <c r="G1264" s="3"/>
      <c r="H1264" s="8"/>
      <c r="AJ1264" s="6">
        <f t="shared" si="193"/>
        <v>1120</v>
      </c>
      <c r="AK1264">
        <v>1247</v>
      </c>
      <c r="AM1264" s="2" t="str">
        <f t="shared" si="194"/>
        <v>6</v>
      </c>
      <c r="AN1264" s="2" t="str">
        <f t="shared" si="195"/>
        <v>460</v>
      </c>
      <c r="AO1264" s="2"/>
      <c r="AP1264" s="2" t="str">
        <f t="shared" si="196"/>
        <v>6460</v>
      </c>
    </row>
    <row r="1265" spans="7:42" x14ac:dyDescent="0.2">
      <c r="G1265" s="3"/>
      <c r="H1265" s="8"/>
      <c r="AJ1265" s="6">
        <f t="shared" si="193"/>
        <v>1110</v>
      </c>
      <c r="AK1265">
        <v>1248</v>
      </c>
      <c r="AM1265" s="2" t="str">
        <f t="shared" si="194"/>
        <v>6</v>
      </c>
      <c r="AN1265" s="2" t="str">
        <f t="shared" si="195"/>
        <v>456</v>
      </c>
      <c r="AO1265" s="2"/>
      <c r="AP1265" s="2" t="str">
        <f t="shared" si="196"/>
        <v>6456</v>
      </c>
    </row>
    <row r="1266" spans="7:42" x14ac:dyDescent="0.2">
      <c r="G1266" s="3"/>
      <c r="H1266" s="8"/>
      <c r="AJ1266" s="6">
        <f t="shared" si="193"/>
        <v>1100</v>
      </c>
      <c r="AK1266">
        <v>1249</v>
      </c>
      <c r="AM1266" s="2" t="str">
        <f t="shared" si="194"/>
        <v>6</v>
      </c>
      <c r="AN1266" s="2" t="str">
        <f t="shared" si="195"/>
        <v>44C</v>
      </c>
      <c r="AO1266" s="2"/>
      <c r="AP1266" s="2" t="str">
        <f t="shared" si="196"/>
        <v>644C</v>
      </c>
    </row>
    <row r="1267" spans="7:42" x14ac:dyDescent="0.2">
      <c r="G1267" s="3"/>
      <c r="H1267" s="8"/>
      <c r="AJ1267" s="6">
        <f t="shared" si="193"/>
        <v>1090</v>
      </c>
      <c r="AK1267">
        <v>1250</v>
      </c>
      <c r="AM1267" s="2" t="str">
        <f t="shared" si="194"/>
        <v>6</v>
      </c>
      <c r="AN1267" s="2" t="str">
        <f t="shared" si="195"/>
        <v>442</v>
      </c>
      <c r="AO1267" s="2"/>
      <c r="AP1267" s="2" t="str">
        <f t="shared" si="196"/>
        <v>6442</v>
      </c>
    </row>
    <row r="1268" spans="7:42" x14ac:dyDescent="0.2">
      <c r="G1268" s="3"/>
      <c r="H1268" s="8"/>
      <c r="AJ1268" s="6">
        <f t="shared" si="193"/>
        <v>1080</v>
      </c>
      <c r="AK1268">
        <v>1251</v>
      </c>
      <c r="AM1268" s="2" t="str">
        <f t="shared" si="194"/>
        <v>6</v>
      </c>
      <c r="AN1268" s="2" t="str">
        <f t="shared" si="195"/>
        <v>438</v>
      </c>
      <c r="AO1268" s="2"/>
      <c r="AP1268" s="2" t="str">
        <f t="shared" si="196"/>
        <v>6438</v>
      </c>
    </row>
    <row r="1269" spans="7:42" x14ac:dyDescent="0.2">
      <c r="G1269" s="3"/>
      <c r="H1269" s="8"/>
      <c r="AJ1269" s="6">
        <f t="shared" si="193"/>
        <v>1070</v>
      </c>
      <c r="AK1269">
        <v>1252</v>
      </c>
      <c r="AM1269" s="2" t="str">
        <f t="shared" si="194"/>
        <v>6</v>
      </c>
      <c r="AN1269" s="2" t="str">
        <f t="shared" si="195"/>
        <v>42E</v>
      </c>
      <c r="AO1269" s="2"/>
      <c r="AP1269" s="2" t="str">
        <f t="shared" si="196"/>
        <v>642E</v>
      </c>
    </row>
    <row r="1270" spans="7:42" x14ac:dyDescent="0.2">
      <c r="G1270" s="3"/>
      <c r="H1270" s="8"/>
      <c r="AJ1270" s="6">
        <f t="shared" si="193"/>
        <v>1060</v>
      </c>
      <c r="AK1270">
        <v>1253</v>
      </c>
      <c r="AM1270" s="2" t="str">
        <f t="shared" si="194"/>
        <v>6</v>
      </c>
      <c r="AN1270" s="2" t="str">
        <f t="shared" si="195"/>
        <v>424</v>
      </c>
      <c r="AO1270" s="2"/>
      <c r="AP1270" s="2" t="str">
        <f t="shared" si="196"/>
        <v>6424</v>
      </c>
    </row>
    <row r="1271" spans="7:42" x14ac:dyDescent="0.2">
      <c r="G1271" s="3"/>
      <c r="H1271" s="8"/>
      <c r="AJ1271" s="6">
        <f t="shared" si="193"/>
        <v>1050</v>
      </c>
      <c r="AK1271">
        <v>1254</v>
      </c>
      <c r="AM1271" s="2" t="str">
        <f t="shared" si="194"/>
        <v>6</v>
      </c>
      <c r="AN1271" s="2" t="str">
        <f t="shared" si="195"/>
        <v>41A</v>
      </c>
      <c r="AO1271" s="2"/>
      <c r="AP1271" s="2" t="str">
        <f t="shared" si="196"/>
        <v>641A</v>
      </c>
    </row>
    <row r="1272" spans="7:42" x14ac:dyDescent="0.2">
      <c r="G1272" s="3"/>
      <c r="H1272" s="8"/>
      <c r="AJ1272" s="6">
        <f t="shared" si="193"/>
        <v>1040</v>
      </c>
      <c r="AK1272">
        <v>1255</v>
      </c>
      <c r="AM1272" s="2" t="str">
        <f t="shared" si="194"/>
        <v>6</v>
      </c>
      <c r="AN1272" s="2" t="str">
        <f t="shared" si="195"/>
        <v>410</v>
      </c>
      <c r="AO1272" s="2"/>
      <c r="AP1272" s="2" t="str">
        <f t="shared" si="196"/>
        <v>6410</v>
      </c>
    </row>
    <row r="1273" spans="7:42" x14ac:dyDescent="0.2">
      <c r="G1273" s="3"/>
      <c r="H1273" s="8"/>
      <c r="AJ1273" s="6">
        <f t="shared" si="193"/>
        <v>1030</v>
      </c>
      <c r="AK1273">
        <v>1256</v>
      </c>
      <c r="AM1273" s="2" t="str">
        <f t="shared" si="194"/>
        <v>6</v>
      </c>
      <c r="AN1273" s="2" t="str">
        <f t="shared" si="195"/>
        <v>406</v>
      </c>
      <c r="AO1273" s="2"/>
      <c r="AP1273" s="2" t="str">
        <f t="shared" si="196"/>
        <v>6406</v>
      </c>
    </row>
    <row r="1274" spans="7:42" x14ac:dyDescent="0.2">
      <c r="G1274" s="3"/>
      <c r="H1274" s="8"/>
      <c r="AJ1274" s="6">
        <f t="shared" si="193"/>
        <v>1020</v>
      </c>
      <c r="AK1274">
        <v>1257</v>
      </c>
      <c r="AM1274" s="2" t="str">
        <f t="shared" si="194"/>
        <v>6</v>
      </c>
      <c r="AN1274" s="2" t="str">
        <f t="shared" si="195"/>
        <v>3FC</v>
      </c>
      <c r="AO1274" s="2"/>
      <c r="AP1274" s="2" t="str">
        <f t="shared" si="196"/>
        <v>63FC</v>
      </c>
    </row>
    <row r="1275" spans="7:42" x14ac:dyDescent="0.2">
      <c r="G1275" s="3"/>
      <c r="H1275" s="8"/>
      <c r="AJ1275" s="6">
        <f t="shared" si="193"/>
        <v>1010</v>
      </c>
      <c r="AK1275">
        <v>1258</v>
      </c>
      <c r="AM1275" s="2" t="str">
        <f t="shared" si="194"/>
        <v>6</v>
      </c>
      <c r="AN1275" s="2" t="str">
        <f t="shared" si="195"/>
        <v>3F2</v>
      </c>
      <c r="AO1275" s="2"/>
      <c r="AP1275" s="2" t="str">
        <f t="shared" si="196"/>
        <v>63F2</v>
      </c>
    </row>
    <row r="1276" spans="7:42" x14ac:dyDescent="0.2">
      <c r="G1276" s="3"/>
      <c r="H1276" s="8"/>
      <c r="AJ1276" s="6">
        <f t="shared" si="193"/>
        <v>1000</v>
      </c>
      <c r="AK1276">
        <v>1259</v>
      </c>
      <c r="AM1276" s="2" t="str">
        <f t="shared" si="194"/>
        <v>6</v>
      </c>
      <c r="AN1276" s="2" t="str">
        <f t="shared" si="195"/>
        <v>3E8</v>
      </c>
      <c r="AO1276" s="2"/>
      <c r="AP1276" s="2" t="str">
        <f t="shared" si="196"/>
        <v>63E8</v>
      </c>
    </row>
    <row r="1277" spans="7:42" x14ac:dyDescent="0.2">
      <c r="G1277" s="3"/>
      <c r="H1277" s="8"/>
      <c r="AJ1277" s="6">
        <f t="shared" si="193"/>
        <v>1000</v>
      </c>
      <c r="AK1277">
        <v>1260</v>
      </c>
      <c r="AM1277" s="2" t="str">
        <f t="shared" si="194"/>
        <v>6</v>
      </c>
      <c r="AN1277" s="2" t="str">
        <f t="shared" si="195"/>
        <v>3E8</v>
      </c>
      <c r="AO1277" s="2"/>
      <c r="AP1277" s="2" t="str">
        <f t="shared" si="196"/>
        <v>63E8</v>
      </c>
    </row>
    <row r="1278" spans="7:42" x14ac:dyDescent="0.2">
      <c r="G1278" s="3"/>
      <c r="H1278" s="8"/>
      <c r="AJ1278" s="6">
        <f t="shared" si="193"/>
        <v>1000</v>
      </c>
      <c r="AK1278">
        <v>1261</v>
      </c>
      <c r="AM1278" s="2" t="str">
        <f t="shared" si="194"/>
        <v>6</v>
      </c>
      <c r="AN1278" s="2" t="str">
        <f t="shared" si="195"/>
        <v>3E8</v>
      </c>
      <c r="AO1278" s="2"/>
      <c r="AP1278" s="2" t="str">
        <f t="shared" si="196"/>
        <v>63E8</v>
      </c>
    </row>
    <row r="1279" spans="7:42" x14ac:dyDescent="0.2">
      <c r="G1279" s="3"/>
      <c r="H1279" s="8"/>
      <c r="AJ1279" s="6">
        <f t="shared" si="193"/>
        <v>1000</v>
      </c>
      <c r="AK1279">
        <v>1262</v>
      </c>
      <c r="AM1279" s="2" t="str">
        <f t="shared" si="194"/>
        <v>6</v>
      </c>
      <c r="AN1279" s="2" t="str">
        <f t="shared" si="195"/>
        <v>3E8</v>
      </c>
      <c r="AO1279" s="2"/>
      <c r="AP1279" s="2" t="str">
        <f t="shared" si="196"/>
        <v>63E8</v>
      </c>
    </row>
    <row r="1280" spans="7:42" x14ac:dyDescent="0.2">
      <c r="G1280" s="3"/>
      <c r="H1280" s="8"/>
      <c r="AJ1280" s="6">
        <f t="shared" si="193"/>
        <v>1000</v>
      </c>
      <c r="AK1280">
        <v>1263</v>
      </c>
      <c r="AM1280" s="2" t="str">
        <f t="shared" si="194"/>
        <v>6</v>
      </c>
      <c r="AN1280" s="2" t="str">
        <f t="shared" si="195"/>
        <v>3E8</v>
      </c>
      <c r="AO1280" s="2"/>
      <c r="AP1280" s="2" t="str">
        <f t="shared" si="196"/>
        <v>63E8</v>
      </c>
    </row>
    <row r="1281" spans="7:42" x14ac:dyDescent="0.2">
      <c r="G1281" s="3"/>
      <c r="H1281" s="8"/>
      <c r="AJ1281" s="6">
        <f t="shared" si="193"/>
        <v>1000</v>
      </c>
      <c r="AK1281">
        <v>1264</v>
      </c>
      <c r="AM1281" s="2" t="str">
        <f t="shared" si="194"/>
        <v>6</v>
      </c>
      <c r="AN1281" s="2" t="str">
        <f t="shared" si="195"/>
        <v>3E8</v>
      </c>
      <c r="AO1281" s="2"/>
      <c r="AP1281" s="2" t="str">
        <f t="shared" si="196"/>
        <v>63E8</v>
      </c>
    </row>
    <row r="1282" spans="7:42" x14ac:dyDescent="0.2">
      <c r="G1282" s="3"/>
      <c r="H1282" s="8"/>
      <c r="AJ1282" s="6">
        <f t="shared" si="193"/>
        <v>1000</v>
      </c>
      <c r="AK1282">
        <v>1265</v>
      </c>
      <c r="AM1282" s="2" t="str">
        <f t="shared" si="194"/>
        <v>6</v>
      </c>
      <c r="AN1282" s="2" t="str">
        <f t="shared" si="195"/>
        <v>3E8</v>
      </c>
      <c r="AO1282" s="2"/>
      <c r="AP1282" s="2" t="str">
        <f t="shared" si="196"/>
        <v>63E8</v>
      </c>
    </row>
    <row r="1283" spans="7:42" x14ac:dyDescent="0.2">
      <c r="G1283" s="3"/>
      <c r="H1283" s="8"/>
      <c r="AJ1283" s="6">
        <f t="shared" si="193"/>
        <v>1000</v>
      </c>
      <c r="AK1283">
        <v>1266</v>
      </c>
      <c r="AM1283" s="2" t="str">
        <f t="shared" si="194"/>
        <v>6</v>
      </c>
      <c r="AN1283" s="2" t="str">
        <f t="shared" si="195"/>
        <v>3E8</v>
      </c>
      <c r="AO1283" s="2"/>
      <c r="AP1283" s="2" t="str">
        <f t="shared" si="196"/>
        <v>63E8</v>
      </c>
    </row>
    <row r="1284" spans="7:42" x14ac:dyDescent="0.2">
      <c r="G1284" s="3"/>
      <c r="H1284" s="8"/>
      <c r="AJ1284" s="6">
        <f t="shared" si="193"/>
        <v>1000</v>
      </c>
      <c r="AK1284">
        <v>1267</v>
      </c>
      <c r="AM1284" s="2" t="str">
        <f t="shared" si="194"/>
        <v>6</v>
      </c>
      <c r="AN1284" s="2" t="str">
        <f t="shared" si="195"/>
        <v>3E8</v>
      </c>
      <c r="AO1284" s="2"/>
      <c r="AP1284" s="2" t="str">
        <f t="shared" si="196"/>
        <v>63E8</v>
      </c>
    </row>
    <row r="1285" spans="7:42" x14ac:dyDescent="0.2">
      <c r="G1285" s="3"/>
      <c r="H1285" s="8"/>
      <c r="AJ1285" s="6">
        <f t="shared" si="193"/>
        <v>1000</v>
      </c>
      <c r="AK1285">
        <v>1268</v>
      </c>
      <c r="AM1285" s="2" t="str">
        <f t="shared" si="194"/>
        <v>6</v>
      </c>
      <c r="AN1285" s="2" t="str">
        <f t="shared" si="195"/>
        <v>3E8</v>
      </c>
      <c r="AO1285" s="2"/>
      <c r="AP1285" s="2" t="str">
        <f t="shared" si="196"/>
        <v>63E8</v>
      </c>
    </row>
    <row r="1286" spans="7:42" x14ac:dyDescent="0.2">
      <c r="G1286" s="3"/>
      <c r="H1286" s="8"/>
      <c r="AJ1286" s="6">
        <f t="shared" si="193"/>
        <v>1000</v>
      </c>
      <c r="AK1286">
        <v>1269</v>
      </c>
      <c r="AM1286" s="2" t="str">
        <f t="shared" si="194"/>
        <v>6</v>
      </c>
      <c r="AN1286" s="2" t="str">
        <f t="shared" si="195"/>
        <v>3E8</v>
      </c>
      <c r="AO1286" s="2"/>
      <c r="AP1286" s="2" t="str">
        <f t="shared" si="196"/>
        <v>63E8</v>
      </c>
    </row>
    <row r="1287" spans="7:42" x14ac:dyDescent="0.2">
      <c r="G1287" s="3"/>
      <c r="H1287" s="8"/>
      <c r="AJ1287" s="6">
        <f t="shared" si="193"/>
        <v>1000</v>
      </c>
      <c r="AK1287">
        <v>1270</v>
      </c>
      <c r="AM1287" s="2" t="str">
        <f t="shared" si="194"/>
        <v>6</v>
      </c>
      <c r="AN1287" s="2" t="str">
        <f t="shared" si="195"/>
        <v>3E8</v>
      </c>
      <c r="AO1287" s="2"/>
      <c r="AP1287" s="2" t="str">
        <f t="shared" si="196"/>
        <v>63E8</v>
      </c>
    </row>
    <row r="1288" spans="7:42" x14ac:dyDescent="0.2">
      <c r="G1288" s="3"/>
      <c r="H1288" s="8"/>
      <c r="AJ1288" s="6">
        <f t="shared" si="193"/>
        <v>1000</v>
      </c>
      <c r="AK1288">
        <v>1271</v>
      </c>
      <c r="AM1288" s="2" t="str">
        <f t="shared" si="194"/>
        <v>6</v>
      </c>
      <c r="AN1288" s="2" t="str">
        <f t="shared" si="195"/>
        <v>3E8</v>
      </c>
      <c r="AO1288" s="2"/>
      <c r="AP1288" s="2" t="str">
        <f t="shared" si="196"/>
        <v>63E8</v>
      </c>
    </row>
    <row r="1289" spans="7:42" x14ac:dyDescent="0.2">
      <c r="G1289" s="3"/>
      <c r="H1289" s="8"/>
      <c r="AJ1289" s="6">
        <f t="shared" si="193"/>
        <v>1000</v>
      </c>
      <c r="AK1289">
        <v>1272</v>
      </c>
      <c r="AM1289" s="2" t="str">
        <f t="shared" si="194"/>
        <v>6</v>
      </c>
      <c r="AN1289" s="2" t="str">
        <f t="shared" si="195"/>
        <v>3E8</v>
      </c>
      <c r="AO1289" s="2"/>
      <c r="AP1289" s="2" t="str">
        <f t="shared" si="196"/>
        <v>63E8</v>
      </c>
    </row>
    <row r="1290" spans="7:42" x14ac:dyDescent="0.2">
      <c r="G1290" s="3"/>
      <c r="H1290" s="8"/>
      <c r="AJ1290" s="6">
        <f t="shared" si="193"/>
        <v>1000</v>
      </c>
      <c r="AK1290">
        <v>1273</v>
      </c>
      <c r="AM1290" s="2" t="str">
        <f t="shared" si="194"/>
        <v>6</v>
      </c>
      <c r="AN1290" s="2" t="str">
        <f t="shared" si="195"/>
        <v>3E8</v>
      </c>
      <c r="AO1290" s="2"/>
      <c r="AP1290" s="2" t="str">
        <f t="shared" si="196"/>
        <v>63E8</v>
      </c>
    </row>
    <row r="1291" spans="7:42" x14ac:dyDescent="0.2">
      <c r="G1291" s="3"/>
      <c r="H1291" s="8"/>
      <c r="AJ1291" s="6">
        <f t="shared" si="193"/>
        <v>1000</v>
      </c>
      <c r="AK1291">
        <v>1274</v>
      </c>
      <c r="AM1291" s="2" t="str">
        <f t="shared" si="194"/>
        <v>6</v>
      </c>
      <c r="AN1291" s="2" t="str">
        <f t="shared" si="195"/>
        <v>3E8</v>
      </c>
      <c r="AO1291" s="2"/>
      <c r="AP1291" s="2" t="str">
        <f t="shared" si="196"/>
        <v>63E8</v>
      </c>
    </row>
    <row r="1292" spans="7:42" x14ac:dyDescent="0.2">
      <c r="G1292" s="3"/>
      <c r="H1292" s="8"/>
      <c r="AJ1292" s="6">
        <f t="shared" si="193"/>
        <v>1000</v>
      </c>
      <c r="AK1292">
        <v>1275</v>
      </c>
      <c r="AM1292" s="2" t="str">
        <f t="shared" si="194"/>
        <v>6</v>
      </c>
      <c r="AN1292" s="2" t="str">
        <f t="shared" si="195"/>
        <v>3E8</v>
      </c>
      <c r="AO1292" s="2"/>
      <c r="AP1292" s="2" t="str">
        <f t="shared" si="196"/>
        <v>63E8</v>
      </c>
    </row>
    <row r="1293" spans="7:42" x14ac:dyDescent="0.2">
      <c r="G1293" s="3"/>
      <c r="H1293" s="8"/>
      <c r="AJ1293" s="6">
        <f t="shared" si="193"/>
        <v>1000</v>
      </c>
      <c r="AK1293">
        <v>1276</v>
      </c>
      <c r="AM1293" s="2" t="str">
        <f t="shared" si="194"/>
        <v>6</v>
      </c>
      <c r="AN1293" s="2" t="str">
        <f t="shared" si="195"/>
        <v>3E8</v>
      </c>
      <c r="AO1293" s="2"/>
      <c r="AP1293" s="2" t="str">
        <f t="shared" si="196"/>
        <v>63E8</v>
      </c>
    </row>
    <row r="1294" spans="7:42" x14ac:dyDescent="0.2">
      <c r="G1294" s="3"/>
      <c r="H1294" s="8"/>
      <c r="AJ1294" s="6">
        <f t="shared" si="193"/>
        <v>1000</v>
      </c>
      <c r="AK1294">
        <v>1277</v>
      </c>
      <c r="AM1294" s="2" t="str">
        <f t="shared" si="194"/>
        <v>6</v>
      </c>
      <c r="AN1294" s="2" t="str">
        <f t="shared" si="195"/>
        <v>3E8</v>
      </c>
      <c r="AO1294" s="2"/>
      <c r="AP1294" s="2" t="str">
        <f t="shared" si="196"/>
        <v>63E8</v>
      </c>
    </row>
    <row r="1295" spans="7:42" x14ac:dyDescent="0.2">
      <c r="G1295" s="3"/>
      <c r="H1295" s="8"/>
      <c r="AJ1295" s="6">
        <f t="shared" si="193"/>
        <v>1000</v>
      </c>
      <c r="AK1295">
        <v>1278</v>
      </c>
      <c r="AM1295" s="2" t="str">
        <f t="shared" si="194"/>
        <v>6</v>
      </c>
      <c r="AN1295" s="2" t="str">
        <f t="shared" si="195"/>
        <v>3E8</v>
      </c>
      <c r="AO1295" s="2"/>
      <c r="AP1295" s="2" t="str">
        <f t="shared" si="196"/>
        <v>63E8</v>
      </c>
    </row>
    <row r="1296" spans="7:42" x14ac:dyDescent="0.2">
      <c r="G1296" s="3"/>
      <c r="H1296" s="8"/>
      <c r="AJ1296" s="6">
        <f t="shared" si="193"/>
        <v>1000</v>
      </c>
      <c r="AK1296">
        <v>1279</v>
      </c>
      <c r="AM1296" s="2" t="str">
        <f t="shared" si="194"/>
        <v>6</v>
      </c>
      <c r="AN1296" s="2" t="str">
        <f t="shared" si="195"/>
        <v>3E8</v>
      </c>
      <c r="AO1296" s="2"/>
      <c r="AP1296" s="2" t="str">
        <f t="shared" si="196"/>
        <v>63E8</v>
      </c>
    </row>
    <row r="1297" spans="7:42" x14ac:dyDescent="0.2">
      <c r="G1297" s="3"/>
      <c r="H1297" s="8"/>
      <c r="AJ1297" s="6">
        <f t="shared" si="193"/>
        <v>1000</v>
      </c>
      <c r="AK1297">
        <v>1280</v>
      </c>
      <c r="AM1297" s="2" t="str">
        <f t="shared" si="194"/>
        <v>6</v>
      </c>
      <c r="AN1297" s="2" t="str">
        <f t="shared" si="195"/>
        <v>3E8</v>
      </c>
      <c r="AO1297" s="2"/>
      <c r="AP1297" s="2" t="str">
        <f t="shared" si="196"/>
        <v>63E8</v>
      </c>
    </row>
    <row r="1298" spans="7:42" x14ac:dyDescent="0.2">
      <c r="G1298" s="3"/>
      <c r="H1298" s="8"/>
      <c r="AJ1298" s="6">
        <f t="shared" si="193"/>
        <v>1000</v>
      </c>
      <c r="AK1298">
        <v>1281</v>
      </c>
      <c r="AM1298" s="2" t="str">
        <f t="shared" si="194"/>
        <v>6</v>
      </c>
      <c r="AN1298" s="2" t="str">
        <f t="shared" si="195"/>
        <v>3E8</v>
      </c>
      <c r="AO1298" s="2"/>
      <c r="AP1298" s="2" t="str">
        <f t="shared" si="196"/>
        <v>63E8</v>
      </c>
    </row>
    <row r="1299" spans="7:42" x14ac:dyDescent="0.2">
      <c r="G1299" s="3"/>
      <c r="H1299" s="8"/>
      <c r="AJ1299" s="6">
        <f t="shared" ref="AJ1299:AJ1362" si="197">ROUNDDOWN(($W275*$W$16+$I$6*100)*10,0)</f>
        <v>1000</v>
      </c>
      <c r="AK1299">
        <v>1282</v>
      </c>
      <c r="AM1299" s="2" t="str">
        <f t="shared" ref="AM1299:AM1362" si="198">BIN2HEX(S275+10*T275+100*U275+1000*V275,1)</f>
        <v>6</v>
      </c>
      <c r="AN1299" s="2" t="str">
        <f t="shared" si="195"/>
        <v>3E8</v>
      </c>
      <c r="AO1299" s="2"/>
      <c r="AP1299" s="2" t="str">
        <f t="shared" si="196"/>
        <v>63E8</v>
      </c>
    </row>
    <row r="1300" spans="7:42" x14ac:dyDescent="0.2">
      <c r="G1300" s="3"/>
      <c r="H1300" s="8"/>
      <c r="AJ1300" s="6">
        <f t="shared" si="197"/>
        <v>1000</v>
      </c>
      <c r="AK1300">
        <v>1283</v>
      </c>
      <c r="AM1300" s="2" t="str">
        <f t="shared" si="198"/>
        <v>6</v>
      </c>
      <c r="AN1300" s="2" t="str">
        <f t="shared" si="195"/>
        <v>3E8</v>
      </c>
      <c r="AO1300" s="2"/>
      <c r="AP1300" s="2" t="str">
        <f t="shared" si="196"/>
        <v>63E8</v>
      </c>
    </row>
    <row r="1301" spans="7:42" x14ac:dyDescent="0.2">
      <c r="G1301" s="3"/>
      <c r="H1301" s="8"/>
      <c r="AJ1301" s="6">
        <f t="shared" si="197"/>
        <v>1000</v>
      </c>
      <c r="AK1301">
        <v>1284</v>
      </c>
      <c r="AM1301" s="2" t="str">
        <f t="shared" si="198"/>
        <v>6</v>
      </c>
      <c r="AN1301" s="2" t="str">
        <f t="shared" si="195"/>
        <v>3E8</v>
      </c>
      <c r="AO1301" s="2"/>
      <c r="AP1301" s="2" t="str">
        <f t="shared" si="196"/>
        <v>63E8</v>
      </c>
    </row>
    <row r="1302" spans="7:42" x14ac:dyDescent="0.2">
      <c r="G1302" s="3"/>
      <c r="H1302" s="8"/>
      <c r="AJ1302" s="6">
        <f t="shared" si="197"/>
        <v>1000</v>
      </c>
      <c r="AK1302">
        <v>1285</v>
      </c>
      <c r="AM1302" s="2" t="str">
        <f t="shared" si="198"/>
        <v>6</v>
      </c>
      <c r="AN1302" s="2" t="str">
        <f t="shared" si="195"/>
        <v>3E8</v>
      </c>
      <c r="AO1302" s="2"/>
      <c r="AP1302" s="2" t="str">
        <f t="shared" si="196"/>
        <v>63E8</v>
      </c>
    </row>
    <row r="1303" spans="7:42" x14ac:dyDescent="0.2">
      <c r="G1303" s="3"/>
      <c r="H1303" s="8"/>
      <c r="AJ1303" s="6">
        <f t="shared" si="197"/>
        <v>1000</v>
      </c>
      <c r="AK1303">
        <v>1286</v>
      </c>
      <c r="AM1303" s="2" t="str">
        <f t="shared" si="198"/>
        <v>0</v>
      </c>
      <c r="AN1303" s="2" t="str">
        <f t="shared" si="195"/>
        <v>3E8</v>
      </c>
      <c r="AO1303" s="2"/>
      <c r="AP1303" s="2" t="str">
        <f t="shared" si="196"/>
        <v>03E8</v>
      </c>
    </row>
    <row r="1304" spans="7:42" x14ac:dyDescent="0.2">
      <c r="G1304" s="3"/>
      <c r="H1304" s="8"/>
      <c r="AJ1304" s="6">
        <f t="shared" si="197"/>
        <v>1000</v>
      </c>
      <c r="AK1304">
        <v>1287</v>
      </c>
      <c r="AM1304" s="2" t="str">
        <f t="shared" si="198"/>
        <v>0</v>
      </c>
      <c r="AN1304" s="2" t="str">
        <f t="shared" si="195"/>
        <v>3E8</v>
      </c>
      <c r="AO1304" s="2"/>
      <c r="AP1304" s="2" t="str">
        <f t="shared" si="196"/>
        <v>03E8</v>
      </c>
    </row>
    <row r="1305" spans="7:42" x14ac:dyDescent="0.2">
      <c r="G1305" s="3"/>
      <c r="H1305" s="8"/>
      <c r="AJ1305" s="6">
        <f t="shared" si="197"/>
        <v>1000</v>
      </c>
      <c r="AK1305">
        <v>1288</v>
      </c>
      <c r="AM1305" s="2" t="str">
        <f t="shared" si="198"/>
        <v>0</v>
      </c>
      <c r="AN1305" s="2" t="str">
        <f t="shared" si="195"/>
        <v>3E8</v>
      </c>
      <c r="AO1305" s="2"/>
      <c r="AP1305" s="2" t="str">
        <f t="shared" si="196"/>
        <v>03E8</v>
      </c>
    </row>
    <row r="1306" spans="7:42" x14ac:dyDescent="0.2">
      <c r="G1306" s="3"/>
      <c r="H1306" s="8"/>
      <c r="AJ1306" s="6">
        <f t="shared" si="197"/>
        <v>1000</v>
      </c>
      <c r="AK1306">
        <v>1289</v>
      </c>
      <c r="AM1306" s="2" t="str">
        <f t="shared" si="198"/>
        <v>0</v>
      </c>
      <c r="AN1306" s="2" t="str">
        <f t="shared" si="195"/>
        <v>3E8</v>
      </c>
      <c r="AO1306" s="2"/>
      <c r="AP1306" s="2" t="str">
        <f t="shared" si="196"/>
        <v>03E8</v>
      </c>
    </row>
    <row r="1307" spans="7:42" x14ac:dyDescent="0.2">
      <c r="G1307" s="3"/>
      <c r="H1307" s="8"/>
      <c r="AJ1307" s="6">
        <f t="shared" si="197"/>
        <v>1000</v>
      </c>
      <c r="AK1307">
        <v>1290</v>
      </c>
      <c r="AM1307" s="2" t="str">
        <f t="shared" si="198"/>
        <v>0</v>
      </c>
      <c r="AN1307" s="2" t="str">
        <f t="shared" si="195"/>
        <v>3E8</v>
      </c>
      <c r="AO1307" s="2"/>
      <c r="AP1307" s="2" t="str">
        <f t="shared" si="196"/>
        <v>03E8</v>
      </c>
    </row>
    <row r="1308" spans="7:42" x14ac:dyDescent="0.2">
      <c r="G1308" s="3"/>
      <c r="H1308" s="8"/>
      <c r="AJ1308" s="6">
        <f t="shared" si="197"/>
        <v>1000</v>
      </c>
      <c r="AK1308">
        <v>1291</v>
      </c>
      <c r="AM1308" s="2" t="str">
        <f t="shared" si="198"/>
        <v>0</v>
      </c>
      <c r="AN1308" s="2" t="str">
        <f t="shared" si="195"/>
        <v>3E8</v>
      </c>
      <c r="AO1308" s="2"/>
      <c r="AP1308" s="2" t="str">
        <f t="shared" si="196"/>
        <v>03E8</v>
      </c>
    </row>
    <row r="1309" spans="7:42" x14ac:dyDescent="0.2">
      <c r="G1309" s="3"/>
      <c r="H1309" s="8"/>
      <c r="AJ1309" s="6">
        <f t="shared" si="197"/>
        <v>1000</v>
      </c>
      <c r="AK1309">
        <v>1292</v>
      </c>
      <c r="AM1309" s="2" t="str">
        <f t="shared" si="198"/>
        <v>0</v>
      </c>
      <c r="AN1309" s="2" t="str">
        <f t="shared" si="195"/>
        <v>3E8</v>
      </c>
      <c r="AO1309" s="2"/>
      <c r="AP1309" s="2" t="str">
        <f t="shared" si="196"/>
        <v>03E8</v>
      </c>
    </row>
    <row r="1310" spans="7:42" x14ac:dyDescent="0.2">
      <c r="G1310" s="3"/>
      <c r="H1310" s="8"/>
      <c r="AJ1310" s="6">
        <f t="shared" si="197"/>
        <v>1000</v>
      </c>
      <c r="AK1310">
        <v>1293</v>
      </c>
      <c r="AM1310" s="2" t="str">
        <f t="shared" si="198"/>
        <v>0</v>
      </c>
      <c r="AN1310" s="2" t="str">
        <f t="shared" si="195"/>
        <v>3E8</v>
      </c>
      <c r="AO1310" s="2"/>
      <c r="AP1310" s="2" t="str">
        <f t="shared" si="196"/>
        <v>03E8</v>
      </c>
    </row>
    <row r="1311" spans="7:42" x14ac:dyDescent="0.2">
      <c r="G1311" s="3"/>
      <c r="H1311" s="8"/>
      <c r="AJ1311" s="6">
        <f t="shared" si="197"/>
        <v>1000</v>
      </c>
      <c r="AK1311">
        <v>1294</v>
      </c>
      <c r="AM1311" s="2" t="str">
        <f t="shared" si="198"/>
        <v>0</v>
      </c>
      <c r="AN1311" s="2" t="str">
        <f t="shared" si="195"/>
        <v>3E8</v>
      </c>
      <c r="AO1311" s="2"/>
      <c r="AP1311" s="2" t="str">
        <f t="shared" si="196"/>
        <v>03E8</v>
      </c>
    </row>
    <row r="1312" spans="7:42" x14ac:dyDescent="0.2">
      <c r="G1312" s="3"/>
      <c r="H1312" s="8"/>
      <c r="AJ1312" s="6">
        <f t="shared" si="197"/>
        <v>1000</v>
      </c>
      <c r="AK1312">
        <v>1295</v>
      </c>
      <c r="AM1312" s="2" t="str">
        <f t="shared" si="198"/>
        <v>0</v>
      </c>
      <c r="AN1312" s="2" t="str">
        <f t="shared" ref="AN1312:AN1375" si="199">DEC2HEX(AJ1312,3)</f>
        <v>3E8</v>
      </c>
      <c r="AO1312" s="2"/>
      <c r="AP1312" s="2" t="str">
        <f t="shared" ref="AP1312:AP1375" si="200">CONCATENATE(AM1312,AN1312)</f>
        <v>03E8</v>
      </c>
    </row>
    <row r="1313" spans="7:42" x14ac:dyDescent="0.2">
      <c r="G1313" s="3"/>
      <c r="H1313" s="8"/>
      <c r="AJ1313" s="6">
        <f t="shared" si="197"/>
        <v>1000</v>
      </c>
      <c r="AK1313">
        <v>1296</v>
      </c>
      <c r="AM1313" s="2" t="str">
        <f t="shared" si="198"/>
        <v>0</v>
      </c>
      <c r="AN1313" s="2" t="str">
        <f t="shared" si="199"/>
        <v>3E8</v>
      </c>
      <c r="AO1313" s="2"/>
      <c r="AP1313" s="2" t="str">
        <f t="shared" si="200"/>
        <v>03E8</v>
      </c>
    </row>
    <row r="1314" spans="7:42" x14ac:dyDescent="0.2">
      <c r="G1314" s="3"/>
      <c r="H1314" s="8"/>
      <c r="AJ1314" s="6">
        <f t="shared" si="197"/>
        <v>1000</v>
      </c>
      <c r="AK1314">
        <v>1297</v>
      </c>
      <c r="AM1314" s="2" t="str">
        <f t="shared" si="198"/>
        <v>0</v>
      </c>
      <c r="AN1314" s="2" t="str">
        <f t="shared" si="199"/>
        <v>3E8</v>
      </c>
      <c r="AO1314" s="2"/>
      <c r="AP1314" s="2" t="str">
        <f t="shared" si="200"/>
        <v>03E8</v>
      </c>
    </row>
    <row r="1315" spans="7:42" x14ac:dyDescent="0.2">
      <c r="G1315" s="3"/>
      <c r="H1315" s="8"/>
      <c r="AJ1315" s="6">
        <f t="shared" si="197"/>
        <v>1000</v>
      </c>
      <c r="AK1315">
        <v>1298</v>
      </c>
      <c r="AM1315" s="2" t="str">
        <f t="shared" si="198"/>
        <v>0</v>
      </c>
      <c r="AN1315" s="2" t="str">
        <f t="shared" si="199"/>
        <v>3E8</v>
      </c>
      <c r="AO1315" s="2"/>
      <c r="AP1315" s="2" t="str">
        <f t="shared" si="200"/>
        <v>03E8</v>
      </c>
    </row>
    <row r="1316" spans="7:42" x14ac:dyDescent="0.2">
      <c r="G1316" s="3"/>
      <c r="H1316" s="8"/>
      <c r="AJ1316" s="6">
        <f t="shared" si="197"/>
        <v>1000</v>
      </c>
      <c r="AK1316">
        <v>1299</v>
      </c>
      <c r="AM1316" s="2" t="str">
        <f t="shared" si="198"/>
        <v>0</v>
      </c>
      <c r="AN1316" s="2" t="str">
        <f t="shared" si="199"/>
        <v>3E8</v>
      </c>
      <c r="AO1316" s="2"/>
      <c r="AP1316" s="2" t="str">
        <f t="shared" si="200"/>
        <v>03E8</v>
      </c>
    </row>
    <row r="1317" spans="7:42" x14ac:dyDescent="0.2">
      <c r="G1317" s="3"/>
      <c r="H1317" s="8"/>
      <c r="AJ1317" s="6">
        <f t="shared" si="197"/>
        <v>1000</v>
      </c>
      <c r="AK1317">
        <v>1300</v>
      </c>
      <c r="AM1317" s="2" t="str">
        <f t="shared" si="198"/>
        <v>0</v>
      </c>
      <c r="AN1317" s="2" t="str">
        <f t="shared" si="199"/>
        <v>3E8</v>
      </c>
      <c r="AO1317" s="2"/>
      <c r="AP1317" s="2" t="str">
        <f t="shared" si="200"/>
        <v>03E8</v>
      </c>
    </row>
    <row r="1318" spans="7:42" x14ac:dyDescent="0.2">
      <c r="G1318" s="3"/>
      <c r="H1318" s="8"/>
      <c r="AJ1318" s="6">
        <f t="shared" si="197"/>
        <v>1000</v>
      </c>
      <c r="AK1318">
        <v>1301</v>
      </c>
      <c r="AM1318" s="2" t="str">
        <f t="shared" si="198"/>
        <v>0</v>
      </c>
      <c r="AN1318" s="2" t="str">
        <f t="shared" si="199"/>
        <v>3E8</v>
      </c>
      <c r="AO1318" s="2"/>
      <c r="AP1318" s="2" t="str">
        <f t="shared" si="200"/>
        <v>03E8</v>
      </c>
    </row>
    <row r="1319" spans="7:42" x14ac:dyDescent="0.2">
      <c r="G1319" s="3"/>
      <c r="H1319" s="8"/>
      <c r="AJ1319" s="6">
        <f t="shared" si="197"/>
        <v>1000</v>
      </c>
      <c r="AK1319">
        <v>1302</v>
      </c>
      <c r="AM1319" s="2" t="str">
        <f t="shared" si="198"/>
        <v>0</v>
      </c>
      <c r="AN1319" s="2" t="str">
        <f t="shared" si="199"/>
        <v>3E8</v>
      </c>
      <c r="AO1319" s="2"/>
      <c r="AP1319" s="2" t="str">
        <f t="shared" si="200"/>
        <v>03E8</v>
      </c>
    </row>
    <row r="1320" spans="7:42" x14ac:dyDescent="0.2">
      <c r="G1320" s="3"/>
      <c r="H1320" s="8"/>
      <c r="AJ1320" s="6">
        <f t="shared" si="197"/>
        <v>1000</v>
      </c>
      <c r="AK1320">
        <v>1303</v>
      </c>
      <c r="AM1320" s="2" t="str">
        <f t="shared" si="198"/>
        <v>0</v>
      </c>
      <c r="AN1320" s="2" t="str">
        <f t="shared" si="199"/>
        <v>3E8</v>
      </c>
      <c r="AO1320" s="2"/>
      <c r="AP1320" s="2" t="str">
        <f t="shared" si="200"/>
        <v>03E8</v>
      </c>
    </row>
    <row r="1321" spans="7:42" x14ac:dyDescent="0.2">
      <c r="G1321" s="3"/>
      <c r="H1321" s="8"/>
      <c r="AJ1321" s="6">
        <f t="shared" si="197"/>
        <v>1000</v>
      </c>
      <c r="AK1321">
        <v>1304</v>
      </c>
      <c r="AM1321" s="2" t="str">
        <f t="shared" si="198"/>
        <v>0</v>
      </c>
      <c r="AN1321" s="2" t="str">
        <f t="shared" si="199"/>
        <v>3E8</v>
      </c>
      <c r="AO1321" s="2"/>
      <c r="AP1321" s="2" t="str">
        <f t="shared" si="200"/>
        <v>03E8</v>
      </c>
    </row>
    <row r="1322" spans="7:42" x14ac:dyDescent="0.2">
      <c r="G1322" s="3"/>
      <c r="H1322" s="8"/>
      <c r="AJ1322" s="6">
        <f t="shared" si="197"/>
        <v>1000</v>
      </c>
      <c r="AK1322">
        <v>1305</v>
      </c>
      <c r="AM1322" s="2" t="str">
        <f t="shared" si="198"/>
        <v>0</v>
      </c>
      <c r="AN1322" s="2" t="str">
        <f t="shared" si="199"/>
        <v>3E8</v>
      </c>
      <c r="AO1322" s="2"/>
      <c r="AP1322" s="2" t="str">
        <f t="shared" si="200"/>
        <v>03E8</v>
      </c>
    </row>
    <row r="1323" spans="7:42" x14ac:dyDescent="0.2">
      <c r="G1323" s="3"/>
      <c r="H1323" s="8"/>
      <c r="AJ1323" s="6">
        <f t="shared" si="197"/>
        <v>1000</v>
      </c>
      <c r="AK1323">
        <v>1306</v>
      </c>
      <c r="AM1323" s="2" t="str">
        <f t="shared" si="198"/>
        <v>0</v>
      </c>
      <c r="AN1323" s="2" t="str">
        <f t="shared" si="199"/>
        <v>3E8</v>
      </c>
      <c r="AO1323" s="2"/>
      <c r="AP1323" s="2" t="str">
        <f t="shared" si="200"/>
        <v>03E8</v>
      </c>
    </row>
    <row r="1324" spans="7:42" x14ac:dyDescent="0.2">
      <c r="G1324" s="3"/>
      <c r="H1324" s="8"/>
      <c r="AJ1324" s="6">
        <f t="shared" si="197"/>
        <v>1000</v>
      </c>
      <c r="AK1324">
        <v>1307</v>
      </c>
      <c r="AM1324" s="2" t="str">
        <f t="shared" si="198"/>
        <v>0</v>
      </c>
      <c r="AN1324" s="2" t="str">
        <f t="shared" si="199"/>
        <v>3E8</v>
      </c>
      <c r="AO1324" s="2"/>
      <c r="AP1324" s="2" t="str">
        <f t="shared" si="200"/>
        <v>03E8</v>
      </c>
    </row>
    <row r="1325" spans="7:42" x14ac:dyDescent="0.2">
      <c r="G1325" s="3"/>
      <c r="H1325" s="8"/>
      <c r="AJ1325" s="6">
        <f t="shared" si="197"/>
        <v>1000</v>
      </c>
      <c r="AK1325">
        <v>1308</v>
      </c>
      <c r="AM1325" s="2" t="str">
        <f t="shared" si="198"/>
        <v>0</v>
      </c>
      <c r="AN1325" s="2" t="str">
        <f t="shared" si="199"/>
        <v>3E8</v>
      </c>
      <c r="AO1325" s="2"/>
      <c r="AP1325" s="2" t="str">
        <f t="shared" si="200"/>
        <v>03E8</v>
      </c>
    </row>
    <row r="1326" spans="7:42" x14ac:dyDescent="0.2">
      <c r="G1326" s="3"/>
      <c r="H1326" s="8"/>
      <c r="AJ1326" s="6">
        <f t="shared" si="197"/>
        <v>1000</v>
      </c>
      <c r="AK1326">
        <v>1309</v>
      </c>
      <c r="AM1326" s="2" t="str">
        <f t="shared" si="198"/>
        <v>0</v>
      </c>
      <c r="AN1326" s="2" t="str">
        <f t="shared" si="199"/>
        <v>3E8</v>
      </c>
      <c r="AO1326" s="2"/>
      <c r="AP1326" s="2" t="str">
        <f t="shared" si="200"/>
        <v>03E8</v>
      </c>
    </row>
    <row r="1327" spans="7:42" x14ac:dyDescent="0.2">
      <c r="G1327" s="3"/>
      <c r="H1327" s="8"/>
      <c r="AJ1327" s="6">
        <f t="shared" si="197"/>
        <v>1000</v>
      </c>
      <c r="AK1327">
        <v>1310</v>
      </c>
      <c r="AM1327" s="2" t="str">
        <f t="shared" si="198"/>
        <v>0</v>
      </c>
      <c r="AN1327" s="2" t="str">
        <f t="shared" si="199"/>
        <v>3E8</v>
      </c>
      <c r="AO1327" s="2"/>
      <c r="AP1327" s="2" t="str">
        <f t="shared" si="200"/>
        <v>03E8</v>
      </c>
    </row>
    <row r="1328" spans="7:42" x14ac:dyDescent="0.2">
      <c r="G1328" s="3"/>
      <c r="H1328" s="8"/>
      <c r="AJ1328" s="6">
        <f t="shared" si="197"/>
        <v>1000</v>
      </c>
      <c r="AK1328">
        <v>1311</v>
      </c>
      <c r="AM1328" s="2" t="str">
        <f t="shared" si="198"/>
        <v>0</v>
      </c>
      <c r="AN1328" s="2" t="str">
        <f t="shared" si="199"/>
        <v>3E8</v>
      </c>
      <c r="AO1328" s="2"/>
      <c r="AP1328" s="2" t="str">
        <f t="shared" si="200"/>
        <v>03E8</v>
      </c>
    </row>
    <row r="1329" spans="7:42" x14ac:dyDescent="0.2">
      <c r="G1329" s="3"/>
      <c r="H1329" s="8"/>
      <c r="AJ1329" s="6">
        <f t="shared" si="197"/>
        <v>1000</v>
      </c>
      <c r="AK1329">
        <v>1312</v>
      </c>
      <c r="AM1329" s="2" t="str">
        <f t="shared" si="198"/>
        <v>0</v>
      </c>
      <c r="AN1329" s="2" t="str">
        <f t="shared" si="199"/>
        <v>3E8</v>
      </c>
      <c r="AO1329" s="2"/>
      <c r="AP1329" s="2" t="str">
        <f t="shared" si="200"/>
        <v>03E8</v>
      </c>
    </row>
    <row r="1330" spans="7:42" x14ac:dyDescent="0.2">
      <c r="G1330" s="3"/>
      <c r="H1330" s="8"/>
      <c r="AJ1330" s="6">
        <f t="shared" si="197"/>
        <v>1000</v>
      </c>
      <c r="AK1330">
        <v>1313</v>
      </c>
      <c r="AM1330" s="2" t="str">
        <f t="shared" si="198"/>
        <v>0</v>
      </c>
      <c r="AN1330" s="2" t="str">
        <f t="shared" si="199"/>
        <v>3E8</v>
      </c>
      <c r="AO1330" s="2"/>
      <c r="AP1330" s="2" t="str">
        <f t="shared" si="200"/>
        <v>03E8</v>
      </c>
    </row>
    <row r="1331" spans="7:42" x14ac:dyDescent="0.2">
      <c r="G1331" s="3"/>
      <c r="H1331" s="8"/>
      <c r="AJ1331" s="6">
        <f t="shared" si="197"/>
        <v>1000</v>
      </c>
      <c r="AK1331">
        <v>1314</v>
      </c>
      <c r="AM1331" s="2" t="str">
        <f t="shared" si="198"/>
        <v>0</v>
      </c>
      <c r="AN1331" s="2" t="str">
        <f t="shared" si="199"/>
        <v>3E8</v>
      </c>
      <c r="AO1331" s="2"/>
      <c r="AP1331" s="2" t="str">
        <f t="shared" si="200"/>
        <v>03E8</v>
      </c>
    </row>
    <row r="1332" spans="7:42" x14ac:dyDescent="0.2">
      <c r="G1332" s="3"/>
      <c r="H1332" s="8"/>
      <c r="AJ1332" s="6">
        <f t="shared" si="197"/>
        <v>1000</v>
      </c>
      <c r="AK1332">
        <v>1315</v>
      </c>
      <c r="AM1332" s="2" t="str">
        <f t="shared" si="198"/>
        <v>0</v>
      </c>
      <c r="AN1332" s="2" t="str">
        <f t="shared" si="199"/>
        <v>3E8</v>
      </c>
      <c r="AO1332" s="2"/>
      <c r="AP1332" s="2" t="str">
        <f t="shared" si="200"/>
        <v>03E8</v>
      </c>
    </row>
    <row r="1333" spans="7:42" x14ac:dyDescent="0.2">
      <c r="G1333" s="3"/>
      <c r="H1333" s="8"/>
      <c r="AJ1333" s="6">
        <f t="shared" si="197"/>
        <v>1000</v>
      </c>
      <c r="AK1333">
        <v>1316</v>
      </c>
      <c r="AM1333" s="2" t="str">
        <f t="shared" si="198"/>
        <v>0</v>
      </c>
      <c r="AN1333" s="2" t="str">
        <f t="shared" si="199"/>
        <v>3E8</v>
      </c>
      <c r="AO1333" s="2"/>
      <c r="AP1333" s="2" t="str">
        <f t="shared" si="200"/>
        <v>03E8</v>
      </c>
    </row>
    <row r="1334" spans="7:42" x14ac:dyDescent="0.2">
      <c r="G1334" s="3"/>
      <c r="H1334" s="8"/>
      <c r="AJ1334" s="6">
        <f t="shared" si="197"/>
        <v>1000</v>
      </c>
      <c r="AK1334">
        <v>1317</v>
      </c>
      <c r="AM1334" s="2" t="str">
        <f t="shared" si="198"/>
        <v>0</v>
      </c>
      <c r="AN1334" s="2" t="str">
        <f t="shared" si="199"/>
        <v>3E8</v>
      </c>
      <c r="AO1334" s="2"/>
      <c r="AP1334" s="2" t="str">
        <f t="shared" si="200"/>
        <v>03E8</v>
      </c>
    </row>
    <row r="1335" spans="7:42" x14ac:dyDescent="0.2">
      <c r="G1335" s="3"/>
      <c r="H1335" s="8"/>
      <c r="AJ1335" s="6">
        <f t="shared" si="197"/>
        <v>1000</v>
      </c>
      <c r="AK1335">
        <v>1318</v>
      </c>
      <c r="AM1335" s="2" t="str">
        <f t="shared" si="198"/>
        <v>0</v>
      </c>
      <c r="AN1335" s="2" t="str">
        <f t="shared" si="199"/>
        <v>3E8</v>
      </c>
      <c r="AO1335" s="2"/>
      <c r="AP1335" s="2" t="str">
        <f t="shared" si="200"/>
        <v>03E8</v>
      </c>
    </row>
    <row r="1336" spans="7:42" x14ac:dyDescent="0.2">
      <c r="G1336" s="3"/>
      <c r="H1336" s="8"/>
      <c r="AJ1336" s="6">
        <f t="shared" si="197"/>
        <v>1000</v>
      </c>
      <c r="AK1336">
        <v>1319</v>
      </c>
      <c r="AM1336" s="2" t="str">
        <f t="shared" si="198"/>
        <v>0</v>
      </c>
      <c r="AN1336" s="2" t="str">
        <f t="shared" si="199"/>
        <v>3E8</v>
      </c>
      <c r="AO1336" s="2"/>
      <c r="AP1336" s="2" t="str">
        <f t="shared" si="200"/>
        <v>03E8</v>
      </c>
    </row>
    <row r="1337" spans="7:42" x14ac:dyDescent="0.2">
      <c r="G1337" s="3"/>
      <c r="H1337" s="8"/>
      <c r="AJ1337" s="6">
        <f t="shared" si="197"/>
        <v>1000</v>
      </c>
      <c r="AK1337">
        <v>1320</v>
      </c>
      <c r="AM1337" s="2" t="str">
        <f t="shared" si="198"/>
        <v>0</v>
      </c>
      <c r="AN1337" s="2" t="str">
        <f t="shared" si="199"/>
        <v>3E8</v>
      </c>
      <c r="AO1337" s="2"/>
      <c r="AP1337" s="2" t="str">
        <f t="shared" si="200"/>
        <v>03E8</v>
      </c>
    </row>
    <row r="1338" spans="7:42" x14ac:dyDescent="0.2">
      <c r="G1338" s="3"/>
      <c r="H1338" s="8"/>
      <c r="AJ1338" s="6">
        <f t="shared" si="197"/>
        <v>1000</v>
      </c>
      <c r="AK1338">
        <v>1321</v>
      </c>
      <c r="AM1338" s="2" t="str">
        <f t="shared" si="198"/>
        <v>0</v>
      </c>
      <c r="AN1338" s="2" t="str">
        <f t="shared" si="199"/>
        <v>3E8</v>
      </c>
      <c r="AO1338" s="2"/>
      <c r="AP1338" s="2" t="str">
        <f t="shared" si="200"/>
        <v>03E8</v>
      </c>
    </row>
    <row r="1339" spans="7:42" x14ac:dyDescent="0.2">
      <c r="G1339" s="3"/>
      <c r="H1339" s="8"/>
      <c r="AJ1339" s="6">
        <f t="shared" si="197"/>
        <v>1000</v>
      </c>
      <c r="AK1339">
        <v>1322</v>
      </c>
      <c r="AM1339" s="2" t="str">
        <f t="shared" si="198"/>
        <v>0</v>
      </c>
      <c r="AN1339" s="2" t="str">
        <f t="shared" si="199"/>
        <v>3E8</v>
      </c>
      <c r="AO1339" s="2"/>
      <c r="AP1339" s="2" t="str">
        <f t="shared" si="200"/>
        <v>03E8</v>
      </c>
    </row>
    <row r="1340" spans="7:42" x14ac:dyDescent="0.2">
      <c r="G1340" s="3"/>
      <c r="H1340" s="8"/>
      <c r="AJ1340" s="6">
        <f t="shared" si="197"/>
        <v>1000</v>
      </c>
      <c r="AK1340">
        <v>1323</v>
      </c>
      <c r="AM1340" s="2" t="str">
        <f t="shared" si="198"/>
        <v>0</v>
      </c>
      <c r="AN1340" s="2" t="str">
        <f t="shared" si="199"/>
        <v>3E8</v>
      </c>
      <c r="AO1340" s="2"/>
      <c r="AP1340" s="2" t="str">
        <f t="shared" si="200"/>
        <v>03E8</v>
      </c>
    </row>
    <row r="1341" spans="7:42" x14ac:dyDescent="0.2">
      <c r="G1341" s="3"/>
      <c r="H1341" s="8"/>
      <c r="AJ1341" s="6">
        <f t="shared" si="197"/>
        <v>1000</v>
      </c>
      <c r="AK1341">
        <v>1324</v>
      </c>
      <c r="AM1341" s="2" t="str">
        <f t="shared" si="198"/>
        <v>0</v>
      </c>
      <c r="AN1341" s="2" t="str">
        <f t="shared" si="199"/>
        <v>3E8</v>
      </c>
      <c r="AO1341" s="2"/>
      <c r="AP1341" s="2" t="str">
        <f t="shared" si="200"/>
        <v>03E8</v>
      </c>
    </row>
    <row r="1342" spans="7:42" x14ac:dyDescent="0.2">
      <c r="G1342" s="3"/>
      <c r="H1342" s="8"/>
      <c r="AJ1342" s="6">
        <f t="shared" si="197"/>
        <v>1000</v>
      </c>
      <c r="AK1342">
        <v>1325</v>
      </c>
      <c r="AM1342" s="2" t="str">
        <f t="shared" si="198"/>
        <v>0</v>
      </c>
      <c r="AN1342" s="2" t="str">
        <f t="shared" si="199"/>
        <v>3E8</v>
      </c>
      <c r="AO1342" s="2"/>
      <c r="AP1342" s="2" t="str">
        <f t="shared" si="200"/>
        <v>03E8</v>
      </c>
    </row>
    <row r="1343" spans="7:42" x14ac:dyDescent="0.2">
      <c r="G1343" s="3"/>
      <c r="H1343" s="8"/>
      <c r="AJ1343" s="6">
        <f t="shared" si="197"/>
        <v>1000</v>
      </c>
      <c r="AK1343">
        <v>1326</v>
      </c>
      <c r="AM1343" s="2" t="str">
        <f t="shared" si="198"/>
        <v>0</v>
      </c>
      <c r="AN1343" s="2" t="str">
        <f t="shared" si="199"/>
        <v>3E8</v>
      </c>
      <c r="AO1343" s="2"/>
      <c r="AP1343" s="2" t="str">
        <f t="shared" si="200"/>
        <v>03E8</v>
      </c>
    </row>
    <row r="1344" spans="7:42" x14ac:dyDescent="0.2">
      <c r="G1344" s="3"/>
      <c r="H1344" s="8"/>
      <c r="AJ1344" s="6">
        <f t="shared" si="197"/>
        <v>1000</v>
      </c>
      <c r="AK1344">
        <v>1327</v>
      </c>
      <c r="AM1344" s="2" t="str">
        <f t="shared" si="198"/>
        <v>0</v>
      </c>
      <c r="AN1344" s="2" t="str">
        <f t="shared" si="199"/>
        <v>3E8</v>
      </c>
      <c r="AO1344" s="2"/>
      <c r="AP1344" s="2" t="str">
        <f t="shared" si="200"/>
        <v>03E8</v>
      </c>
    </row>
    <row r="1345" spans="7:42" x14ac:dyDescent="0.2">
      <c r="G1345" s="3"/>
      <c r="H1345" s="8"/>
      <c r="AJ1345" s="6">
        <f t="shared" si="197"/>
        <v>1000</v>
      </c>
      <c r="AK1345">
        <v>1328</v>
      </c>
      <c r="AM1345" s="2" t="str">
        <f t="shared" si="198"/>
        <v>0</v>
      </c>
      <c r="AN1345" s="2" t="str">
        <f t="shared" si="199"/>
        <v>3E8</v>
      </c>
      <c r="AO1345" s="2"/>
      <c r="AP1345" s="2" t="str">
        <f t="shared" si="200"/>
        <v>03E8</v>
      </c>
    </row>
    <row r="1346" spans="7:42" x14ac:dyDescent="0.2">
      <c r="G1346" s="3"/>
      <c r="H1346" s="8"/>
      <c r="AJ1346" s="6">
        <f t="shared" si="197"/>
        <v>1000</v>
      </c>
      <c r="AK1346">
        <v>1329</v>
      </c>
      <c r="AM1346" s="2" t="str">
        <f t="shared" si="198"/>
        <v>0</v>
      </c>
      <c r="AN1346" s="2" t="str">
        <f t="shared" si="199"/>
        <v>3E8</v>
      </c>
      <c r="AO1346" s="2"/>
      <c r="AP1346" s="2" t="str">
        <f t="shared" si="200"/>
        <v>03E8</v>
      </c>
    </row>
    <row r="1347" spans="7:42" x14ac:dyDescent="0.2">
      <c r="G1347" s="3"/>
      <c r="H1347" s="8"/>
      <c r="AJ1347" s="6">
        <f t="shared" si="197"/>
        <v>1000</v>
      </c>
      <c r="AK1347">
        <v>1330</v>
      </c>
      <c r="AM1347" s="2" t="str">
        <f t="shared" si="198"/>
        <v>0</v>
      </c>
      <c r="AN1347" s="2" t="str">
        <f t="shared" si="199"/>
        <v>3E8</v>
      </c>
      <c r="AO1347" s="2"/>
      <c r="AP1347" s="2" t="str">
        <f t="shared" si="200"/>
        <v>03E8</v>
      </c>
    </row>
    <row r="1348" spans="7:42" x14ac:dyDescent="0.2">
      <c r="G1348" s="3"/>
      <c r="H1348" s="8"/>
      <c r="AJ1348" s="6">
        <f t="shared" si="197"/>
        <v>1000</v>
      </c>
      <c r="AK1348">
        <v>1331</v>
      </c>
      <c r="AM1348" s="2" t="str">
        <f t="shared" si="198"/>
        <v>0</v>
      </c>
      <c r="AN1348" s="2" t="str">
        <f t="shared" si="199"/>
        <v>3E8</v>
      </c>
      <c r="AO1348" s="2"/>
      <c r="AP1348" s="2" t="str">
        <f t="shared" si="200"/>
        <v>03E8</v>
      </c>
    </row>
    <row r="1349" spans="7:42" x14ac:dyDescent="0.2">
      <c r="G1349" s="3"/>
      <c r="H1349" s="8"/>
      <c r="AJ1349" s="6">
        <f t="shared" si="197"/>
        <v>1000</v>
      </c>
      <c r="AK1349">
        <v>1332</v>
      </c>
      <c r="AM1349" s="2" t="str">
        <f t="shared" si="198"/>
        <v>0</v>
      </c>
      <c r="AN1349" s="2" t="str">
        <f t="shared" si="199"/>
        <v>3E8</v>
      </c>
      <c r="AO1349" s="2"/>
      <c r="AP1349" s="2" t="str">
        <f t="shared" si="200"/>
        <v>03E8</v>
      </c>
    </row>
    <row r="1350" spans="7:42" x14ac:dyDescent="0.2">
      <c r="G1350" s="3"/>
      <c r="H1350" s="8"/>
      <c r="AJ1350" s="6">
        <f t="shared" si="197"/>
        <v>1000</v>
      </c>
      <c r="AK1350">
        <v>1333</v>
      </c>
      <c r="AM1350" s="2" t="str">
        <f t="shared" si="198"/>
        <v>0</v>
      </c>
      <c r="AN1350" s="2" t="str">
        <f t="shared" si="199"/>
        <v>3E8</v>
      </c>
      <c r="AO1350" s="2"/>
      <c r="AP1350" s="2" t="str">
        <f t="shared" si="200"/>
        <v>03E8</v>
      </c>
    </row>
    <row r="1351" spans="7:42" x14ac:dyDescent="0.2">
      <c r="G1351" s="3"/>
      <c r="H1351" s="8"/>
      <c r="AJ1351" s="6">
        <f t="shared" si="197"/>
        <v>1000</v>
      </c>
      <c r="AK1351">
        <v>1334</v>
      </c>
      <c r="AM1351" s="2" t="str">
        <f t="shared" si="198"/>
        <v>0</v>
      </c>
      <c r="AN1351" s="2" t="str">
        <f t="shared" si="199"/>
        <v>3E8</v>
      </c>
      <c r="AO1351" s="2"/>
      <c r="AP1351" s="2" t="str">
        <f t="shared" si="200"/>
        <v>03E8</v>
      </c>
    </row>
    <row r="1352" spans="7:42" x14ac:dyDescent="0.2">
      <c r="G1352" s="3"/>
      <c r="H1352" s="8"/>
      <c r="AJ1352" s="6">
        <f t="shared" si="197"/>
        <v>1000</v>
      </c>
      <c r="AK1352">
        <v>1335</v>
      </c>
      <c r="AM1352" s="2" t="str">
        <f t="shared" si="198"/>
        <v>0</v>
      </c>
      <c r="AN1352" s="2" t="str">
        <f t="shared" si="199"/>
        <v>3E8</v>
      </c>
      <c r="AO1352" s="2"/>
      <c r="AP1352" s="2" t="str">
        <f t="shared" si="200"/>
        <v>03E8</v>
      </c>
    </row>
    <row r="1353" spans="7:42" x14ac:dyDescent="0.2">
      <c r="G1353" s="3"/>
      <c r="H1353" s="8"/>
      <c r="AJ1353" s="6">
        <f t="shared" si="197"/>
        <v>1000</v>
      </c>
      <c r="AK1353">
        <v>1336</v>
      </c>
      <c r="AM1353" s="2" t="str">
        <f t="shared" si="198"/>
        <v>0</v>
      </c>
      <c r="AN1353" s="2" t="str">
        <f t="shared" si="199"/>
        <v>3E8</v>
      </c>
      <c r="AO1353" s="2"/>
      <c r="AP1353" s="2" t="str">
        <f t="shared" si="200"/>
        <v>03E8</v>
      </c>
    </row>
    <row r="1354" spans="7:42" x14ac:dyDescent="0.2">
      <c r="G1354" s="3"/>
      <c r="H1354" s="8"/>
      <c r="AJ1354" s="6">
        <f t="shared" si="197"/>
        <v>1000</v>
      </c>
      <c r="AK1354">
        <v>1337</v>
      </c>
      <c r="AM1354" s="2" t="str">
        <f t="shared" si="198"/>
        <v>0</v>
      </c>
      <c r="AN1354" s="2" t="str">
        <f t="shared" si="199"/>
        <v>3E8</v>
      </c>
      <c r="AO1354" s="2"/>
      <c r="AP1354" s="2" t="str">
        <f t="shared" si="200"/>
        <v>03E8</v>
      </c>
    </row>
    <row r="1355" spans="7:42" x14ac:dyDescent="0.2">
      <c r="G1355" s="3"/>
      <c r="H1355" s="8"/>
      <c r="AJ1355" s="6">
        <f t="shared" si="197"/>
        <v>1000</v>
      </c>
      <c r="AK1355">
        <v>1338</v>
      </c>
      <c r="AM1355" s="2" t="str">
        <f t="shared" si="198"/>
        <v>0</v>
      </c>
      <c r="AN1355" s="2" t="str">
        <f t="shared" si="199"/>
        <v>3E8</v>
      </c>
      <c r="AO1355" s="2"/>
      <c r="AP1355" s="2" t="str">
        <f t="shared" si="200"/>
        <v>03E8</v>
      </c>
    </row>
    <row r="1356" spans="7:42" x14ac:dyDescent="0.2">
      <c r="G1356" s="3"/>
      <c r="H1356" s="8"/>
      <c r="AJ1356" s="6">
        <f t="shared" si="197"/>
        <v>1000</v>
      </c>
      <c r="AK1356">
        <v>1339</v>
      </c>
      <c r="AM1356" s="2" t="str">
        <f t="shared" si="198"/>
        <v>0</v>
      </c>
      <c r="AN1356" s="2" t="str">
        <f t="shared" si="199"/>
        <v>3E8</v>
      </c>
      <c r="AO1356" s="2"/>
      <c r="AP1356" s="2" t="str">
        <f t="shared" si="200"/>
        <v>03E8</v>
      </c>
    </row>
    <row r="1357" spans="7:42" x14ac:dyDescent="0.2">
      <c r="G1357" s="3"/>
      <c r="H1357" s="8"/>
      <c r="AJ1357" s="6">
        <f t="shared" si="197"/>
        <v>1000</v>
      </c>
      <c r="AK1357">
        <v>1340</v>
      </c>
      <c r="AM1357" s="2" t="str">
        <f t="shared" si="198"/>
        <v>0</v>
      </c>
      <c r="AN1357" s="2" t="str">
        <f t="shared" si="199"/>
        <v>3E8</v>
      </c>
      <c r="AO1357" s="2"/>
      <c r="AP1357" s="2" t="str">
        <f t="shared" si="200"/>
        <v>03E8</v>
      </c>
    </row>
    <row r="1358" spans="7:42" x14ac:dyDescent="0.2">
      <c r="G1358" s="3"/>
      <c r="H1358" s="8"/>
      <c r="AJ1358" s="6">
        <f t="shared" si="197"/>
        <v>1000</v>
      </c>
      <c r="AK1358">
        <v>1341</v>
      </c>
      <c r="AM1358" s="2" t="str">
        <f t="shared" si="198"/>
        <v>0</v>
      </c>
      <c r="AN1358" s="2" t="str">
        <f t="shared" si="199"/>
        <v>3E8</v>
      </c>
      <c r="AO1358" s="2"/>
      <c r="AP1358" s="2" t="str">
        <f t="shared" si="200"/>
        <v>03E8</v>
      </c>
    </row>
    <row r="1359" spans="7:42" x14ac:dyDescent="0.2">
      <c r="G1359" s="3"/>
      <c r="H1359" s="8"/>
      <c r="AJ1359" s="6">
        <f t="shared" si="197"/>
        <v>1000</v>
      </c>
      <c r="AK1359">
        <v>1342</v>
      </c>
      <c r="AM1359" s="2" t="str">
        <f t="shared" si="198"/>
        <v>0</v>
      </c>
      <c r="AN1359" s="2" t="str">
        <f t="shared" si="199"/>
        <v>3E8</v>
      </c>
      <c r="AO1359" s="2"/>
      <c r="AP1359" s="2" t="str">
        <f t="shared" si="200"/>
        <v>03E8</v>
      </c>
    </row>
    <row r="1360" spans="7:42" x14ac:dyDescent="0.2">
      <c r="G1360" s="3"/>
      <c r="H1360" s="8"/>
      <c r="AJ1360" s="6">
        <f t="shared" si="197"/>
        <v>1000</v>
      </c>
      <c r="AK1360">
        <v>1343</v>
      </c>
      <c r="AM1360" s="2" t="str">
        <f t="shared" si="198"/>
        <v>0</v>
      </c>
      <c r="AN1360" s="2" t="str">
        <f t="shared" si="199"/>
        <v>3E8</v>
      </c>
      <c r="AO1360" s="2"/>
      <c r="AP1360" s="2" t="str">
        <f t="shared" si="200"/>
        <v>03E8</v>
      </c>
    </row>
    <row r="1361" spans="6:42" x14ac:dyDescent="0.2">
      <c r="G1361" s="3"/>
      <c r="H1361" s="8"/>
      <c r="AJ1361" s="6">
        <f t="shared" si="197"/>
        <v>1000</v>
      </c>
      <c r="AK1361">
        <v>1344</v>
      </c>
      <c r="AM1361" s="2" t="str">
        <f t="shared" si="198"/>
        <v>0</v>
      </c>
      <c r="AN1361" s="2" t="str">
        <f t="shared" si="199"/>
        <v>3E8</v>
      </c>
      <c r="AO1361" s="2"/>
      <c r="AP1361" s="2" t="str">
        <f t="shared" si="200"/>
        <v>03E8</v>
      </c>
    </row>
    <row r="1362" spans="6:42" x14ac:dyDescent="0.2">
      <c r="G1362" s="3"/>
      <c r="H1362" s="8"/>
      <c r="AJ1362" s="6">
        <f t="shared" si="197"/>
        <v>1000</v>
      </c>
      <c r="AK1362">
        <v>1345</v>
      </c>
      <c r="AM1362" s="2" t="str">
        <f t="shared" si="198"/>
        <v>0</v>
      </c>
      <c r="AN1362" s="2" t="str">
        <f t="shared" si="199"/>
        <v>3E8</v>
      </c>
      <c r="AO1362" s="2"/>
      <c r="AP1362" s="2" t="str">
        <f t="shared" si="200"/>
        <v>03E8</v>
      </c>
    </row>
    <row r="1363" spans="6:42" x14ac:dyDescent="0.2">
      <c r="G1363" s="3"/>
      <c r="H1363" s="8"/>
      <c r="AJ1363" s="6">
        <f t="shared" ref="AJ1363:AJ1426" si="201">ROUNDDOWN(($W339*$W$16+$I$6*100)*10,0)</f>
        <v>1000</v>
      </c>
      <c r="AK1363">
        <v>1346</v>
      </c>
      <c r="AM1363" s="2" t="str">
        <f t="shared" ref="AM1363:AM1426" si="202">BIN2HEX(S339+10*T339+100*U339+1000*V339,1)</f>
        <v>0</v>
      </c>
      <c r="AN1363" s="2" t="str">
        <f t="shared" si="199"/>
        <v>3E8</v>
      </c>
      <c r="AO1363" s="2"/>
      <c r="AP1363" s="2" t="str">
        <f t="shared" si="200"/>
        <v>03E8</v>
      </c>
    </row>
    <row r="1364" spans="6:42" x14ac:dyDescent="0.2">
      <c r="F1364" s="1"/>
      <c r="G1364" s="3"/>
      <c r="H1364" s="8"/>
      <c r="N1364" s="1"/>
      <c r="V1364" s="1"/>
      <c r="AD1364" s="1"/>
      <c r="AJ1364" s="6">
        <f t="shared" si="201"/>
        <v>1000</v>
      </c>
      <c r="AK1364">
        <v>1347</v>
      </c>
      <c r="AM1364" s="2" t="str">
        <f t="shared" si="202"/>
        <v>0</v>
      </c>
      <c r="AN1364" s="2" t="str">
        <f t="shared" si="199"/>
        <v>3E8</v>
      </c>
      <c r="AO1364" s="2"/>
      <c r="AP1364" s="2" t="str">
        <f t="shared" si="200"/>
        <v>03E8</v>
      </c>
    </row>
    <row r="1365" spans="6:42" x14ac:dyDescent="0.2">
      <c r="F1365" s="1"/>
      <c r="G1365" s="3"/>
      <c r="H1365" s="8"/>
      <c r="N1365" s="1"/>
      <c r="V1365" s="1"/>
      <c r="AD1365" s="1"/>
      <c r="AJ1365" s="6">
        <f t="shared" si="201"/>
        <v>1000</v>
      </c>
      <c r="AK1365">
        <v>1348</v>
      </c>
      <c r="AM1365" s="2" t="str">
        <f t="shared" si="202"/>
        <v>0</v>
      </c>
      <c r="AN1365" s="2" t="str">
        <f t="shared" si="199"/>
        <v>3E8</v>
      </c>
      <c r="AO1365" s="2"/>
      <c r="AP1365" s="2" t="str">
        <f t="shared" si="200"/>
        <v>03E8</v>
      </c>
    </row>
    <row r="1366" spans="6:42" x14ac:dyDescent="0.2">
      <c r="F1366" s="1"/>
      <c r="G1366" s="3"/>
      <c r="H1366" s="8"/>
      <c r="N1366" s="1"/>
      <c r="V1366" s="1"/>
      <c r="AD1366" s="1"/>
      <c r="AJ1366" s="6">
        <f t="shared" si="201"/>
        <v>1000</v>
      </c>
      <c r="AK1366">
        <v>1349</v>
      </c>
      <c r="AM1366" s="2" t="str">
        <f t="shared" si="202"/>
        <v>0</v>
      </c>
      <c r="AN1366" s="2" t="str">
        <f t="shared" si="199"/>
        <v>3E8</v>
      </c>
      <c r="AO1366" s="2"/>
      <c r="AP1366" s="2" t="str">
        <f t="shared" si="200"/>
        <v>03E8</v>
      </c>
    </row>
    <row r="1367" spans="6:42" x14ac:dyDescent="0.2">
      <c r="F1367" s="1"/>
      <c r="G1367" s="3"/>
      <c r="H1367" s="8"/>
      <c r="N1367" s="1"/>
      <c r="V1367" s="1"/>
      <c r="AD1367" s="1"/>
      <c r="AJ1367" s="6">
        <f t="shared" si="201"/>
        <v>1000</v>
      </c>
      <c r="AK1367">
        <v>1350</v>
      </c>
      <c r="AM1367" s="2" t="str">
        <f t="shared" si="202"/>
        <v>0</v>
      </c>
      <c r="AN1367" s="2" t="str">
        <f t="shared" si="199"/>
        <v>3E8</v>
      </c>
      <c r="AO1367" s="2"/>
      <c r="AP1367" s="2" t="str">
        <f t="shared" si="200"/>
        <v>03E8</v>
      </c>
    </row>
    <row r="1368" spans="6:42" x14ac:dyDescent="0.2">
      <c r="F1368" s="1"/>
      <c r="G1368" s="3"/>
      <c r="H1368" s="8"/>
      <c r="N1368" s="1"/>
      <c r="V1368" s="1"/>
      <c r="AD1368" s="1"/>
      <c r="AJ1368" s="6">
        <f t="shared" si="201"/>
        <v>1000</v>
      </c>
      <c r="AK1368">
        <v>1351</v>
      </c>
      <c r="AM1368" s="2" t="str">
        <f t="shared" si="202"/>
        <v>0</v>
      </c>
      <c r="AN1368" s="2" t="str">
        <f t="shared" si="199"/>
        <v>3E8</v>
      </c>
      <c r="AO1368" s="2"/>
      <c r="AP1368" s="2" t="str">
        <f t="shared" si="200"/>
        <v>03E8</v>
      </c>
    </row>
    <row r="1369" spans="6:42" x14ac:dyDescent="0.2">
      <c r="F1369" s="1"/>
      <c r="G1369" s="3"/>
      <c r="H1369" s="8"/>
      <c r="N1369" s="1"/>
      <c r="V1369" s="1"/>
      <c r="AD1369" s="1"/>
      <c r="AJ1369" s="6">
        <f t="shared" si="201"/>
        <v>1000</v>
      </c>
      <c r="AK1369">
        <v>1352</v>
      </c>
      <c r="AM1369" s="2" t="str">
        <f t="shared" si="202"/>
        <v>0</v>
      </c>
      <c r="AN1369" s="2" t="str">
        <f t="shared" si="199"/>
        <v>3E8</v>
      </c>
      <c r="AO1369" s="2"/>
      <c r="AP1369" s="2" t="str">
        <f t="shared" si="200"/>
        <v>03E8</v>
      </c>
    </row>
    <row r="1370" spans="6:42" x14ac:dyDescent="0.2">
      <c r="F1370" s="1"/>
      <c r="G1370" s="3"/>
      <c r="H1370" s="8"/>
      <c r="N1370" s="1"/>
      <c r="V1370" s="1"/>
      <c r="AD1370" s="1"/>
      <c r="AJ1370" s="6">
        <f t="shared" si="201"/>
        <v>1000</v>
      </c>
      <c r="AK1370">
        <v>1353</v>
      </c>
      <c r="AM1370" s="2" t="str">
        <f t="shared" si="202"/>
        <v>0</v>
      </c>
      <c r="AN1370" s="2" t="str">
        <f t="shared" si="199"/>
        <v>3E8</v>
      </c>
      <c r="AO1370" s="2"/>
      <c r="AP1370" s="2" t="str">
        <f t="shared" si="200"/>
        <v>03E8</v>
      </c>
    </row>
    <row r="1371" spans="6:42" x14ac:dyDescent="0.2">
      <c r="F1371" s="1"/>
      <c r="G1371" s="3"/>
      <c r="H1371" s="8"/>
      <c r="N1371" s="1"/>
      <c r="V1371" s="1"/>
      <c r="AD1371" s="1"/>
      <c r="AJ1371" s="6">
        <f t="shared" si="201"/>
        <v>1000</v>
      </c>
      <c r="AK1371">
        <v>1354</v>
      </c>
      <c r="AM1371" s="2" t="str">
        <f t="shared" si="202"/>
        <v>0</v>
      </c>
      <c r="AN1371" s="2" t="str">
        <f t="shared" si="199"/>
        <v>3E8</v>
      </c>
      <c r="AO1371" s="2"/>
      <c r="AP1371" s="2" t="str">
        <f t="shared" si="200"/>
        <v>03E8</v>
      </c>
    </row>
    <row r="1372" spans="6:42" x14ac:dyDescent="0.2">
      <c r="F1372" s="1"/>
      <c r="G1372" s="3"/>
      <c r="H1372" s="8"/>
      <c r="N1372" s="1"/>
      <c r="V1372" s="1"/>
      <c r="AD1372" s="1"/>
      <c r="AJ1372" s="6">
        <f t="shared" si="201"/>
        <v>1000</v>
      </c>
      <c r="AK1372">
        <v>1355</v>
      </c>
      <c r="AM1372" s="2" t="str">
        <f t="shared" si="202"/>
        <v>0</v>
      </c>
      <c r="AN1372" s="2" t="str">
        <f t="shared" si="199"/>
        <v>3E8</v>
      </c>
      <c r="AO1372" s="2"/>
      <c r="AP1372" s="2" t="str">
        <f t="shared" si="200"/>
        <v>03E8</v>
      </c>
    </row>
    <row r="1373" spans="6:42" x14ac:dyDescent="0.2">
      <c r="F1373" s="1"/>
      <c r="G1373" s="3"/>
      <c r="H1373" s="8"/>
      <c r="N1373" s="1"/>
      <c r="V1373" s="1"/>
      <c r="AD1373" s="1"/>
      <c r="AJ1373" s="6">
        <f t="shared" si="201"/>
        <v>1000</v>
      </c>
      <c r="AK1373">
        <v>1356</v>
      </c>
      <c r="AM1373" s="2" t="str">
        <f t="shared" si="202"/>
        <v>0</v>
      </c>
      <c r="AN1373" s="2" t="str">
        <f t="shared" si="199"/>
        <v>3E8</v>
      </c>
      <c r="AO1373" s="2"/>
      <c r="AP1373" s="2" t="str">
        <f t="shared" si="200"/>
        <v>03E8</v>
      </c>
    </row>
    <row r="1374" spans="6:42" x14ac:dyDescent="0.2">
      <c r="F1374" s="1"/>
      <c r="G1374" s="3"/>
      <c r="H1374" s="8"/>
      <c r="N1374" s="1"/>
      <c r="V1374" s="1"/>
      <c r="AD1374" s="1"/>
      <c r="AJ1374" s="6">
        <f t="shared" si="201"/>
        <v>1000</v>
      </c>
      <c r="AK1374">
        <v>1357</v>
      </c>
      <c r="AM1374" s="2" t="str">
        <f t="shared" si="202"/>
        <v>0</v>
      </c>
      <c r="AN1374" s="2" t="str">
        <f t="shared" si="199"/>
        <v>3E8</v>
      </c>
      <c r="AO1374" s="2"/>
      <c r="AP1374" s="2" t="str">
        <f t="shared" si="200"/>
        <v>03E8</v>
      </c>
    </row>
    <row r="1375" spans="6:42" x14ac:dyDescent="0.2">
      <c r="F1375" s="1"/>
      <c r="G1375" s="3"/>
      <c r="H1375" s="8"/>
      <c r="N1375" s="1"/>
      <c r="V1375" s="1"/>
      <c r="AD1375" s="1"/>
      <c r="AJ1375" s="6">
        <f t="shared" si="201"/>
        <v>1000</v>
      </c>
      <c r="AK1375">
        <v>1358</v>
      </c>
      <c r="AM1375" s="2" t="str">
        <f t="shared" si="202"/>
        <v>0</v>
      </c>
      <c r="AN1375" s="2" t="str">
        <f t="shared" si="199"/>
        <v>3E8</v>
      </c>
      <c r="AO1375" s="2"/>
      <c r="AP1375" s="2" t="str">
        <f t="shared" si="200"/>
        <v>03E8</v>
      </c>
    </row>
    <row r="1376" spans="6:42" x14ac:dyDescent="0.2">
      <c r="F1376" s="1"/>
      <c r="G1376" s="3"/>
      <c r="H1376" s="8"/>
      <c r="N1376" s="1"/>
      <c r="V1376" s="1"/>
      <c r="AD1376" s="1"/>
      <c r="AJ1376" s="6">
        <f t="shared" si="201"/>
        <v>1000</v>
      </c>
      <c r="AK1376">
        <v>1359</v>
      </c>
      <c r="AM1376" s="2" t="str">
        <f t="shared" si="202"/>
        <v>0</v>
      </c>
      <c r="AN1376" s="2" t="str">
        <f t="shared" ref="AN1376:AN1439" si="203">DEC2HEX(AJ1376,3)</f>
        <v>3E8</v>
      </c>
      <c r="AO1376" s="2"/>
      <c r="AP1376" s="2" t="str">
        <f t="shared" ref="AP1376:AP1439" si="204">CONCATENATE(AM1376,AN1376)</f>
        <v>03E8</v>
      </c>
    </row>
    <row r="1377" spans="6:42" x14ac:dyDescent="0.2">
      <c r="F1377" s="1"/>
      <c r="G1377" s="3"/>
      <c r="H1377" s="8"/>
      <c r="N1377" s="1"/>
      <c r="V1377" s="1"/>
      <c r="AD1377" s="1"/>
      <c r="AJ1377" s="6">
        <f t="shared" si="201"/>
        <v>1000</v>
      </c>
      <c r="AK1377">
        <v>1360</v>
      </c>
      <c r="AM1377" s="2" t="str">
        <f t="shared" si="202"/>
        <v>0</v>
      </c>
      <c r="AN1377" s="2" t="str">
        <f t="shared" si="203"/>
        <v>3E8</v>
      </c>
      <c r="AO1377" s="2"/>
      <c r="AP1377" s="2" t="str">
        <f t="shared" si="204"/>
        <v>03E8</v>
      </c>
    </row>
    <row r="1378" spans="6:42" x14ac:dyDescent="0.2">
      <c r="F1378" s="1"/>
      <c r="G1378" s="3"/>
      <c r="H1378" s="8"/>
      <c r="N1378" s="1"/>
      <c r="V1378" s="1"/>
      <c r="AD1378" s="1"/>
      <c r="AJ1378" s="6">
        <f t="shared" si="201"/>
        <v>1000</v>
      </c>
      <c r="AK1378">
        <v>1361</v>
      </c>
      <c r="AM1378" s="2" t="str">
        <f t="shared" si="202"/>
        <v>0</v>
      </c>
      <c r="AN1378" s="2" t="str">
        <f t="shared" si="203"/>
        <v>3E8</v>
      </c>
      <c r="AO1378" s="2"/>
      <c r="AP1378" s="2" t="str">
        <f t="shared" si="204"/>
        <v>03E8</v>
      </c>
    </row>
    <row r="1379" spans="6:42" x14ac:dyDescent="0.2">
      <c r="F1379" s="1"/>
      <c r="G1379" s="3"/>
      <c r="H1379" s="8"/>
      <c r="N1379" s="1"/>
      <c r="V1379" s="1"/>
      <c r="AD1379" s="1"/>
      <c r="AJ1379" s="6">
        <f t="shared" si="201"/>
        <v>1000</v>
      </c>
      <c r="AK1379">
        <v>1362</v>
      </c>
      <c r="AM1379" s="2" t="str">
        <f t="shared" si="202"/>
        <v>0</v>
      </c>
      <c r="AN1379" s="2" t="str">
        <f t="shared" si="203"/>
        <v>3E8</v>
      </c>
      <c r="AO1379" s="2"/>
      <c r="AP1379" s="2" t="str">
        <f t="shared" si="204"/>
        <v>03E8</v>
      </c>
    </row>
    <row r="1380" spans="6:42" x14ac:dyDescent="0.2">
      <c r="F1380" s="1"/>
      <c r="G1380" s="3"/>
      <c r="H1380" s="8"/>
      <c r="N1380" s="1"/>
      <c r="V1380" s="1"/>
      <c r="AD1380" s="1"/>
      <c r="AJ1380" s="6">
        <f t="shared" si="201"/>
        <v>1000</v>
      </c>
      <c r="AK1380">
        <v>1363</v>
      </c>
      <c r="AM1380" s="2" t="str">
        <f t="shared" si="202"/>
        <v>0</v>
      </c>
      <c r="AN1380" s="2" t="str">
        <f t="shared" si="203"/>
        <v>3E8</v>
      </c>
      <c r="AO1380" s="2"/>
      <c r="AP1380" s="2" t="str">
        <f t="shared" si="204"/>
        <v>03E8</v>
      </c>
    </row>
    <row r="1381" spans="6:42" x14ac:dyDescent="0.2">
      <c r="F1381" s="1"/>
      <c r="G1381" s="3"/>
      <c r="H1381" s="8"/>
      <c r="N1381" s="1"/>
      <c r="V1381" s="1"/>
      <c r="AD1381" s="1"/>
      <c r="AJ1381" s="6">
        <f t="shared" si="201"/>
        <v>1000</v>
      </c>
      <c r="AK1381">
        <v>1364</v>
      </c>
      <c r="AM1381" s="2" t="str">
        <f t="shared" si="202"/>
        <v>0</v>
      </c>
      <c r="AN1381" s="2" t="str">
        <f t="shared" si="203"/>
        <v>3E8</v>
      </c>
      <c r="AO1381" s="2"/>
      <c r="AP1381" s="2" t="str">
        <f t="shared" si="204"/>
        <v>03E8</v>
      </c>
    </row>
    <row r="1382" spans="6:42" x14ac:dyDescent="0.2">
      <c r="F1382" s="1"/>
      <c r="G1382" s="3"/>
      <c r="H1382" s="8"/>
      <c r="N1382" s="1"/>
      <c r="V1382" s="1"/>
      <c r="AD1382" s="1"/>
      <c r="AJ1382" s="6">
        <f t="shared" si="201"/>
        <v>1000</v>
      </c>
      <c r="AK1382">
        <v>1365</v>
      </c>
      <c r="AM1382" s="2" t="str">
        <f t="shared" si="202"/>
        <v>0</v>
      </c>
      <c r="AN1382" s="2" t="str">
        <f t="shared" si="203"/>
        <v>3E8</v>
      </c>
      <c r="AO1382" s="2"/>
      <c r="AP1382" s="2" t="str">
        <f t="shared" si="204"/>
        <v>03E8</v>
      </c>
    </row>
    <row r="1383" spans="6:42" x14ac:dyDescent="0.2">
      <c r="F1383" s="1"/>
      <c r="G1383" s="3"/>
      <c r="H1383" s="8"/>
      <c r="N1383" s="1"/>
      <c r="V1383" s="1"/>
      <c r="AD1383" s="1"/>
      <c r="AJ1383" s="6">
        <f t="shared" si="201"/>
        <v>1000</v>
      </c>
      <c r="AK1383">
        <v>1366</v>
      </c>
      <c r="AM1383" s="2" t="str">
        <f t="shared" si="202"/>
        <v>0</v>
      </c>
      <c r="AN1383" s="2" t="str">
        <f t="shared" si="203"/>
        <v>3E8</v>
      </c>
      <c r="AO1383" s="2"/>
      <c r="AP1383" s="2" t="str">
        <f t="shared" si="204"/>
        <v>03E8</v>
      </c>
    </row>
    <row r="1384" spans="6:42" x14ac:dyDescent="0.2">
      <c r="F1384" s="1"/>
      <c r="G1384" s="3"/>
      <c r="H1384" s="8"/>
      <c r="N1384" s="1"/>
      <c r="V1384" s="1"/>
      <c r="AD1384" s="1"/>
      <c r="AJ1384" s="6">
        <f t="shared" si="201"/>
        <v>1000</v>
      </c>
      <c r="AK1384">
        <v>1367</v>
      </c>
      <c r="AM1384" s="2" t="str">
        <f t="shared" si="202"/>
        <v>0</v>
      </c>
      <c r="AN1384" s="2" t="str">
        <f t="shared" si="203"/>
        <v>3E8</v>
      </c>
      <c r="AO1384" s="2"/>
      <c r="AP1384" s="2" t="str">
        <f t="shared" si="204"/>
        <v>03E8</v>
      </c>
    </row>
    <row r="1385" spans="6:42" x14ac:dyDescent="0.2">
      <c r="F1385" s="1"/>
      <c r="G1385" s="3"/>
      <c r="H1385" s="8"/>
      <c r="N1385" s="1"/>
      <c r="V1385" s="1"/>
      <c r="AD1385" s="1"/>
      <c r="AJ1385" s="6">
        <f t="shared" si="201"/>
        <v>1000</v>
      </c>
      <c r="AK1385">
        <v>1368</v>
      </c>
      <c r="AM1385" s="2" t="str">
        <f t="shared" si="202"/>
        <v>0</v>
      </c>
      <c r="AN1385" s="2" t="str">
        <f t="shared" si="203"/>
        <v>3E8</v>
      </c>
      <c r="AO1385" s="2"/>
      <c r="AP1385" s="2" t="str">
        <f t="shared" si="204"/>
        <v>03E8</v>
      </c>
    </row>
    <row r="1386" spans="6:42" x14ac:dyDescent="0.2">
      <c r="F1386" s="1"/>
      <c r="G1386" s="3"/>
      <c r="H1386" s="8"/>
      <c r="N1386" s="1"/>
      <c r="V1386" s="1"/>
      <c r="AD1386" s="1"/>
      <c r="AJ1386" s="6">
        <f t="shared" si="201"/>
        <v>1000</v>
      </c>
      <c r="AK1386">
        <v>1369</v>
      </c>
      <c r="AM1386" s="2" t="str">
        <f t="shared" si="202"/>
        <v>0</v>
      </c>
      <c r="AN1386" s="2" t="str">
        <f t="shared" si="203"/>
        <v>3E8</v>
      </c>
      <c r="AO1386" s="2"/>
      <c r="AP1386" s="2" t="str">
        <f t="shared" si="204"/>
        <v>03E8</v>
      </c>
    </row>
    <row r="1387" spans="6:42" x14ac:dyDescent="0.2">
      <c r="F1387" s="1"/>
      <c r="G1387" s="3"/>
      <c r="H1387" s="8"/>
      <c r="N1387" s="1"/>
      <c r="V1387" s="1"/>
      <c r="AD1387" s="1"/>
      <c r="AJ1387" s="6">
        <f t="shared" si="201"/>
        <v>1000</v>
      </c>
      <c r="AK1387">
        <v>1370</v>
      </c>
      <c r="AM1387" s="2" t="str">
        <f t="shared" si="202"/>
        <v>0</v>
      </c>
      <c r="AN1387" s="2" t="str">
        <f t="shared" si="203"/>
        <v>3E8</v>
      </c>
      <c r="AO1387" s="2"/>
      <c r="AP1387" s="2" t="str">
        <f t="shared" si="204"/>
        <v>03E8</v>
      </c>
    </row>
    <row r="1388" spans="6:42" x14ac:dyDescent="0.2">
      <c r="F1388" s="1"/>
      <c r="G1388" s="3"/>
      <c r="H1388" s="8"/>
      <c r="N1388" s="1"/>
      <c r="V1388" s="1"/>
      <c r="AD1388" s="1"/>
      <c r="AJ1388" s="6">
        <f t="shared" si="201"/>
        <v>1000</v>
      </c>
      <c r="AK1388">
        <v>1371</v>
      </c>
      <c r="AM1388" s="2" t="str">
        <f t="shared" si="202"/>
        <v>0</v>
      </c>
      <c r="AN1388" s="2" t="str">
        <f t="shared" si="203"/>
        <v>3E8</v>
      </c>
      <c r="AO1388" s="2"/>
      <c r="AP1388" s="2" t="str">
        <f t="shared" si="204"/>
        <v>03E8</v>
      </c>
    </row>
    <row r="1389" spans="6:42" x14ac:dyDescent="0.2">
      <c r="F1389" s="1"/>
      <c r="G1389" s="3"/>
      <c r="H1389" s="8"/>
      <c r="N1389" s="1"/>
      <c r="V1389" s="1"/>
      <c r="AD1389" s="1"/>
      <c r="AJ1389" s="6">
        <f t="shared" si="201"/>
        <v>1000</v>
      </c>
      <c r="AK1389">
        <v>1372</v>
      </c>
      <c r="AM1389" s="2" t="str">
        <f t="shared" si="202"/>
        <v>0</v>
      </c>
      <c r="AN1389" s="2" t="str">
        <f t="shared" si="203"/>
        <v>3E8</v>
      </c>
      <c r="AO1389" s="2"/>
      <c r="AP1389" s="2" t="str">
        <f t="shared" si="204"/>
        <v>03E8</v>
      </c>
    </row>
    <row r="1390" spans="6:42" x14ac:dyDescent="0.2">
      <c r="F1390" s="1"/>
      <c r="G1390" s="3"/>
      <c r="H1390" s="8"/>
      <c r="N1390" s="1"/>
      <c r="V1390" s="1"/>
      <c r="AD1390" s="1"/>
      <c r="AJ1390" s="6">
        <f t="shared" si="201"/>
        <v>1000</v>
      </c>
      <c r="AK1390">
        <v>1373</v>
      </c>
      <c r="AM1390" s="2" t="str">
        <f t="shared" si="202"/>
        <v>0</v>
      </c>
      <c r="AN1390" s="2" t="str">
        <f t="shared" si="203"/>
        <v>3E8</v>
      </c>
      <c r="AO1390" s="2"/>
      <c r="AP1390" s="2" t="str">
        <f t="shared" si="204"/>
        <v>03E8</v>
      </c>
    </row>
    <row r="1391" spans="6:42" x14ac:dyDescent="0.2">
      <c r="F1391" s="1"/>
      <c r="G1391" s="3"/>
      <c r="H1391" s="8"/>
      <c r="N1391" s="1"/>
      <c r="V1391" s="1"/>
      <c r="AD1391" s="1"/>
      <c r="AJ1391" s="6">
        <f t="shared" si="201"/>
        <v>1000</v>
      </c>
      <c r="AK1391">
        <v>1374</v>
      </c>
      <c r="AM1391" s="2" t="str">
        <f t="shared" si="202"/>
        <v>0</v>
      </c>
      <c r="AN1391" s="2" t="str">
        <f t="shared" si="203"/>
        <v>3E8</v>
      </c>
      <c r="AO1391" s="2"/>
      <c r="AP1391" s="2" t="str">
        <f t="shared" si="204"/>
        <v>03E8</v>
      </c>
    </row>
    <row r="1392" spans="6:42" x14ac:dyDescent="0.2">
      <c r="F1392" s="1"/>
      <c r="G1392" s="3"/>
      <c r="H1392" s="8"/>
      <c r="N1392" s="1"/>
      <c r="V1392" s="1"/>
      <c r="AD1392" s="1"/>
      <c r="AJ1392" s="6">
        <f t="shared" si="201"/>
        <v>1000</v>
      </c>
      <c r="AK1392">
        <v>1375</v>
      </c>
      <c r="AM1392" s="2" t="str">
        <f t="shared" si="202"/>
        <v>0</v>
      </c>
      <c r="AN1392" s="2" t="str">
        <f t="shared" si="203"/>
        <v>3E8</v>
      </c>
      <c r="AO1392" s="2"/>
      <c r="AP1392" s="2" t="str">
        <f t="shared" si="204"/>
        <v>03E8</v>
      </c>
    </row>
    <row r="1393" spans="6:42" x14ac:dyDescent="0.2">
      <c r="F1393" s="1"/>
      <c r="G1393" s="3"/>
      <c r="H1393" s="8"/>
      <c r="N1393" s="1"/>
      <c r="V1393" s="1"/>
      <c r="AD1393" s="1"/>
      <c r="AJ1393" s="6">
        <f t="shared" si="201"/>
        <v>1000</v>
      </c>
      <c r="AK1393">
        <v>1376</v>
      </c>
      <c r="AM1393" s="2" t="str">
        <f t="shared" si="202"/>
        <v>0</v>
      </c>
      <c r="AN1393" s="2" t="str">
        <f t="shared" si="203"/>
        <v>3E8</v>
      </c>
      <c r="AO1393" s="2"/>
      <c r="AP1393" s="2" t="str">
        <f t="shared" si="204"/>
        <v>03E8</v>
      </c>
    </row>
    <row r="1394" spans="6:42" x14ac:dyDescent="0.2">
      <c r="F1394" s="1"/>
      <c r="G1394" s="3"/>
      <c r="H1394" s="8"/>
      <c r="N1394" s="1"/>
      <c r="V1394" s="1"/>
      <c r="AD1394" s="1"/>
      <c r="AJ1394" s="6">
        <f t="shared" si="201"/>
        <v>1000</v>
      </c>
      <c r="AK1394">
        <v>1377</v>
      </c>
      <c r="AM1394" s="2" t="str">
        <f t="shared" si="202"/>
        <v>0</v>
      </c>
      <c r="AN1394" s="2" t="str">
        <f t="shared" si="203"/>
        <v>3E8</v>
      </c>
      <c r="AO1394" s="2"/>
      <c r="AP1394" s="2" t="str">
        <f t="shared" si="204"/>
        <v>03E8</v>
      </c>
    </row>
    <row r="1395" spans="6:42" x14ac:dyDescent="0.2">
      <c r="F1395" s="1"/>
      <c r="G1395" s="3"/>
      <c r="H1395" s="8"/>
      <c r="N1395" s="1"/>
      <c r="V1395" s="1"/>
      <c r="AD1395" s="1"/>
      <c r="AJ1395" s="6">
        <f t="shared" si="201"/>
        <v>1000</v>
      </c>
      <c r="AK1395">
        <v>1378</v>
      </c>
      <c r="AM1395" s="2" t="str">
        <f t="shared" si="202"/>
        <v>0</v>
      </c>
      <c r="AN1395" s="2" t="str">
        <f t="shared" si="203"/>
        <v>3E8</v>
      </c>
      <c r="AO1395" s="2"/>
      <c r="AP1395" s="2" t="str">
        <f t="shared" si="204"/>
        <v>03E8</v>
      </c>
    </row>
    <row r="1396" spans="6:42" x14ac:dyDescent="0.2">
      <c r="F1396" s="1"/>
      <c r="G1396" s="3"/>
      <c r="H1396" s="8"/>
      <c r="N1396" s="1"/>
      <c r="V1396" s="1"/>
      <c r="AD1396" s="1"/>
      <c r="AJ1396" s="6">
        <f t="shared" si="201"/>
        <v>1000</v>
      </c>
      <c r="AK1396">
        <v>1379</v>
      </c>
      <c r="AM1396" s="2" t="str">
        <f t="shared" si="202"/>
        <v>0</v>
      </c>
      <c r="AN1396" s="2" t="str">
        <f t="shared" si="203"/>
        <v>3E8</v>
      </c>
      <c r="AO1396" s="2"/>
      <c r="AP1396" s="2" t="str">
        <f t="shared" si="204"/>
        <v>03E8</v>
      </c>
    </row>
    <row r="1397" spans="6:42" x14ac:dyDescent="0.2">
      <c r="F1397" s="1"/>
      <c r="G1397" s="3"/>
      <c r="H1397" s="8"/>
      <c r="N1397" s="1"/>
      <c r="V1397" s="1"/>
      <c r="AD1397" s="1"/>
      <c r="AJ1397" s="6">
        <f t="shared" si="201"/>
        <v>1000</v>
      </c>
      <c r="AK1397">
        <v>1380</v>
      </c>
      <c r="AM1397" s="2" t="str">
        <f t="shared" si="202"/>
        <v>0</v>
      </c>
      <c r="AN1397" s="2" t="str">
        <f t="shared" si="203"/>
        <v>3E8</v>
      </c>
      <c r="AO1397" s="2"/>
      <c r="AP1397" s="2" t="str">
        <f t="shared" si="204"/>
        <v>03E8</v>
      </c>
    </row>
    <row r="1398" spans="6:42" x14ac:dyDescent="0.2">
      <c r="F1398" s="1"/>
      <c r="G1398" s="3"/>
      <c r="H1398" s="8"/>
      <c r="N1398" s="1"/>
      <c r="V1398" s="1"/>
      <c r="AD1398" s="1"/>
      <c r="AJ1398" s="6">
        <f t="shared" si="201"/>
        <v>1000</v>
      </c>
      <c r="AK1398">
        <v>1381</v>
      </c>
      <c r="AM1398" s="2" t="str">
        <f t="shared" si="202"/>
        <v>0</v>
      </c>
      <c r="AN1398" s="2" t="str">
        <f t="shared" si="203"/>
        <v>3E8</v>
      </c>
      <c r="AO1398" s="2"/>
      <c r="AP1398" s="2" t="str">
        <f t="shared" si="204"/>
        <v>03E8</v>
      </c>
    </row>
    <row r="1399" spans="6:42" x14ac:dyDescent="0.2">
      <c r="F1399" s="1"/>
      <c r="G1399" s="3"/>
      <c r="H1399" s="8"/>
      <c r="N1399" s="1"/>
      <c r="V1399" s="1"/>
      <c r="AD1399" s="1"/>
      <c r="AJ1399" s="6">
        <f t="shared" si="201"/>
        <v>1000</v>
      </c>
      <c r="AK1399">
        <v>1382</v>
      </c>
      <c r="AM1399" s="2" t="str">
        <f t="shared" si="202"/>
        <v>0</v>
      </c>
      <c r="AN1399" s="2" t="str">
        <f t="shared" si="203"/>
        <v>3E8</v>
      </c>
      <c r="AO1399" s="2"/>
      <c r="AP1399" s="2" t="str">
        <f t="shared" si="204"/>
        <v>03E8</v>
      </c>
    </row>
    <row r="1400" spans="6:42" x14ac:dyDescent="0.2">
      <c r="F1400" s="1"/>
      <c r="G1400" s="3"/>
      <c r="H1400" s="8"/>
      <c r="N1400" s="1"/>
      <c r="V1400" s="1"/>
      <c r="AD1400" s="1"/>
      <c r="AJ1400" s="6">
        <f t="shared" si="201"/>
        <v>1000</v>
      </c>
      <c r="AK1400">
        <v>1383</v>
      </c>
      <c r="AM1400" s="2" t="str">
        <f t="shared" si="202"/>
        <v>0</v>
      </c>
      <c r="AN1400" s="2" t="str">
        <f t="shared" si="203"/>
        <v>3E8</v>
      </c>
      <c r="AO1400" s="2"/>
      <c r="AP1400" s="2" t="str">
        <f t="shared" si="204"/>
        <v>03E8</v>
      </c>
    </row>
    <row r="1401" spans="6:42" x14ac:dyDescent="0.2">
      <c r="F1401" s="1"/>
      <c r="G1401" s="3"/>
      <c r="H1401" s="8"/>
      <c r="N1401" s="1"/>
      <c r="V1401" s="1"/>
      <c r="AD1401" s="1"/>
      <c r="AJ1401" s="6">
        <f t="shared" si="201"/>
        <v>1000</v>
      </c>
      <c r="AK1401">
        <v>1384</v>
      </c>
      <c r="AM1401" s="2" t="str">
        <f t="shared" si="202"/>
        <v>0</v>
      </c>
      <c r="AN1401" s="2" t="str">
        <f t="shared" si="203"/>
        <v>3E8</v>
      </c>
      <c r="AO1401" s="2"/>
      <c r="AP1401" s="2" t="str">
        <f t="shared" si="204"/>
        <v>03E8</v>
      </c>
    </row>
    <row r="1402" spans="6:42" x14ac:dyDescent="0.2">
      <c r="F1402" s="1"/>
      <c r="G1402" s="3"/>
      <c r="H1402" s="8"/>
      <c r="N1402" s="1"/>
      <c r="V1402" s="1"/>
      <c r="AD1402" s="1"/>
      <c r="AJ1402" s="6">
        <f t="shared" si="201"/>
        <v>1000</v>
      </c>
      <c r="AK1402">
        <v>1385</v>
      </c>
      <c r="AM1402" s="2" t="str">
        <f t="shared" si="202"/>
        <v>0</v>
      </c>
      <c r="AN1402" s="2" t="str">
        <f t="shared" si="203"/>
        <v>3E8</v>
      </c>
      <c r="AO1402" s="2"/>
      <c r="AP1402" s="2" t="str">
        <f t="shared" si="204"/>
        <v>03E8</v>
      </c>
    </row>
    <row r="1403" spans="6:42" x14ac:dyDescent="0.2">
      <c r="F1403" s="1"/>
      <c r="G1403" s="3"/>
      <c r="H1403" s="8"/>
      <c r="N1403" s="1"/>
      <c r="V1403" s="1"/>
      <c r="AD1403" s="1"/>
      <c r="AJ1403" s="6">
        <f t="shared" si="201"/>
        <v>1000</v>
      </c>
      <c r="AK1403">
        <v>1386</v>
      </c>
      <c r="AM1403" s="2" t="str">
        <f t="shared" si="202"/>
        <v>0</v>
      </c>
      <c r="AN1403" s="2" t="str">
        <f t="shared" si="203"/>
        <v>3E8</v>
      </c>
      <c r="AO1403" s="2"/>
      <c r="AP1403" s="2" t="str">
        <f t="shared" si="204"/>
        <v>03E8</v>
      </c>
    </row>
    <row r="1404" spans="6:42" x14ac:dyDescent="0.2">
      <c r="F1404" s="1"/>
      <c r="G1404" s="3"/>
      <c r="H1404" s="8"/>
      <c r="N1404" s="1"/>
      <c r="V1404" s="1"/>
      <c r="AD1404" s="1"/>
      <c r="AJ1404" s="6">
        <f t="shared" si="201"/>
        <v>1000</v>
      </c>
      <c r="AK1404">
        <v>1387</v>
      </c>
      <c r="AM1404" s="2" t="str">
        <f t="shared" si="202"/>
        <v>0</v>
      </c>
      <c r="AN1404" s="2" t="str">
        <f t="shared" si="203"/>
        <v>3E8</v>
      </c>
      <c r="AO1404" s="2"/>
      <c r="AP1404" s="2" t="str">
        <f t="shared" si="204"/>
        <v>03E8</v>
      </c>
    </row>
    <row r="1405" spans="6:42" x14ac:dyDescent="0.2">
      <c r="F1405" s="1"/>
      <c r="G1405" s="3"/>
      <c r="H1405" s="8"/>
      <c r="N1405" s="1"/>
      <c r="V1405" s="1"/>
      <c r="AD1405" s="1"/>
      <c r="AJ1405" s="6">
        <f t="shared" si="201"/>
        <v>1000</v>
      </c>
      <c r="AK1405">
        <v>1388</v>
      </c>
      <c r="AM1405" s="2" t="str">
        <f t="shared" si="202"/>
        <v>0</v>
      </c>
      <c r="AN1405" s="2" t="str">
        <f t="shared" si="203"/>
        <v>3E8</v>
      </c>
      <c r="AO1405" s="2"/>
      <c r="AP1405" s="2" t="str">
        <f t="shared" si="204"/>
        <v>03E8</v>
      </c>
    </row>
    <row r="1406" spans="6:42" x14ac:dyDescent="0.2">
      <c r="F1406" s="1"/>
      <c r="G1406" s="3"/>
      <c r="H1406" s="8"/>
      <c r="N1406" s="1"/>
      <c r="V1406" s="1"/>
      <c r="AD1406" s="1"/>
      <c r="AJ1406" s="6">
        <f t="shared" si="201"/>
        <v>1000</v>
      </c>
      <c r="AK1406">
        <v>1389</v>
      </c>
      <c r="AM1406" s="2" t="str">
        <f t="shared" si="202"/>
        <v>0</v>
      </c>
      <c r="AN1406" s="2" t="str">
        <f t="shared" si="203"/>
        <v>3E8</v>
      </c>
      <c r="AO1406" s="2"/>
      <c r="AP1406" s="2" t="str">
        <f t="shared" si="204"/>
        <v>03E8</v>
      </c>
    </row>
    <row r="1407" spans="6:42" x14ac:dyDescent="0.2">
      <c r="F1407" s="1"/>
      <c r="G1407" s="3"/>
      <c r="H1407" s="8"/>
      <c r="N1407" s="1"/>
      <c r="V1407" s="1"/>
      <c r="AD1407" s="1"/>
      <c r="AJ1407" s="6">
        <f t="shared" si="201"/>
        <v>1000</v>
      </c>
      <c r="AK1407">
        <v>1390</v>
      </c>
      <c r="AM1407" s="2" t="str">
        <f t="shared" si="202"/>
        <v>0</v>
      </c>
      <c r="AN1407" s="2" t="str">
        <f t="shared" si="203"/>
        <v>3E8</v>
      </c>
      <c r="AO1407" s="2"/>
      <c r="AP1407" s="2" t="str">
        <f t="shared" si="204"/>
        <v>03E8</v>
      </c>
    </row>
    <row r="1408" spans="6:42" x14ac:dyDescent="0.2">
      <c r="F1408" s="1"/>
      <c r="G1408" s="3"/>
      <c r="H1408" s="8"/>
      <c r="N1408" s="1"/>
      <c r="V1408" s="1"/>
      <c r="AD1408" s="1"/>
      <c r="AJ1408" s="6">
        <f t="shared" si="201"/>
        <v>1000</v>
      </c>
      <c r="AK1408">
        <v>1391</v>
      </c>
      <c r="AM1408" s="2" t="str">
        <f t="shared" si="202"/>
        <v>0</v>
      </c>
      <c r="AN1408" s="2" t="str">
        <f t="shared" si="203"/>
        <v>3E8</v>
      </c>
      <c r="AO1408" s="2"/>
      <c r="AP1408" s="2" t="str">
        <f t="shared" si="204"/>
        <v>03E8</v>
      </c>
    </row>
    <row r="1409" spans="6:42" x14ac:dyDescent="0.2">
      <c r="F1409" s="1"/>
      <c r="G1409" s="3"/>
      <c r="H1409" s="8"/>
      <c r="N1409" s="1"/>
      <c r="V1409" s="1"/>
      <c r="AD1409" s="1"/>
      <c r="AJ1409" s="6">
        <f t="shared" si="201"/>
        <v>1000</v>
      </c>
      <c r="AK1409">
        <v>1392</v>
      </c>
      <c r="AM1409" s="2" t="str">
        <f t="shared" si="202"/>
        <v>0</v>
      </c>
      <c r="AN1409" s="2" t="str">
        <f t="shared" si="203"/>
        <v>3E8</v>
      </c>
      <c r="AO1409" s="2"/>
      <c r="AP1409" s="2" t="str">
        <f t="shared" si="204"/>
        <v>03E8</v>
      </c>
    </row>
    <row r="1410" spans="6:42" x14ac:dyDescent="0.2">
      <c r="F1410" s="1"/>
      <c r="G1410" s="3"/>
      <c r="H1410" s="8"/>
      <c r="N1410" s="1"/>
      <c r="V1410" s="1"/>
      <c r="AD1410" s="1"/>
      <c r="AJ1410" s="6">
        <f t="shared" si="201"/>
        <v>1000</v>
      </c>
      <c r="AK1410">
        <v>1393</v>
      </c>
      <c r="AM1410" s="2" t="str">
        <f t="shared" si="202"/>
        <v>0</v>
      </c>
      <c r="AN1410" s="2" t="str">
        <f t="shared" si="203"/>
        <v>3E8</v>
      </c>
      <c r="AO1410" s="2"/>
      <c r="AP1410" s="2" t="str">
        <f t="shared" si="204"/>
        <v>03E8</v>
      </c>
    </row>
    <row r="1411" spans="6:42" x14ac:dyDescent="0.2">
      <c r="F1411" s="1"/>
      <c r="G1411" s="3"/>
      <c r="H1411" s="8"/>
      <c r="N1411" s="1"/>
      <c r="V1411" s="1"/>
      <c r="AD1411" s="1"/>
      <c r="AJ1411" s="6">
        <f t="shared" si="201"/>
        <v>1000</v>
      </c>
      <c r="AK1411">
        <v>1394</v>
      </c>
      <c r="AM1411" s="2" t="str">
        <f t="shared" si="202"/>
        <v>0</v>
      </c>
      <c r="AN1411" s="2" t="str">
        <f t="shared" si="203"/>
        <v>3E8</v>
      </c>
      <c r="AO1411" s="2"/>
      <c r="AP1411" s="2" t="str">
        <f t="shared" si="204"/>
        <v>03E8</v>
      </c>
    </row>
    <row r="1412" spans="6:42" x14ac:dyDescent="0.2">
      <c r="F1412" s="1"/>
      <c r="G1412" s="3"/>
      <c r="H1412" s="8"/>
      <c r="N1412" s="1"/>
      <c r="V1412" s="1"/>
      <c r="AD1412" s="1"/>
      <c r="AJ1412" s="6">
        <f t="shared" si="201"/>
        <v>1000</v>
      </c>
      <c r="AK1412">
        <v>1395</v>
      </c>
      <c r="AM1412" s="2" t="str">
        <f t="shared" si="202"/>
        <v>0</v>
      </c>
      <c r="AN1412" s="2" t="str">
        <f t="shared" si="203"/>
        <v>3E8</v>
      </c>
      <c r="AO1412" s="2"/>
      <c r="AP1412" s="2" t="str">
        <f t="shared" si="204"/>
        <v>03E8</v>
      </c>
    </row>
    <row r="1413" spans="6:42" x14ac:dyDescent="0.2">
      <c r="F1413" s="1"/>
      <c r="G1413" s="3"/>
      <c r="H1413" s="8"/>
      <c r="N1413" s="1"/>
      <c r="V1413" s="1"/>
      <c r="AD1413" s="1"/>
      <c r="AJ1413" s="6">
        <f t="shared" si="201"/>
        <v>1000</v>
      </c>
      <c r="AK1413">
        <v>1396</v>
      </c>
      <c r="AM1413" s="2" t="str">
        <f t="shared" si="202"/>
        <v>0</v>
      </c>
      <c r="AN1413" s="2" t="str">
        <f t="shared" si="203"/>
        <v>3E8</v>
      </c>
      <c r="AO1413" s="2"/>
      <c r="AP1413" s="2" t="str">
        <f t="shared" si="204"/>
        <v>03E8</v>
      </c>
    </row>
    <row r="1414" spans="6:42" x14ac:dyDescent="0.2">
      <c r="F1414" s="1"/>
      <c r="G1414" s="3"/>
      <c r="H1414" s="8"/>
      <c r="N1414" s="1"/>
      <c r="V1414" s="1"/>
      <c r="AD1414" s="1"/>
      <c r="AJ1414" s="6">
        <f t="shared" si="201"/>
        <v>1000</v>
      </c>
      <c r="AK1414">
        <v>1397</v>
      </c>
      <c r="AM1414" s="2" t="str">
        <f t="shared" si="202"/>
        <v>0</v>
      </c>
      <c r="AN1414" s="2" t="str">
        <f t="shared" si="203"/>
        <v>3E8</v>
      </c>
      <c r="AO1414" s="2"/>
      <c r="AP1414" s="2" t="str">
        <f t="shared" si="204"/>
        <v>03E8</v>
      </c>
    </row>
    <row r="1415" spans="6:42" x14ac:dyDescent="0.2">
      <c r="F1415" s="1"/>
      <c r="G1415" s="3"/>
      <c r="H1415" s="8"/>
      <c r="N1415" s="1"/>
      <c r="V1415" s="1"/>
      <c r="AD1415" s="1"/>
      <c r="AJ1415" s="6">
        <f t="shared" si="201"/>
        <v>1000</v>
      </c>
      <c r="AK1415">
        <v>1398</v>
      </c>
      <c r="AM1415" s="2" t="str">
        <f t="shared" si="202"/>
        <v>0</v>
      </c>
      <c r="AN1415" s="2" t="str">
        <f t="shared" si="203"/>
        <v>3E8</v>
      </c>
      <c r="AO1415" s="2"/>
      <c r="AP1415" s="2" t="str">
        <f t="shared" si="204"/>
        <v>03E8</v>
      </c>
    </row>
    <row r="1416" spans="6:42" x14ac:dyDescent="0.2">
      <c r="F1416" s="1"/>
      <c r="G1416" s="3"/>
      <c r="H1416" s="8"/>
      <c r="N1416" s="1"/>
      <c r="V1416" s="1"/>
      <c r="AD1416" s="1"/>
      <c r="AJ1416" s="6">
        <f t="shared" si="201"/>
        <v>1000</v>
      </c>
      <c r="AK1416">
        <v>1399</v>
      </c>
      <c r="AM1416" s="2" t="str">
        <f t="shared" si="202"/>
        <v>0</v>
      </c>
      <c r="AN1416" s="2" t="str">
        <f t="shared" si="203"/>
        <v>3E8</v>
      </c>
      <c r="AO1416" s="2"/>
      <c r="AP1416" s="2" t="str">
        <f t="shared" si="204"/>
        <v>03E8</v>
      </c>
    </row>
    <row r="1417" spans="6:42" x14ac:dyDescent="0.2">
      <c r="F1417" s="1"/>
      <c r="G1417" s="3"/>
      <c r="H1417" s="8"/>
      <c r="N1417" s="1"/>
      <c r="V1417" s="1"/>
      <c r="AD1417" s="1"/>
      <c r="AJ1417" s="6">
        <f t="shared" si="201"/>
        <v>1000</v>
      </c>
      <c r="AK1417">
        <v>1400</v>
      </c>
      <c r="AM1417" s="2" t="str">
        <f t="shared" si="202"/>
        <v>0</v>
      </c>
      <c r="AN1417" s="2" t="str">
        <f t="shared" si="203"/>
        <v>3E8</v>
      </c>
      <c r="AO1417" s="2"/>
      <c r="AP1417" s="2" t="str">
        <f t="shared" si="204"/>
        <v>03E8</v>
      </c>
    </row>
    <row r="1418" spans="6:42" x14ac:dyDescent="0.2">
      <c r="F1418" s="1"/>
      <c r="G1418" s="3"/>
      <c r="H1418" s="8"/>
      <c r="N1418" s="1"/>
      <c r="V1418" s="1"/>
      <c r="AD1418" s="1"/>
      <c r="AJ1418" s="6">
        <f t="shared" si="201"/>
        <v>1000</v>
      </c>
      <c r="AK1418">
        <v>1401</v>
      </c>
      <c r="AM1418" s="2" t="str">
        <f t="shared" si="202"/>
        <v>0</v>
      </c>
      <c r="AN1418" s="2" t="str">
        <f t="shared" si="203"/>
        <v>3E8</v>
      </c>
      <c r="AO1418" s="2"/>
      <c r="AP1418" s="2" t="str">
        <f t="shared" si="204"/>
        <v>03E8</v>
      </c>
    </row>
    <row r="1419" spans="6:42" x14ac:dyDescent="0.2">
      <c r="F1419" s="1"/>
      <c r="G1419" s="3"/>
      <c r="H1419" s="8"/>
      <c r="N1419" s="1"/>
      <c r="V1419" s="1"/>
      <c r="AD1419" s="1"/>
      <c r="AJ1419" s="6">
        <f t="shared" si="201"/>
        <v>1000</v>
      </c>
      <c r="AK1419">
        <v>1402</v>
      </c>
      <c r="AM1419" s="2" t="str">
        <f t="shared" si="202"/>
        <v>0</v>
      </c>
      <c r="AN1419" s="2" t="str">
        <f t="shared" si="203"/>
        <v>3E8</v>
      </c>
      <c r="AO1419" s="2"/>
      <c r="AP1419" s="2" t="str">
        <f t="shared" si="204"/>
        <v>03E8</v>
      </c>
    </row>
    <row r="1420" spans="6:42" x14ac:dyDescent="0.2">
      <c r="F1420" s="1"/>
      <c r="G1420" s="3"/>
      <c r="H1420" s="8"/>
      <c r="N1420" s="1"/>
      <c r="V1420" s="1"/>
      <c r="AD1420" s="1"/>
      <c r="AJ1420" s="6">
        <f t="shared" si="201"/>
        <v>1000</v>
      </c>
      <c r="AK1420">
        <v>1403</v>
      </c>
      <c r="AM1420" s="2" t="str">
        <f t="shared" si="202"/>
        <v>0</v>
      </c>
      <c r="AN1420" s="2" t="str">
        <f t="shared" si="203"/>
        <v>3E8</v>
      </c>
      <c r="AO1420" s="2"/>
      <c r="AP1420" s="2" t="str">
        <f t="shared" si="204"/>
        <v>03E8</v>
      </c>
    </row>
    <row r="1421" spans="6:42" x14ac:dyDescent="0.2">
      <c r="F1421" s="1"/>
      <c r="G1421" s="3"/>
      <c r="H1421" s="8"/>
      <c r="N1421" s="1"/>
      <c r="V1421" s="1"/>
      <c r="AD1421" s="1"/>
      <c r="AJ1421" s="6">
        <f t="shared" si="201"/>
        <v>1000</v>
      </c>
      <c r="AK1421">
        <v>1404</v>
      </c>
      <c r="AM1421" s="2" t="str">
        <f t="shared" si="202"/>
        <v>0</v>
      </c>
      <c r="AN1421" s="2" t="str">
        <f t="shared" si="203"/>
        <v>3E8</v>
      </c>
      <c r="AO1421" s="2"/>
      <c r="AP1421" s="2" t="str">
        <f t="shared" si="204"/>
        <v>03E8</v>
      </c>
    </row>
    <row r="1422" spans="6:42" x14ac:dyDescent="0.2">
      <c r="F1422" s="1"/>
      <c r="G1422" s="3"/>
      <c r="H1422" s="8"/>
      <c r="N1422" s="1"/>
      <c r="V1422" s="1"/>
      <c r="AD1422" s="1"/>
      <c r="AJ1422" s="6">
        <f t="shared" si="201"/>
        <v>1000</v>
      </c>
      <c r="AK1422">
        <v>1405</v>
      </c>
      <c r="AM1422" s="2" t="str">
        <f t="shared" si="202"/>
        <v>0</v>
      </c>
      <c r="AN1422" s="2" t="str">
        <f t="shared" si="203"/>
        <v>3E8</v>
      </c>
      <c r="AO1422" s="2"/>
      <c r="AP1422" s="2" t="str">
        <f t="shared" si="204"/>
        <v>03E8</v>
      </c>
    </row>
    <row r="1423" spans="6:42" x14ac:dyDescent="0.2">
      <c r="F1423" s="1"/>
      <c r="G1423" s="3"/>
      <c r="H1423" s="8"/>
      <c r="N1423" s="1"/>
      <c r="V1423" s="1"/>
      <c r="AD1423" s="1"/>
      <c r="AJ1423" s="6">
        <f t="shared" si="201"/>
        <v>1000</v>
      </c>
      <c r="AK1423">
        <v>1406</v>
      </c>
      <c r="AM1423" s="2" t="str">
        <f t="shared" si="202"/>
        <v>0</v>
      </c>
      <c r="AN1423" s="2" t="str">
        <f t="shared" si="203"/>
        <v>3E8</v>
      </c>
      <c r="AO1423" s="2"/>
      <c r="AP1423" s="2" t="str">
        <f t="shared" si="204"/>
        <v>03E8</v>
      </c>
    </row>
    <row r="1424" spans="6:42" x14ac:dyDescent="0.2">
      <c r="F1424" s="1"/>
      <c r="G1424" s="3"/>
      <c r="H1424" s="8"/>
      <c r="N1424" s="1"/>
      <c r="V1424" s="1"/>
      <c r="AD1424" s="1"/>
      <c r="AJ1424" s="6">
        <f t="shared" si="201"/>
        <v>1000</v>
      </c>
      <c r="AK1424">
        <v>1407</v>
      </c>
      <c r="AM1424" s="2" t="str">
        <f t="shared" si="202"/>
        <v>0</v>
      </c>
      <c r="AN1424" s="2" t="str">
        <f t="shared" si="203"/>
        <v>3E8</v>
      </c>
      <c r="AO1424" s="2"/>
      <c r="AP1424" s="2" t="str">
        <f t="shared" si="204"/>
        <v>03E8</v>
      </c>
    </row>
    <row r="1425" spans="6:42" x14ac:dyDescent="0.2">
      <c r="F1425" s="1"/>
      <c r="G1425" s="3"/>
      <c r="H1425" s="8"/>
      <c r="N1425" s="1"/>
      <c r="V1425" s="1"/>
      <c r="AD1425" s="1"/>
      <c r="AJ1425" s="6">
        <f t="shared" si="201"/>
        <v>1000</v>
      </c>
      <c r="AK1425">
        <v>1408</v>
      </c>
      <c r="AM1425" s="2" t="str">
        <f t="shared" si="202"/>
        <v>0</v>
      </c>
      <c r="AN1425" s="2" t="str">
        <f t="shared" si="203"/>
        <v>3E8</v>
      </c>
      <c r="AO1425" s="2"/>
      <c r="AP1425" s="2" t="str">
        <f t="shared" si="204"/>
        <v>03E8</v>
      </c>
    </row>
    <row r="1426" spans="6:42" x14ac:dyDescent="0.2">
      <c r="F1426" s="1"/>
      <c r="G1426" s="3"/>
      <c r="H1426" s="8"/>
      <c r="N1426" s="1"/>
      <c r="V1426" s="1"/>
      <c r="AD1426" s="1"/>
      <c r="AJ1426" s="6">
        <f t="shared" si="201"/>
        <v>1000</v>
      </c>
      <c r="AK1426">
        <v>1409</v>
      </c>
      <c r="AM1426" s="2" t="str">
        <f t="shared" si="202"/>
        <v>0</v>
      </c>
      <c r="AN1426" s="2" t="str">
        <f t="shared" si="203"/>
        <v>3E8</v>
      </c>
      <c r="AO1426" s="2"/>
      <c r="AP1426" s="2" t="str">
        <f t="shared" si="204"/>
        <v>03E8</v>
      </c>
    </row>
    <row r="1427" spans="6:42" x14ac:dyDescent="0.2">
      <c r="F1427" s="1"/>
      <c r="G1427" s="3"/>
      <c r="H1427" s="8"/>
      <c r="N1427" s="1"/>
      <c r="V1427" s="1"/>
      <c r="AD1427" s="1"/>
      <c r="AJ1427" s="6">
        <f t="shared" ref="AJ1427:AJ1490" si="205">ROUNDDOWN(($W403*$W$16+$I$6*100)*10,0)</f>
        <v>1000</v>
      </c>
      <c r="AK1427">
        <v>1410</v>
      </c>
      <c r="AM1427" s="2" t="str">
        <f t="shared" ref="AM1427:AM1490" si="206">BIN2HEX(S403+10*T403+100*U403+1000*V403,1)</f>
        <v>0</v>
      </c>
      <c r="AN1427" s="2" t="str">
        <f t="shared" si="203"/>
        <v>3E8</v>
      </c>
      <c r="AO1427" s="2"/>
      <c r="AP1427" s="2" t="str">
        <f t="shared" si="204"/>
        <v>03E8</v>
      </c>
    </row>
    <row r="1428" spans="6:42" x14ac:dyDescent="0.2">
      <c r="F1428" s="1"/>
      <c r="G1428" s="3"/>
      <c r="H1428" s="8"/>
      <c r="N1428" s="1"/>
      <c r="V1428" s="1"/>
      <c r="AD1428" s="1"/>
      <c r="AJ1428" s="6">
        <f t="shared" si="205"/>
        <v>1000</v>
      </c>
      <c r="AK1428">
        <v>1411</v>
      </c>
      <c r="AM1428" s="2" t="str">
        <f t="shared" si="206"/>
        <v>0</v>
      </c>
      <c r="AN1428" s="2" t="str">
        <f t="shared" si="203"/>
        <v>3E8</v>
      </c>
      <c r="AO1428" s="2"/>
      <c r="AP1428" s="2" t="str">
        <f t="shared" si="204"/>
        <v>03E8</v>
      </c>
    </row>
    <row r="1429" spans="6:42" x14ac:dyDescent="0.2">
      <c r="F1429" s="1"/>
      <c r="G1429" s="3"/>
      <c r="H1429" s="8"/>
      <c r="N1429" s="1"/>
      <c r="V1429" s="1"/>
      <c r="AD1429" s="1"/>
      <c r="AJ1429" s="6">
        <f t="shared" si="205"/>
        <v>1000</v>
      </c>
      <c r="AK1429">
        <v>1412</v>
      </c>
      <c r="AM1429" s="2" t="str">
        <f t="shared" si="206"/>
        <v>0</v>
      </c>
      <c r="AN1429" s="2" t="str">
        <f t="shared" si="203"/>
        <v>3E8</v>
      </c>
      <c r="AO1429" s="2"/>
      <c r="AP1429" s="2" t="str">
        <f t="shared" si="204"/>
        <v>03E8</v>
      </c>
    </row>
    <row r="1430" spans="6:42" x14ac:dyDescent="0.2">
      <c r="F1430" s="1"/>
      <c r="G1430" s="3"/>
      <c r="H1430" s="8"/>
      <c r="N1430" s="1"/>
      <c r="V1430" s="1"/>
      <c r="AD1430" s="1"/>
      <c r="AJ1430" s="6">
        <f t="shared" si="205"/>
        <v>1000</v>
      </c>
      <c r="AK1430">
        <v>1413</v>
      </c>
      <c r="AM1430" s="2" t="str">
        <f t="shared" si="206"/>
        <v>0</v>
      </c>
      <c r="AN1430" s="2" t="str">
        <f t="shared" si="203"/>
        <v>3E8</v>
      </c>
      <c r="AO1430" s="2"/>
      <c r="AP1430" s="2" t="str">
        <f t="shared" si="204"/>
        <v>03E8</v>
      </c>
    </row>
    <row r="1431" spans="6:42" x14ac:dyDescent="0.2">
      <c r="F1431" s="1"/>
      <c r="G1431" s="3"/>
      <c r="H1431" s="8"/>
      <c r="N1431" s="1"/>
      <c r="V1431" s="1"/>
      <c r="AD1431" s="1"/>
      <c r="AJ1431" s="6">
        <f t="shared" si="205"/>
        <v>1000</v>
      </c>
      <c r="AK1431">
        <v>1414</v>
      </c>
      <c r="AM1431" s="2" t="str">
        <f t="shared" si="206"/>
        <v>0</v>
      </c>
      <c r="AN1431" s="2" t="str">
        <f t="shared" si="203"/>
        <v>3E8</v>
      </c>
      <c r="AO1431" s="2"/>
      <c r="AP1431" s="2" t="str">
        <f t="shared" si="204"/>
        <v>03E8</v>
      </c>
    </row>
    <row r="1432" spans="6:42" x14ac:dyDescent="0.2">
      <c r="F1432" s="1"/>
      <c r="G1432" s="3"/>
      <c r="H1432" s="8"/>
      <c r="N1432" s="1"/>
      <c r="V1432" s="1"/>
      <c r="AD1432" s="1"/>
      <c r="AJ1432" s="6">
        <f t="shared" si="205"/>
        <v>1000</v>
      </c>
      <c r="AK1432">
        <v>1415</v>
      </c>
      <c r="AM1432" s="2" t="str">
        <f t="shared" si="206"/>
        <v>0</v>
      </c>
      <c r="AN1432" s="2" t="str">
        <f t="shared" si="203"/>
        <v>3E8</v>
      </c>
      <c r="AO1432" s="2"/>
      <c r="AP1432" s="2" t="str">
        <f t="shared" si="204"/>
        <v>03E8</v>
      </c>
    </row>
    <row r="1433" spans="6:42" x14ac:dyDescent="0.2">
      <c r="F1433" s="1"/>
      <c r="G1433" s="3"/>
      <c r="H1433" s="8"/>
      <c r="N1433" s="1"/>
      <c r="V1433" s="1"/>
      <c r="AD1433" s="1"/>
      <c r="AJ1433" s="6">
        <f t="shared" si="205"/>
        <v>1000</v>
      </c>
      <c r="AK1433">
        <v>1416</v>
      </c>
      <c r="AM1433" s="2" t="str">
        <f t="shared" si="206"/>
        <v>0</v>
      </c>
      <c r="AN1433" s="2" t="str">
        <f t="shared" si="203"/>
        <v>3E8</v>
      </c>
      <c r="AO1433" s="2"/>
      <c r="AP1433" s="2" t="str">
        <f t="shared" si="204"/>
        <v>03E8</v>
      </c>
    </row>
    <row r="1434" spans="6:42" x14ac:dyDescent="0.2">
      <c r="F1434" s="1"/>
      <c r="G1434" s="3"/>
      <c r="H1434" s="8"/>
      <c r="N1434" s="1"/>
      <c r="V1434" s="1"/>
      <c r="AD1434" s="1"/>
      <c r="AJ1434" s="6">
        <f t="shared" si="205"/>
        <v>1000</v>
      </c>
      <c r="AK1434">
        <v>1417</v>
      </c>
      <c r="AM1434" s="2" t="str">
        <f t="shared" si="206"/>
        <v>0</v>
      </c>
      <c r="AN1434" s="2" t="str">
        <f t="shared" si="203"/>
        <v>3E8</v>
      </c>
      <c r="AO1434" s="2"/>
      <c r="AP1434" s="2" t="str">
        <f t="shared" si="204"/>
        <v>03E8</v>
      </c>
    </row>
    <row r="1435" spans="6:42" x14ac:dyDescent="0.2">
      <c r="F1435" s="1"/>
      <c r="G1435" s="3"/>
      <c r="H1435" s="8"/>
      <c r="N1435" s="1"/>
      <c r="V1435" s="1"/>
      <c r="AD1435" s="1"/>
      <c r="AJ1435" s="6">
        <f t="shared" si="205"/>
        <v>1000</v>
      </c>
      <c r="AK1435">
        <v>1418</v>
      </c>
      <c r="AM1435" s="2" t="str">
        <f t="shared" si="206"/>
        <v>0</v>
      </c>
      <c r="AN1435" s="2" t="str">
        <f t="shared" si="203"/>
        <v>3E8</v>
      </c>
      <c r="AO1435" s="2"/>
      <c r="AP1435" s="2" t="str">
        <f t="shared" si="204"/>
        <v>03E8</v>
      </c>
    </row>
    <row r="1436" spans="6:42" x14ac:dyDescent="0.2">
      <c r="F1436" s="1"/>
      <c r="G1436" s="3"/>
      <c r="H1436" s="8"/>
      <c r="N1436" s="1"/>
      <c r="V1436" s="1"/>
      <c r="AD1436" s="1"/>
      <c r="AJ1436" s="6">
        <f t="shared" si="205"/>
        <v>1000</v>
      </c>
      <c r="AK1436">
        <v>1419</v>
      </c>
      <c r="AM1436" s="2" t="str">
        <f t="shared" si="206"/>
        <v>0</v>
      </c>
      <c r="AN1436" s="2" t="str">
        <f t="shared" si="203"/>
        <v>3E8</v>
      </c>
      <c r="AO1436" s="2"/>
      <c r="AP1436" s="2" t="str">
        <f t="shared" si="204"/>
        <v>03E8</v>
      </c>
    </row>
    <row r="1437" spans="6:42" x14ac:dyDescent="0.2">
      <c r="F1437" s="1"/>
      <c r="G1437" s="3"/>
      <c r="H1437" s="8"/>
      <c r="N1437" s="1"/>
      <c r="V1437" s="1"/>
      <c r="AD1437" s="1"/>
      <c r="AJ1437" s="6">
        <f t="shared" si="205"/>
        <v>1000</v>
      </c>
      <c r="AK1437">
        <v>1420</v>
      </c>
      <c r="AM1437" s="2" t="str">
        <f t="shared" si="206"/>
        <v>0</v>
      </c>
      <c r="AN1437" s="2" t="str">
        <f t="shared" si="203"/>
        <v>3E8</v>
      </c>
      <c r="AO1437" s="2"/>
      <c r="AP1437" s="2" t="str">
        <f t="shared" si="204"/>
        <v>03E8</v>
      </c>
    </row>
    <row r="1438" spans="6:42" x14ac:dyDescent="0.2">
      <c r="F1438" s="1"/>
      <c r="G1438" s="3"/>
      <c r="H1438" s="8"/>
      <c r="N1438" s="1"/>
      <c r="V1438" s="1"/>
      <c r="AD1438" s="1"/>
      <c r="AJ1438" s="6">
        <f t="shared" si="205"/>
        <v>1000</v>
      </c>
      <c r="AK1438">
        <v>1421</v>
      </c>
      <c r="AM1438" s="2" t="str">
        <f t="shared" si="206"/>
        <v>0</v>
      </c>
      <c r="AN1438" s="2" t="str">
        <f t="shared" si="203"/>
        <v>3E8</v>
      </c>
      <c r="AO1438" s="2"/>
      <c r="AP1438" s="2" t="str">
        <f t="shared" si="204"/>
        <v>03E8</v>
      </c>
    </row>
    <row r="1439" spans="6:42" x14ac:dyDescent="0.2">
      <c r="F1439" s="1"/>
      <c r="G1439" s="3"/>
      <c r="H1439" s="8"/>
      <c r="N1439" s="1"/>
      <c r="V1439" s="1"/>
      <c r="AD1439" s="1"/>
      <c r="AJ1439" s="6">
        <f t="shared" si="205"/>
        <v>1000</v>
      </c>
      <c r="AK1439">
        <v>1422</v>
      </c>
      <c r="AM1439" s="2" t="str">
        <f t="shared" si="206"/>
        <v>0</v>
      </c>
      <c r="AN1439" s="2" t="str">
        <f t="shared" si="203"/>
        <v>3E8</v>
      </c>
      <c r="AO1439" s="2"/>
      <c r="AP1439" s="2" t="str">
        <f t="shared" si="204"/>
        <v>03E8</v>
      </c>
    </row>
    <row r="1440" spans="6:42" x14ac:dyDescent="0.2">
      <c r="F1440" s="1"/>
      <c r="G1440" s="3"/>
      <c r="H1440" s="8"/>
      <c r="N1440" s="1"/>
      <c r="V1440" s="1"/>
      <c r="AD1440" s="1"/>
      <c r="AJ1440" s="6">
        <f t="shared" si="205"/>
        <v>1000</v>
      </c>
      <c r="AK1440">
        <v>1423</v>
      </c>
      <c r="AM1440" s="2" t="str">
        <f t="shared" si="206"/>
        <v>0</v>
      </c>
      <c r="AN1440" s="2" t="str">
        <f t="shared" ref="AN1440:AN1503" si="207">DEC2HEX(AJ1440,3)</f>
        <v>3E8</v>
      </c>
      <c r="AO1440" s="2"/>
      <c r="AP1440" s="2" t="str">
        <f t="shared" ref="AP1440:AP1503" si="208">CONCATENATE(AM1440,AN1440)</f>
        <v>03E8</v>
      </c>
    </row>
    <row r="1441" spans="6:42" x14ac:dyDescent="0.2">
      <c r="F1441" s="1"/>
      <c r="G1441" s="3"/>
      <c r="H1441" s="8"/>
      <c r="N1441" s="1"/>
      <c r="V1441" s="1"/>
      <c r="AD1441" s="1"/>
      <c r="AJ1441" s="6">
        <f t="shared" si="205"/>
        <v>1000</v>
      </c>
      <c r="AK1441">
        <v>1424</v>
      </c>
      <c r="AM1441" s="2" t="str">
        <f t="shared" si="206"/>
        <v>0</v>
      </c>
      <c r="AN1441" s="2" t="str">
        <f t="shared" si="207"/>
        <v>3E8</v>
      </c>
      <c r="AO1441" s="2"/>
      <c r="AP1441" s="2" t="str">
        <f t="shared" si="208"/>
        <v>03E8</v>
      </c>
    </row>
    <row r="1442" spans="6:42" x14ac:dyDescent="0.2">
      <c r="F1442" s="1"/>
      <c r="G1442" s="3"/>
      <c r="H1442" s="8"/>
      <c r="N1442" s="1"/>
      <c r="V1442" s="1"/>
      <c r="AD1442" s="1"/>
      <c r="AJ1442" s="6">
        <f t="shared" si="205"/>
        <v>1000</v>
      </c>
      <c r="AK1442">
        <v>1425</v>
      </c>
      <c r="AM1442" s="2" t="str">
        <f t="shared" si="206"/>
        <v>0</v>
      </c>
      <c r="AN1442" s="2" t="str">
        <f t="shared" si="207"/>
        <v>3E8</v>
      </c>
      <c r="AO1442" s="2"/>
      <c r="AP1442" s="2" t="str">
        <f t="shared" si="208"/>
        <v>03E8</v>
      </c>
    </row>
    <row r="1443" spans="6:42" x14ac:dyDescent="0.2">
      <c r="F1443" s="1"/>
      <c r="G1443" s="3"/>
      <c r="H1443" s="8"/>
      <c r="N1443" s="1"/>
      <c r="V1443" s="1"/>
      <c r="AD1443" s="1"/>
      <c r="AJ1443" s="6">
        <f t="shared" si="205"/>
        <v>1000</v>
      </c>
      <c r="AK1443">
        <v>1426</v>
      </c>
      <c r="AM1443" s="2" t="str">
        <f t="shared" si="206"/>
        <v>0</v>
      </c>
      <c r="AN1443" s="2" t="str">
        <f t="shared" si="207"/>
        <v>3E8</v>
      </c>
      <c r="AO1443" s="2"/>
      <c r="AP1443" s="2" t="str">
        <f t="shared" si="208"/>
        <v>03E8</v>
      </c>
    </row>
    <row r="1444" spans="6:42" x14ac:dyDescent="0.2">
      <c r="F1444" s="1"/>
      <c r="G1444" s="3"/>
      <c r="H1444" s="8"/>
      <c r="N1444" s="1"/>
      <c r="V1444" s="1"/>
      <c r="AD1444" s="1"/>
      <c r="AJ1444" s="6">
        <f t="shared" si="205"/>
        <v>1000</v>
      </c>
      <c r="AK1444">
        <v>1427</v>
      </c>
      <c r="AM1444" s="2" t="str">
        <f t="shared" si="206"/>
        <v>0</v>
      </c>
      <c r="AN1444" s="2" t="str">
        <f t="shared" si="207"/>
        <v>3E8</v>
      </c>
      <c r="AO1444" s="2"/>
      <c r="AP1444" s="2" t="str">
        <f t="shared" si="208"/>
        <v>03E8</v>
      </c>
    </row>
    <row r="1445" spans="6:42" x14ac:dyDescent="0.2">
      <c r="F1445" s="1"/>
      <c r="G1445" s="3"/>
      <c r="H1445" s="8"/>
      <c r="N1445" s="1"/>
      <c r="V1445" s="1"/>
      <c r="AD1445" s="1"/>
      <c r="AJ1445" s="6">
        <f t="shared" si="205"/>
        <v>1000</v>
      </c>
      <c r="AK1445">
        <v>1428</v>
      </c>
      <c r="AM1445" s="2" t="str">
        <f t="shared" si="206"/>
        <v>0</v>
      </c>
      <c r="AN1445" s="2" t="str">
        <f t="shared" si="207"/>
        <v>3E8</v>
      </c>
      <c r="AO1445" s="2"/>
      <c r="AP1445" s="2" t="str">
        <f t="shared" si="208"/>
        <v>03E8</v>
      </c>
    </row>
    <row r="1446" spans="6:42" x14ac:dyDescent="0.2">
      <c r="F1446" s="1"/>
      <c r="G1446" s="3"/>
      <c r="H1446" s="8"/>
      <c r="N1446" s="1"/>
      <c r="V1446" s="1"/>
      <c r="AD1446" s="1"/>
      <c r="AJ1446" s="6">
        <f t="shared" si="205"/>
        <v>1000</v>
      </c>
      <c r="AK1446">
        <v>1429</v>
      </c>
      <c r="AM1446" s="2" t="str">
        <f t="shared" si="206"/>
        <v>0</v>
      </c>
      <c r="AN1446" s="2" t="str">
        <f t="shared" si="207"/>
        <v>3E8</v>
      </c>
      <c r="AO1446" s="2"/>
      <c r="AP1446" s="2" t="str">
        <f t="shared" si="208"/>
        <v>03E8</v>
      </c>
    </row>
    <row r="1447" spans="6:42" x14ac:dyDescent="0.2">
      <c r="F1447" s="1"/>
      <c r="G1447" s="3"/>
      <c r="H1447" s="8"/>
      <c r="N1447" s="1"/>
      <c r="V1447" s="1"/>
      <c r="AD1447" s="1"/>
      <c r="AJ1447" s="6">
        <f t="shared" si="205"/>
        <v>1000</v>
      </c>
      <c r="AK1447">
        <v>1430</v>
      </c>
      <c r="AM1447" s="2" t="str">
        <f t="shared" si="206"/>
        <v>0</v>
      </c>
      <c r="AN1447" s="2" t="str">
        <f t="shared" si="207"/>
        <v>3E8</v>
      </c>
      <c r="AO1447" s="2"/>
      <c r="AP1447" s="2" t="str">
        <f t="shared" si="208"/>
        <v>03E8</v>
      </c>
    </row>
    <row r="1448" spans="6:42" x14ac:dyDescent="0.2">
      <c r="F1448" s="1"/>
      <c r="G1448" s="3"/>
      <c r="H1448" s="8"/>
      <c r="N1448" s="1"/>
      <c r="V1448" s="1"/>
      <c r="AD1448" s="1"/>
      <c r="AJ1448" s="6">
        <f t="shared" si="205"/>
        <v>1000</v>
      </c>
      <c r="AK1448">
        <v>1431</v>
      </c>
      <c r="AM1448" s="2" t="str">
        <f t="shared" si="206"/>
        <v>0</v>
      </c>
      <c r="AN1448" s="2" t="str">
        <f t="shared" si="207"/>
        <v>3E8</v>
      </c>
      <c r="AO1448" s="2"/>
      <c r="AP1448" s="2" t="str">
        <f t="shared" si="208"/>
        <v>03E8</v>
      </c>
    </row>
    <row r="1449" spans="6:42" x14ac:dyDescent="0.2">
      <c r="F1449" s="1"/>
      <c r="G1449" s="3"/>
      <c r="H1449" s="8"/>
      <c r="N1449" s="1"/>
      <c r="V1449" s="1"/>
      <c r="AD1449" s="1"/>
      <c r="AJ1449" s="6">
        <f t="shared" si="205"/>
        <v>1000</v>
      </c>
      <c r="AK1449">
        <v>1432</v>
      </c>
      <c r="AM1449" s="2" t="str">
        <f t="shared" si="206"/>
        <v>0</v>
      </c>
      <c r="AN1449" s="2" t="str">
        <f t="shared" si="207"/>
        <v>3E8</v>
      </c>
      <c r="AO1449" s="2"/>
      <c r="AP1449" s="2" t="str">
        <f t="shared" si="208"/>
        <v>03E8</v>
      </c>
    </row>
    <row r="1450" spans="6:42" x14ac:dyDescent="0.2">
      <c r="F1450" s="1"/>
      <c r="G1450" s="3"/>
      <c r="H1450" s="8"/>
      <c r="N1450" s="1"/>
      <c r="V1450" s="1"/>
      <c r="AD1450" s="1"/>
      <c r="AJ1450" s="6">
        <f t="shared" si="205"/>
        <v>1000</v>
      </c>
      <c r="AK1450">
        <v>1433</v>
      </c>
      <c r="AM1450" s="2" t="str">
        <f t="shared" si="206"/>
        <v>0</v>
      </c>
      <c r="AN1450" s="2" t="str">
        <f t="shared" si="207"/>
        <v>3E8</v>
      </c>
      <c r="AO1450" s="2"/>
      <c r="AP1450" s="2" t="str">
        <f t="shared" si="208"/>
        <v>03E8</v>
      </c>
    </row>
    <row r="1451" spans="6:42" x14ac:dyDescent="0.2">
      <c r="F1451" s="1"/>
      <c r="G1451" s="3"/>
      <c r="H1451" s="8"/>
      <c r="N1451" s="1"/>
      <c r="V1451" s="1"/>
      <c r="AD1451" s="1"/>
      <c r="AJ1451" s="6">
        <f t="shared" si="205"/>
        <v>1000</v>
      </c>
      <c r="AK1451">
        <v>1434</v>
      </c>
      <c r="AM1451" s="2" t="str">
        <f t="shared" si="206"/>
        <v>0</v>
      </c>
      <c r="AN1451" s="2" t="str">
        <f t="shared" si="207"/>
        <v>3E8</v>
      </c>
      <c r="AO1451" s="2"/>
      <c r="AP1451" s="2" t="str">
        <f t="shared" si="208"/>
        <v>03E8</v>
      </c>
    </row>
    <row r="1452" spans="6:42" x14ac:dyDescent="0.2">
      <c r="F1452" s="1"/>
      <c r="G1452" s="3"/>
      <c r="H1452" s="8"/>
      <c r="N1452" s="1"/>
      <c r="V1452" s="1"/>
      <c r="AD1452" s="1"/>
      <c r="AJ1452" s="6">
        <f t="shared" si="205"/>
        <v>1000</v>
      </c>
      <c r="AK1452">
        <v>1435</v>
      </c>
      <c r="AM1452" s="2" t="str">
        <f t="shared" si="206"/>
        <v>0</v>
      </c>
      <c r="AN1452" s="2" t="str">
        <f t="shared" si="207"/>
        <v>3E8</v>
      </c>
      <c r="AO1452" s="2"/>
      <c r="AP1452" s="2" t="str">
        <f t="shared" si="208"/>
        <v>03E8</v>
      </c>
    </row>
    <row r="1453" spans="6:42" x14ac:dyDescent="0.2">
      <c r="F1453" s="1"/>
      <c r="G1453" s="3"/>
      <c r="H1453" s="8"/>
      <c r="N1453" s="1"/>
      <c r="V1453" s="1"/>
      <c r="AD1453" s="1"/>
      <c r="AJ1453" s="6">
        <f t="shared" si="205"/>
        <v>1000</v>
      </c>
      <c r="AK1453">
        <v>1436</v>
      </c>
      <c r="AM1453" s="2" t="str">
        <f t="shared" si="206"/>
        <v>0</v>
      </c>
      <c r="AN1453" s="2" t="str">
        <f t="shared" si="207"/>
        <v>3E8</v>
      </c>
      <c r="AO1453" s="2"/>
      <c r="AP1453" s="2" t="str">
        <f t="shared" si="208"/>
        <v>03E8</v>
      </c>
    </row>
    <row r="1454" spans="6:42" x14ac:dyDescent="0.2">
      <c r="F1454" s="1"/>
      <c r="G1454" s="3"/>
      <c r="H1454" s="8"/>
      <c r="N1454" s="1"/>
      <c r="V1454" s="1"/>
      <c r="AD1454" s="1"/>
      <c r="AJ1454" s="6">
        <f t="shared" si="205"/>
        <v>1000</v>
      </c>
      <c r="AK1454">
        <v>1437</v>
      </c>
      <c r="AM1454" s="2" t="str">
        <f t="shared" si="206"/>
        <v>0</v>
      </c>
      <c r="AN1454" s="2" t="str">
        <f t="shared" si="207"/>
        <v>3E8</v>
      </c>
      <c r="AO1454" s="2"/>
      <c r="AP1454" s="2" t="str">
        <f t="shared" si="208"/>
        <v>03E8</v>
      </c>
    </row>
    <row r="1455" spans="6:42" x14ac:dyDescent="0.2">
      <c r="F1455" s="1"/>
      <c r="G1455" s="3"/>
      <c r="H1455" s="8"/>
      <c r="N1455" s="1"/>
      <c r="V1455" s="1"/>
      <c r="AD1455" s="1"/>
      <c r="AJ1455" s="6">
        <f t="shared" si="205"/>
        <v>1000</v>
      </c>
      <c r="AK1455">
        <v>1438</v>
      </c>
      <c r="AM1455" s="2" t="str">
        <f t="shared" si="206"/>
        <v>0</v>
      </c>
      <c r="AN1455" s="2" t="str">
        <f t="shared" si="207"/>
        <v>3E8</v>
      </c>
      <c r="AO1455" s="2"/>
      <c r="AP1455" s="2" t="str">
        <f t="shared" si="208"/>
        <v>03E8</v>
      </c>
    </row>
    <row r="1456" spans="6:42" x14ac:dyDescent="0.2">
      <c r="F1456" s="1"/>
      <c r="G1456" s="3"/>
      <c r="H1456" s="8"/>
      <c r="N1456" s="1"/>
      <c r="V1456" s="1"/>
      <c r="AD1456" s="1"/>
      <c r="AJ1456" s="6">
        <f t="shared" si="205"/>
        <v>1000</v>
      </c>
      <c r="AK1456">
        <v>1439</v>
      </c>
      <c r="AM1456" s="2" t="str">
        <f t="shared" si="206"/>
        <v>0</v>
      </c>
      <c r="AN1456" s="2" t="str">
        <f t="shared" si="207"/>
        <v>3E8</v>
      </c>
      <c r="AO1456" s="2"/>
      <c r="AP1456" s="2" t="str">
        <f t="shared" si="208"/>
        <v>03E8</v>
      </c>
    </row>
    <row r="1457" spans="6:42" x14ac:dyDescent="0.2">
      <c r="F1457" s="1"/>
      <c r="G1457" s="3"/>
      <c r="H1457" s="8"/>
      <c r="N1457" s="1"/>
      <c r="V1457" s="1"/>
      <c r="AD1457" s="1"/>
      <c r="AJ1457" s="6">
        <f t="shared" si="205"/>
        <v>1000</v>
      </c>
      <c r="AK1457">
        <v>1440</v>
      </c>
      <c r="AM1457" s="2" t="str">
        <f t="shared" si="206"/>
        <v>0</v>
      </c>
      <c r="AN1457" s="2" t="str">
        <f t="shared" si="207"/>
        <v>3E8</v>
      </c>
      <c r="AO1457" s="2"/>
      <c r="AP1457" s="2" t="str">
        <f t="shared" si="208"/>
        <v>03E8</v>
      </c>
    </row>
    <row r="1458" spans="6:42" x14ac:dyDescent="0.2">
      <c r="F1458" s="1"/>
      <c r="G1458" s="3"/>
      <c r="H1458" s="8"/>
      <c r="N1458" s="1"/>
      <c r="V1458" s="1"/>
      <c r="AD1458" s="1"/>
      <c r="AJ1458" s="6">
        <f t="shared" si="205"/>
        <v>1000</v>
      </c>
      <c r="AK1458">
        <v>1441</v>
      </c>
      <c r="AM1458" s="2" t="str">
        <f t="shared" si="206"/>
        <v>0</v>
      </c>
      <c r="AN1458" s="2" t="str">
        <f t="shared" si="207"/>
        <v>3E8</v>
      </c>
      <c r="AO1458" s="2"/>
      <c r="AP1458" s="2" t="str">
        <f t="shared" si="208"/>
        <v>03E8</v>
      </c>
    </row>
    <row r="1459" spans="6:42" x14ac:dyDescent="0.2">
      <c r="F1459" s="1"/>
      <c r="G1459" s="3"/>
      <c r="H1459" s="8"/>
      <c r="N1459" s="1"/>
      <c r="V1459" s="1"/>
      <c r="AD1459" s="1"/>
      <c r="AJ1459" s="6">
        <f t="shared" si="205"/>
        <v>1000</v>
      </c>
      <c r="AK1459">
        <v>1442</v>
      </c>
      <c r="AM1459" s="2" t="str">
        <f t="shared" si="206"/>
        <v>0</v>
      </c>
      <c r="AN1459" s="2" t="str">
        <f t="shared" si="207"/>
        <v>3E8</v>
      </c>
      <c r="AO1459" s="2"/>
      <c r="AP1459" s="2" t="str">
        <f t="shared" si="208"/>
        <v>03E8</v>
      </c>
    </row>
    <row r="1460" spans="6:42" x14ac:dyDescent="0.2">
      <c r="F1460" s="1"/>
      <c r="G1460" s="3"/>
      <c r="H1460" s="8"/>
      <c r="N1460" s="1"/>
      <c r="V1460" s="1"/>
      <c r="AD1460" s="1"/>
      <c r="AJ1460" s="6">
        <f t="shared" si="205"/>
        <v>1000</v>
      </c>
      <c r="AK1460">
        <v>1443</v>
      </c>
      <c r="AM1460" s="2" t="str">
        <f t="shared" si="206"/>
        <v>0</v>
      </c>
      <c r="AN1460" s="2" t="str">
        <f t="shared" si="207"/>
        <v>3E8</v>
      </c>
      <c r="AO1460" s="2"/>
      <c r="AP1460" s="2" t="str">
        <f t="shared" si="208"/>
        <v>03E8</v>
      </c>
    </row>
    <row r="1461" spans="6:42" x14ac:dyDescent="0.2">
      <c r="F1461" s="1"/>
      <c r="G1461" s="3"/>
      <c r="H1461" s="8"/>
      <c r="N1461" s="1"/>
      <c r="V1461" s="1"/>
      <c r="AD1461" s="1"/>
      <c r="AJ1461" s="6">
        <f t="shared" si="205"/>
        <v>1000</v>
      </c>
      <c r="AK1461">
        <v>1444</v>
      </c>
      <c r="AM1461" s="2" t="str">
        <f t="shared" si="206"/>
        <v>0</v>
      </c>
      <c r="AN1461" s="2" t="str">
        <f t="shared" si="207"/>
        <v>3E8</v>
      </c>
      <c r="AO1461" s="2"/>
      <c r="AP1461" s="2" t="str">
        <f t="shared" si="208"/>
        <v>03E8</v>
      </c>
    </row>
    <row r="1462" spans="6:42" x14ac:dyDescent="0.2">
      <c r="F1462" s="1"/>
      <c r="G1462" s="3"/>
      <c r="H1462" s="8"/>
      <c r="N1462" s="1"/>
      <c r="V1462" s="1"/>
      <c r="AD1462" s="1"/>
      <c r="AJ1462" s="6">
        <f t="shared" si="205"/>
        <v>1000</v>
      </c>
      <c r="AK1462">
        <v>1445</v>
      </c>
      <c r="AM1462" s="2" t="str">
        <f t="shared" si="206"/>
        <v>0</v>
      </c>
      <c r="AN1462" s="2" t="str">
        <f t="shared" si="207"/>
        <v>3E8</v>
      </c>
      <c r="AO1462" s="2"/>
      <c r="AP1462" s="2" t="str">
        <f t="shared" si="208"/>
        <v>03E8</v>
      </c>
    </row>
    <row r="1463" spans="6:42" x14ac:dyDescent="0.2">
      <c r="F1463" s="1"/>
      <c r="G1463" s="3"/>
      <c r="H1463" s="8"/>
      <c r="N1463" s="1"/>
      <c r="V1463" s="1"/>
      <c r="AD1463" s="1"/>
      <c r="AJ1463" s="6">
        <f t="shared" si="205"/>
        <v>1000</v>
      </c>
      <c r="AK1463">
        <v>1446</v>
      </c>
      <c r="AM1463" s="2" t="str">
        <f t="shared" si="206"/>
        <v>0</v>
      </c>
      <c r="AN1463" s="2" t="str">
        <f t="shared" si="207"/>
        <v>3E8</v>
      </c>
      <c r="AO1463" s="2"/>
      <c r="AP1463" s="2" t="str">
        <f t="shared" si="208"/>
        <v>03E8</v>
      </c>
    </row>
    <row r="1464" spans="6:42" x14ac:dyDescent="0.2">
      <c r="F1464" s="1"/>
      <c r="G1464" s="3"/>
      <c r="H1464" s="8"/>
      <c r="N1464" s="1"/>
      <c r="V1464" s="1"/>
      <c r="AD1464" s="1"/>
      <c r="AJ1464" s="6">
        <f t="shared" si="205"/>
        <v>1000</v>
      </c>
      <c r="AK1464">
        <v>1447</v>
      </c>
      <c r="AM1464" s="2" t="str">
        <f t="shared" si="206"/>
        <v>0</v>
      </c>
      <c r="AN1464" s="2" t="str">
        <f t="shared" si="207"/>
        <v>3E8</v>
      </c>
      <c r="AO1464" s="2"/>
      <c r="AP1464" s="2" t="str">
        <f t="shared" si="208"/>
        <v>03E8</v>
      </c>
    </row>
    <row r="1465" spans="6:42" x14ac:dyDescent="0.2">
      <c r="F1465" s="1"/>
      <c r="G1465" s="3"/>
      <c r="H1465" s="8"/>
      <c r="N1465" s="1"/>
      <c r="V1465" s="1"/>
      <c r="AD1465" s="1"/>
      <c r="AJ1465" s="6">
        <f t="shared" si="205"/>
        <v>1000</v>
      </c>
      <c r="AK1465">
        <v>1448</v>
      </c>
      <c r="AM1465" s="2" t="str">
        <f t="shared" si="206"/>
        <v>0</v>
      </c>
      <c r="AN1465" s="2" t="str">
        <f t="shared" si="207"/>
        <v>3E8</v>
      </c>
      <c r="AO1465" s="2"/>
      <c r="AP1465" s="2" t="str">
        <f t="shared" si="208"/>
        <v>03E8</v>
      </c>
    </row>
    <row r="1466" spans="6:42" x14ac:dyDescent="0.2">
      <c r="F1466" s="1"/>
      <c r="G1466" s="3"/>
      <c r="H1466" s="8"/>
      <c r="N1466" s="1"/>
      <c r="V1466" s="1"/>
      <c r="AD1466" s="1"/>
      <c r="AJ1466" s="6">
        <f t="shared" si="205"/>
        <v>1000</v>
      </c>
      <c r="AK1466">
        <v>1449</v>
      </c>
      <c r="AM1466" s="2" t="str">
        <f t="shared" si="206"/>
        <v>0</v>
      </c>
      <c r="AN1466" s="2" t="str">
        <f t="shared" si="207"/>
        <v>3E8</v>
      </c>
      <c r="AO1466" s="2"/>
      <c r="AP1466" s="2" t="str">
        <f t="shared" si="208"/>
        <v>03E8</v>
      </c>
    </row>
    <row r="1467" spans="6:42" x14ac:dyDescent="0.2">
      <c r="F1467" s="1"/>
      <c r="G1467" s="3"/>
      <c r="H1467" s="8"/>
      <c r="N1467" s="1"/>
      <c r="V1467" s="1"/>
      <c r="AD1467" s="1"/>
      <c r="AJ1467" s="6">
        <f t="shared" si="205"/>
        <v>1000</v>
      </c>
      <c r="AK1467">
        <v>1450</v>
      </c>
      <c r="AM1467" s="2" t="str">
        <f t="shared" si="206"/>
        <v>0</v>
      </c>
      <c r="AN1467" s="2" t="str">
        <f t="shared" si="207"/>
        <v>3E8</v>
      </c>
      <c r="AO1467" s="2"/>
      <c r="AP1467" s="2" t="str">
        <f t="shared" si="208"/>
        <v>03E8</v>
      </c>
    </row>
    <row r="1468" spans="6:42" x14ac:dyDescent="0.2">
      <c r="F1468" s="1"/>
      <c r="G1468" s="3"/>
      <c r="H1468" s="8"/>
      <c r="N1468" s="1"/>
      <c r="V1468" s="1"/>
      <c r="AD1468" s="1"/>
      <c r="AJ1468" s="6">
        <f t="shared" si="205"/>
        <v>1000</v>
      </c>
      <c r="AK1468">
        <v>1451</v>
      </c>
      <c r="AM1468" s="2" t="str">
        <f t="shared" si="206"/>
        <v>0</v>
      </c>
      <c r="AN1468" s="2" t="str">
        <f t="shared" si="207"/>
        <v>3E8</v>
      </c>
      <c r="AO1468" s="2"/>
      <c r="AP1468" s="2" t="str">
        <f t="shared" si="208"/>
        <v>03E8</v>
      </c>
    </row>
    <row r="1469" spans="6:42" x14ac:dyDescent="0.2">
      <c r="F1469" s="1"/>
      <c r="G1469" s="3"/>
      <c r="H1469" s="8"/>
      <c r="N1469" s="1"/>
      <c r="V1469" s="1"/>
      <c r="AD1469" s="1"/>
      <c r="AJ1469" s="6">
        <f t="shared" si="205"/>
        <v>1000</v>
      </c>
      <c r="AK1469">
        <v>1452</v>
      </c>
      <c r="AM1469" s="2" t="str">
        <f t="shared" si="206"/>
        <v>0</v>
      </c>
      <c r="AN1469" s="2" t="str">
        <f t="shared" si="207"/>
        <v>3E8</v>
      </c>
      <c r="AO1469" s="2"/>
      <c r="AP1469" s="2" t="str">
        <f t="shared" si="208"/>
        <v>03E8</v>
      </c>
    </row>
    <row r="1470" spans="6:42" x14ac:dyDescent="0.2">
      <c r="F1470" s="1"/>
      <c r="G1470" s="3"/>
      <c r="H1470" s="8"/>
      <c r="N1470" s="1"/>
      <c r="V1470" s="1"/>
      <c r="AD1470" s="1"/>
      <c r="AJ1470" s="6">
        <f t="shared" si="205"/>
        <v>1000</v>
      </c>
      <c r="AK1470">
        <v>1453</v>
      </c>
      <c r="AM1470" s="2" t="str">
        <f t="shared" si="206"/>
        <v>0</v>
      </c>
      <c r="AN1470" s="2" t="str">
        <f t="shared" si="207"/>
        <v>3E8</v>
      </c>
      <c r="AO1470" s="2"/>
      <c r="AP1470" s="2" t="str">
        <f t="shared" si="208"/>
        <v>03E8</v>
      </c>
    </row>
    <row r="1471" spans="6:42" x14ac:dyDescent="0.2">
      <c r="F1471" s="1"/>
      <c r="G1471" s="3"/>
      <c r="H1471" s="8"/>
      <c r="N1471" s="1"/>
      <c r="V1471" s="1"/>
      <c r="AD1471" s="1"/>
      <c r="AJ1471" s="6">
        <f t="shared" si="205"/>
        <v>1000</v>
      </c>
      <c r="AK1471">
        <v>1454</v>
      </c>
      <c r="AM1471" s="2" t="str">
        <f t="shared" si="206"/>
        <v>0</v>
      </c>
      <c r="AN1471" s="2" t="str">
        <f t="shared" si="207"/>
        <v>3E8</v>
      </c>
      <c r="AO1471" s="2"/>
      <c r="AP1471" s="2" t="str">
        <f t="shared" si="208"/>
        <v>03E8</v>
      </c>
    </row>
    <row r="1472" spans="6:42" x14ac:dyDescent="0.2">
      <c r="F1472" s="1"/>
      <c r="G1472" s="3"/>
      <c r="H1472" s="8"/>
      <c r="N1472" s="1"/>
      <c r="V1472" s="1"/>
      <c r="AD1472" s="1"/>
      <c r="AJ1472" s="6">
        <f t="shared" si="205"/>
        <v>1000</v>
      </c>
      <c r="AK1472">
        <v>1455</v>
      </c>
      <c r="AM1472" s="2" t="str">
        <f t="shared" si="206"/>
        <v>0</v>
      </c>
      <c r="AN1472" s="2" t="str">
        <f t="shared" si="207"/>
        <v>3E8</v>
      </c>
      <c r="AO1472" s="2"/>
      <c r="AP1472" s="2" t="str">
        <f t="shared" si="208"/>
        <v>03E8</v>
      </c>
    </row>
    <row r="1473" spans="6:42" x14ac:dyDescent="0.2">
      <c r="F1473" s="1"/>
      <c r="G1473" s="3"/>
      <c r="H1473" s="8"/>
      <c r="N1473" s="1"/>
      <c r="V1473" s="1"/>
      <c r="AD1473" s="1"/>
      <c r="AJ1473" s="6">
        <f t="shared" si="205"/>
        <v>1000</v>
      </c>
      <c r="AK1473">
        <v>1456</v>
      </c>
      <c r="AM1473" s="2" t="str">
        <f t="shared" si="206"/>
        <v>0</v>
      </c>
      <c r="AN1473" s="2" t="str">
        <f t="shared" si="207"/>
        <v>3E8</v>
      </c>
      <c r="AO1473" s="2"/>
      <c r="AP1473" s="2" t="str">
        <f t="shared" si="208"/>
        <v>03E8</v>
      </c>
    </row>
    <row r="1474" spans="6:42" x14ac:dyDescent="0.2">
      <c r="F1474" s="1"/>
      <c r="G1474" s="3"/>
      <c r="H1474" s="8"/>
      <c r="N1474" s="1"/>
      <c r="V1474" s="1"/>
      <c r="AD1474" s="1"/>
      <c r="AJ1474" s="6">
        <f t="shared" si="205"/>
        <v>1000</v>
      </c>
      <c r="AK1474">
        <v>1457</v>
      </c>
      <c r="AM1474" s="2" t="str">
        <f t="shared" si="206"/>
        <v>0</v>
      </c>
      <c r="AN1474" s="2" t="str">
        <f t="shared" si="207"/>
        <v>3E8</v>
      </c>
      <c r="AO1474" s="2"/>
      <c r="AP1474" s="2" t="str">
        <f t="shared" si="208"/>
        <v>03E8</v>
      </c>
    </row>
    <row r="1475" spans="6:42" x14ac:dyDescent="0.2">
      <c r="F1475" s="1"/>
      <c r="G1475" s="3"/>
      <c r="H1475" s="8"/>
      <c r="N1475" s="1"/>
      <c r="V1475" s="1"/>
      <c r="AD1475" s="1"/>
      <c r="AJ1475" s="6">
        <f t="shared" si="205"/>
        <v>1000</v>
      </c>
      <c r="AK1475">
        <v>1458</v>
      </c>
      <c r="AM1475" s="2" t="str">
        <f t="shared" si="206"/>
        <v>0</v>
      </c>
      <c r="AN1475" s="2" t="str">
        <f t="shared" si="207"/>
        <v>3E8</v>
      </c>
      <c r="AO1475" s="2"/>
      <c r="AP1475" s="2" t="str">
        <f t="shared" si="208"/>
        <v>03E8</v>
      </c>
    </row>
    <row r="1476" spans="6:42" x14ac:dyDescent="0.2">
      <c r="F1476" s="1"/>
      <c r="G1476" s="3"/>
      <c r="H1476" s="8"/>
      <c r="N1476" s="1"/>
      <c r="V1476" s="1"/>
      <c r="AD1476" s="1"/>
      <c r="AJ1476" s="6">
        <f t="shared" si="205"/>
        <v>1000</v>
      </c>
      <c r="AK1476">
        <v>1459</v>
      </c>
      <c r="AM1476" s="2" t="str">
        <f t="shared" si="206"/>
        <v>0</v>
      </c>
      <c r="AN1476" s="2" t="str">
        <f t="shared" si="207"/>
        <v>3E8</v>
      </c>
      <c r="AO1476" s="2"/>
      <c r="AP1476" s="2" t="str">
        <f t="shared" si="208"/>
        <v>03E8</v>
      </c>
    </row>
    <row r="1477" spans="6:42" x14ac:dyDescent="0.2">
      <c r="F1477" s="1"/>
      <c r="G1477" s="3"/>
      <c r="H1477" s="8"/>
      <c r="N1477" s="1"/>
      <c r="V1477" s="1"/>
      <c r="AD1477" s="1"/>
      <c r="AJ1477" s="6">
        <f t="shared" si="205"/>
        <v>1000</v>
      </c>
      <c r="AK1477">
        <v>1460</v>
      </c>
      <c r="AM1477" s="2" t="str">
        <f t="shared" si="206"/>
        <v>0</v>
      </c>
      <c r="AN1477" s="2" t="str">
        <f t="shared" si="207"/>
        <v>3E8</v>
      </c>
      <c r="AO1477" s="2"/>
      <c r="AP1477" s="2" t="str">
        <f t="shared" si="208"/>
        <v>03E8</v>
      </c>
    </row>
    <row r="1478" spans="6:42" x14ac:dyDescent="0.2">
      <c r="F1478" s="1"/>
      <c r="G1478" s="3"/>
      <c r="H1478" s="8"/>
      <c r="N1478" s="1"/>
      <c r="V1478" s="1"/>
      <c r="AD1478" s="1"/>
      <c r="AJ1478" s="6">
        <f t="shared" si="205"/>
        <v>1000</v>
      </c>
      <c r="AK1478">
        <v>1461</v>
      </c>
      <c r="AM1478" s="2" t="str">
        <f t="shared" si="206"/>
        <v>0</v>
      </c>
      <c r="AN1478" s="2" t="str">
        <f t="shared" si="207"/>
        <v>3E8</v>
      </c>
      <c r="AO1478" s="2"/>
      <c r="AP1478" s="2" t="str">
        <f t="shared" si="208"/>
        <v>03E8</v>
      </c>
    </row>
    <row r="1479" spans="6:42" x14ac:dyDescent="0.2">
      <c r="F1479" s="1"/>
      <c r="G1479" s="3"/>
      <c r="H1479" s="8"/>
      <c r="N1479" s="1"/>
      <c r="V1479" s="1"/>
      <c r="AD1479" s="1"/>
      <c r="AJ1479" s="6">
        <f t="shared" si="205"/>
        <v>1000</v>
      </c>
      <c r="AK1479">
        <v>1462</v>
      </c>
      <c r="AM1479" s="2" t="str">
        <f t="shared" si="206"/>
        <v>0</v>
      </c>
      <c r="AN1479" s="2" t="str">
        <f t="shared" si="207"/>
        <v>3E8</v>
      </c>
      <c r="AO1479" s="2"/>
      <c r="AP1479" s="2" t="str">
        <f t="shared" si="208"/>
        <v>03E8</v>
      </c>
    </row>
    <row r="1480" spans="6:42" x14ac:dyDescent="0.2">
      <c r="F1480" s="1"/>
      <c r="G1480" s="3"/>
      <c r="H1480" s="8"/>
      <c r="N1480" s="1"/>
      <c r="V1480" s="1"/>
      <c r="AD1480" s="1"/>
      <c r="AJ1480" s="6">
        <f t="shared" si="205"/>
        <v>1000</v>
      </c>
      <c r="AK1480">
        <v>1463</v>
      </c>
      <c r="AM1480" s="2" t="str">
        <f t="shared" si="206"/>
        <v>0</v>
      </c>
      <c r="AN1480" s="2" t="str">
        <f t="shared" si="207"/>
        <v>3E8</v>
      </c>
      <c r="AO1480" s="2"/>
      <c r="AP1480" s="2" t="str">
        <f t="shared" si="208"/>
        <v>03E8</v>
      </c>
    </row>
    <row r="1481" spans="6:42" x14ac:dyDescent="0.2">
      <c r="F1481" s="1"/>
      <c r="G1481" s="3"/>
      <c r="H1481" s="8"/>
      <c r="N1481" s="1"/>
      <c r="V1481" s="1"/>
      <c r="AD1481" s="1"/>
      <c r="AJ1481" s="6">
        <f t="shared" si="205"/>
        <v>1000</v>
      </c>
      <c r="AK1481">
        <v>1464</v>
      </c>
      <c r="AM1481" s="2" t="str">
        <f t="shared" si="206"/>
        <v>0</v>
      </c>
      <c r="AN1481" s="2" t="str">
        <f t="shared" si="207"/>
        <v>3E8</v>
      </c>
      <c r="AO1481" s="2"/>
      <c r="AP1481" s="2" t="str">
        <f t="shared" si="208"/>
        <v>03E8</v>
      </c>
    </row>
    <row r="1482" spans="6:42" x14ac:dyDescent="0.2">
      <c r="F1482" s="1"/>
      <c r="G1482" s="3"/>
      <c r="H1482" s="8"/>
      <c r="N1482" s="1"/>
      <c r="V1482" s="1"/>
      <c r="AD1482" s="1"/>
      <c r="AJ1482" s="6">
        <f t="shared" si="205"/>
        <v>1000</v>
      </c>
      <c r="AK1482">
        <v>1465</v>
      </c>
      <c r="AM1482" s="2" t="str">
        <f t="shared" si="206"/>
        <v>0</v>
      </c>
      <c r="AN1482" s="2" t="str">
        <f t="shared" si="207"/>
        <v>3E8</v>
      </c>
      <c r="AO1482" s="2"/>
      <c r="AP1482" s="2" t="str">
        <f t="shared" si="208"/>
        <v>03E8</v>
      </c>
    </row>
    <row r="1483" spans="6:42" x14ac:dyDescent="0.2">
      <c r="F1483" s="1"/>
      <c r="G1483" s="3"/>
      <c r="H1483" s="8"/>
      <c r="N1483" s="1"/>
      <c r="V1483" s="1"/>
      <c r="AD1483" s="1"/>
      <c r="AJ1483" s="6">
        <f t="shared" si="205"/>
        <v>1000</v>
      </c>
      <c r="AK1483">
        <v>1466</v>
      </c>
      <c r="AM1483" s="2" t="str">
        <f t="shared" si="206"/>
        <v>0</v>
      </c>
      <c r="AN1483" s="2" t="str">
        <f t="shared" si="207"/>
        <v>3E8</v>
      </c>
      <c r="AO1483" s="2"/>
      <c r="AP1483" s="2" t="str">
        <f t="shared" si="208"/>
        <v>03E8</v>
      </c>
    </row>
    <row r="1484" spans="6:42" x14ac:dyDescent="0.2">
      <c r="F1484" s="1"/>
      <c r="G1484" s="3"/>
      <c r="H1484" s="8"/>
      <c r="N1484" s="1"/>
      <c r="V1484" s="1"/>
      <c r="AD1484" s="1"/>
      <c r="AJ1484" s="6">
        <f t="shared" si="205"/>
        <v>1000</v>
      </c>
      <c r="AK1484">
        <v>1467</v>
      </c>
      <c r="AM1484" s="2" t="str">
        <f t="shared" si="206"/>
        <v>0</v>
      </c>
      <c r="AN1484" s="2" t="str">
        <f t="shared" si="207"/>
        <v>3E8</v>
      </c>
      <c r="AO1484" s="2"/>
      <c r="AP1484" s="2" t="str">
        <f t="shared" si="208"/>
        <v>03E8</v>
      </c>
    </row>
    <row r="1485" spans="6:42" x14ac:dyDescent="0.2">
      <c r="F1485" s="1"/>
      <c r="G1485" s="3"/>
      <c r="H1485" s="8"/>
      <c r="N1485" s="1"/>
      <c r="V1485" s="1"/>
      <c r="AD1485" s="1"/>
      <c r="AJ1485" s="6">
        <f t="shared" si="205"/>
        <v>1000</v>
      </c>
      <c r="AK1485">
        <v>1468</v>
      </c>
      <c r="AM1485" s="2" t="str">
        <f t="shared" si="206"/>
        <v>0</v>
      </c>
      <c r="AN1485" s="2" t="str">
        <f t="shared" si="207"/>
        <v>3E8</v>
      </c>
      <c r="AO1485" s="2"/>
      <c r="AP1485" s="2" t="str">
        <f t="shared" si="208"/>
        <v>03E8</v>
      </c>
    </row>
    <row r="1486" spans="6:42" x14ac:dyDescent="0.2">
      <c r="F1486" s="1"/>
      <c r="G1486" s="3"/>
      <c r="H1486" s="8"/>
      <c r="N1486" s="1"/>
      <c r="V1486" s="1"/>
      <c r="AD1486" s="1"/>
      <c r="AJ1486" s="6">
        <f t="shared" si="205"/>
        <v>1000</v>
      </c>
      <c r="AK1486">
        <v>1469</v>
      </c>
      <c r="AM1486" s="2" t="str">
        <f t="shared" si="206"/>
        <v>0</v>
      </c>
      <c r="AN1486" s="2" t="str">
        <f t="shared" si="207"/>
        <v>3E8</v>
      </c>
      <c r="AO1486" s="2"/>
      <c r="AP1486" s="2" t="str">
        <f t="shared" si="208"/>
        <v>03E8</v>
      </c>
    </row>
    <row r="1487" spans="6:42" x14ac:dyDescent="0.2">
      <c r="F1487" s="1"/>
      <c r="G1487" s="3"/>
      <c r="H1487" s="8"/>
      <c r="N1487" s="1"/>
      <c r="V1487" s="1"/>
      <c r="AD1487" s="1"/>
      <c r="AJ1487" s="6">
        <f t="shared" si="205"/>
        <v>1000</v>
      </c>
      <c r="AK1487">
        <v>1470</v>
      </c>
      <c r="AM1487" s="2" t="str">
        <f t="shared" si="206"/>
        <v>0</v>
      </c>
      <c r="AN1487" s="2" t="str">
        <f t="shared" si="207"/>
        <v>3E8</v>
      </c>
      <c r="AO1487" s="2"/>
      <c r="AP1487" s="2" t="str">
        <f t="shared" si="208"/>
        <v>03E8</v>
      </c>
    </row>
    <row r="1488" spans="6:42" x14ac:dyDescent="0.2">
      <c r="F1488" s="1"/>
      <c r="G1488" s="3"/>
      <c r="H1488" s="8"/>
      <c r="N1488" s="1"/>
      <c r="V1488" s="1"/>
      <c r="AD1488" s="1"/>
      <c r="AJ1488" s="6">
        <f t="shared" si="205"/>
        <v>1000</v>
      </c>
      <c r="AK1488">
        <v>1471</v>
      </c>
      <c r="AM1488" s="2" t="str">
        <f t="shared" si="206"/>
        <v>0</v>
      </c>
      <c r="AN1488" s="2" t="str">
        <f t="shared" si="207"/>
        <v>3E8</v>
      </c>
      <c r="AO1488" s="2"/>
      <c r="AP1488" s="2" t="str">
        <f t="shared" si="208"/>
        <v>03E8</v>
      </c>
    </row>
    <row r="1489" spans="6:42" x14ac:dyDescent="0.2">
      <c r="F1489" s="1"/>
      <c r="G1489" s="3"/>
      <c r="H1489" s="8"/>
      <c r="N1489" s="1"/>
      <c r="V1489" s="1"/>
      <c r="AD1489" s="1"/>
      <c r="AJ1489" s="6">
        <f t="shared" si="205"/>
        <v>1000</v>
      </c>
      <c r="AK1489">
        <v>1472</v>
      </c>
      <c r="AM1489" s="2" t="str">
        <f t="shared" si="206"/>
        <v>0</v>
      </c>
      <c r="AN1489" s="2" t="str">
        <f t="shared" si="207"/>
        <v>3E8</v>
      </c>
      <c r="AO1489" s="2"/>
      <c r="AP1489" s="2" t="str">
        <f t="shared" si="208"/>
        <v>03E8</v>
      </c>
    </row>
    <row r="1490" spans="6:42" x14ac:dyDescent="0.2">
      <c r="F1490" s="1"/>
      <c r="G1490" s="3"/>
      <c r="H1490" s="8"/>
      <c r="N1490" s="1"/>
      <c r="V1490" s="1"/>
      <c r="AD1490" s="1"/>
      <c r="AJ1490" s="6">
        <f t="shared" si="205"/>
        <v>1000</v>
      </c>
      <c r="AK1490">
        <v>1473</v>
      </c>
      <c r="AM1490" s="2" t="str">
        <f t="shared" si="206"/>
        <v>0</v>
      </c>
      <c r="AN1490" s="2" t="str">
        <f t="shared" si="207"/>
        <v>3E8</v>
      </c>
      <c r="AO1490" s="2"/>
      <c r="AP1490" s="2" t="str">
        <f t="shared" si="208"/>
        <v>03E8</v>
      </c>
    </row>
    <row r="1491" spans="6:42" x14ac:dyDescent="0.2">
      <c r="F1491" s="1"/>
      <c r="G1491" s="3"/>
      <c r="H1491" s="8"/>
      <c r="N1491" s="1"/>
      <c r="V1491" s="1"/>
      <c r="AD1491" s="1"/>
      <c r="AJ1491" s="6">
        <f t="shared" ref="AJ1491:AJ1553" si="209">ROUNDDOWN(($W467*$W$16+$I$6*100)*10,0)</f>
        <v>1000</v>
      </c>
      <c r="AK1491">
        <v>1474</v>
      </c>
      <c r="AM1491" s="2" t="str">
        <f t="shared" ref="AM1491:AM1522" si="210">BIN2HEX(S467+10*T467+100*U467+1000*V467,1)</f>
        <v>0</v>
      </c>
      <c r="AN1491" s="2" t="str">
        <f t="shared" si="207"/>
        <v>3E8</v>
      </c>
      <c r="AO1491" s="2"/>
      <c r="AP1491" s="2" t="str">
        <f t="shared" si="208"/>
        <v>03E8</v>
      </c>
    </row>
    <row r="1492" spans="6:42" x14ac:dyDescent="0.2">
      <c r="F1492" s="1"/>
      <c r="G1492" s="3"/>
      <c r="H1492" s="8"/>
      <c r="N1492" s="1"/>
      <c r="V1492" s="1"/>
      <c r="AD1492" s="1"/>
      <c r="AJ1492" s="6">
        <f t="shared" si="209"/>
        <v>1000</v>
      </c>
      <c r="AK1492">
        <v>1475</v>
      </c>
      <c r="AM1492" s="2" t="str">
        <f t="shared" si="210"/>
        <v>0</v>
      </c>
      <c r="AN1492" s="2" t="str">
        <f t="shared" si="207"/>
        <v>3E8</v>
      </c>
      <c r="AO1492" s="2"/>
      <c r="AP1492" s="2" t="str">
        <f t="shared" si="208"/>
        <v>03E8</v>
      </c>
    </row>
    <row r="1493" spans="6:42" x14ac:dyDescent="0.2">
      <c r="F1493" s="1"/>
      <c r="G1493" s="3"/>
      <c r="H1493" s="8"/>
      <c r="N1493" s="1"/>
      <c r="V1493" s="1"/>
      <c r="AD1493" s="1"/>
      <c r="AJ1493" s="6">
        <f t="shared" si="209"/>
        <v>1000</v>
      </c>
      <c r="AK1493">
        <v>1476</v>
      </c>
      <c r="AM1493" s="2" t="str">
        <f t="shared" si="210"/>
        <v>0</v>
      </c>
      <c r="AN1493" s="2" t="str">
        <f t="shared" si="207"/>
        <v>3E8</v>
      </c>
      <c r="AO1493" s="2"/>
      <c r="AP1493" s="2" t="str">
        <f t="shared" si="208"/>
        <v>03E8</v>
      </c>
    </row>
    <row r="1494" spans="6:42" x14ac:dyDescent="0.2">
      <c r="F1494" s="1"/>
      <c r="G1494" s="3"/>
      <c r="H1494" s="8"/>
      <c r="N1494" s="1"/>
      <c r="V1494" s="1"/>
      <c r="AD1494" s="1"/>
      <c r="AJ1494" s="6">
        <f t="shared" si="209"/>
        <v>1000</v>
      </c>
      <c r="AK1494">
        <v>1477</v>
      </c>
      <c r="AM1494" s="2" t="str">
        <f t="shared" si="210"/>
        <v>0</v>
      </c>
      <c r="AN1494" s="2" t="str">
        <f t="shared" si="207"/>
        <v>3E8</v>
      </c>
      <c r="AO1494" s="2"/>
      <c r="AP1494" s="2" t="str">
        <f t="shared" si="208"/>
        <v>03E8</v>
      </c>
    </row>
    <row r="1495" spans="6:42" x14ac:dyDescent="0.2">
      <c r="F1495" s="1"/>
      <c r="G1495" s="3"/>
      <c r="H1495" s="8"/>
      <c r="N1495" s="1"/>
      <c r="V1495" s="1"/>
      <c r="AD1495" s="1"/>
      <c r="AJ1495" s="6">
        <f t="shared" si="209"/>
        <v>1000</v>
      </c>
      <c r="AK1495">
        <v>1478</v>
      </c>
      <c r="AM1495" s="2" t="str">
        <f t="shared" si="210"/>
        <v>0</v>
      </c>
      <c r="AN1495" s="2" t="str">
        <f t="shared" si="207"/>
        <v>3E8</v>
      </c>
      <c r="AO1495" s="2"/>
      <c r="AP1495" s="2" t="str">
        <f t="shared" si="208"/>
        <v>03E8</v>
      </c>
    </row>
    <row r="1496" spans="6:42" x14ac:dyDescent="0.2">
      <c r="F1496" s="1"/>
      <c r="G1496" s="3"/>
      <c r="H1496" s="8"/>
      <c r="N1496" s="1"/>
      <c r="V1496" s="1"/>
      <c r="AD1496" s="1"/>
      <c r="AJ1496" s="6">
        <f t="shared" si="209"/>
        <v>1000</v>
      </c>
      <c r="AK1496">
        <v>1479</v>
      </c>
      <c r="AM1496" s="2" t="str">
        <f t="shared" si="210"/>
        <v>0</v>
      </c>
      <c r="AN1496" s="2" t="str">
        <f t="shared" si="207"/>
        <v>3E8</v>
      </c>
      <c r="AO1496" s="2"/>
      <c r="AP1496" s="2" t="str">
        <f t="shared" si="208"/>
        <v>03E8</v>
      </c>
    </row>
    <row r="1497" spans="6:42" x14ac:dyDescent="0.2">
      <c r="F1497" s="1"/>
      <c r="G1497" s="3"/>
      <c r="H1497" s="8"/>
      <c r="N1497" s="1"/>
      <c r="V1497" s="1"/>
      <c r="AD1497" s="1"/>
      <c r="AJ1497" s="6">
        <f t="shared" si="209"/>
        <v>1000</v>
      </c>
      <c r="AK1497">
        <v>1480</v>
      </c>
      <c r="AM1497" s="2" t="str">
        <f t="shared" si="210"/>
        <v>0</v>
      </c>
      <c r="AN1497" s="2" t="str">
        <f t="shared" si="207"/>
        <v>3E8</v>
      </c>
      <c r="AO1497" s="2"/>
      <c r="AP1497" s="2" t="str">
        <f t="shared" si="208"/>
        <v>03E8</v>
      </c>
    </row>
    <row r="1498" spans="6:42" x14ac:dyDescent="0.2">
      <c r="F1498" s="1"/>
      <c r="G1498" s="3"/>
      <c r="H1498" s="8"/>
      <c r="N1498" s="1"/>
      <c r="V1498" s="1"/>
      <c r="AD1498" s="1"/>
      <c r="AJ1498" s="6">
        <f t="shared" si="209"/>
        <v>1000</v>
      </c>
      <c r="AK1498">
        <v>1481</v>
      </c>
      <c r="AM1498" s="2" t="str">
        <f t="shared" si="210"/>
        <v>0</v>
      </c>
      <c r="AN1498" s="2" t="str">
        <f t="shared" si="207"/>
        <v>3E8</v>
      </c>
      <c r="AO1498" s="2"/>
      <c r="AP1498" s="2" t="str">
        <f t="shared" si="208"/>
        <v>03E8</v>
      </c>
    </row>
    <row r="1499" spans="6:42" x14ac:dyDescent="0.2">
      <c r="F1499" s="1"/>
      <c r="G1499" s="3"/>
      <c r="H1499" s="8"/>
      <c r="N1499" s="1"/>
      <c r="V1499" s="1"/>
      <c r="AD1499" s="1"/>
      <c r="AJ1499" s="6">
        <f t="shared" si="209"/>
        <v>1000</v>
      </c>
      <c r="AK1499">
        <v>1482</v>
      </c>
      <c r="AM1499" s="2" t="str">
        <f t="shared" si="210"/>
        <v>0</v>
      </c>
      <c r="AN1499" s="2" t="str">
        <f t="shared" si="207"/>
        <v>3E8</v>
      </c>
      <c r="AO1499" s="2"/>
      <c r="AP1499" s="2" t="str">
        <f t="shared" si="208"/>
        <v>03E8</v>
      </c>
    </row>
    <row r="1500" spans="6:42" x14ac:dyDescent="0.2">
      <c r="F1500" s="1"/>
      <c r="G1500" s="3"/>
      <c r="H1500" s="8"/>
      <c r="N1500" s="1"/>
      <c r="V1500" s="1"/>
      <c r="AD1500" s="1"/>
      <c r="AJ1500" s="6">
        <f t="shared" si="209"/>
        <v>1000</v>
      </c>
      <c r="AK1500">
        <v>1483</v>
      </c>
      <c r="AM1500" s="2" t="str">
        <f t="shared" si="210"/>
        <v>0</v>
      </c>
      <c r="AN1500" s="2" t="str">
        <f t="shared" si="207"/>
        <v>3E8</v>
      </c>
      <c r="AO1500" s="2"/>
      <c r="AP1500" s="2" t="str">
        <f t="shared" si="208"/>
        <v>03E8</v>
      </c>
    </row>
    <row r="1501" spans="6:42" x14ac:dyDescent="0.2">
      <c r="F1501" s="1"/>
      <c r="G1501" s="3"/>
      <c r="H1501" s="8"/>
      <c r="N1501" s="1"/>
      <c r="V1501" s="1"/>
      <c r="AD1501" s="1"/>
      <c r="AJ1501" s="6">
        <f t="shared" si="209"/>
        <v>1000</v>
      </c>
      <c r="AK1501">
        <v>1484</v>
      </c>
      <c r="AM1501" s="2" t="str">
        <f t="shared" si="210"/>
        <v>0</v>
      </c>
      <c r="AN1501" s="2" t="str">
        <f t="shared" si="207"/>
        <v>3E8</v>
      </c>
      <c r="AO1501" s="2"/>
      <c r="AP1501" s="2" t="str">
        <f t="shared" si="208"/>
        <v>03E8</v>
      </c>
    </row>
    <row r="1502" spans="6:42" x14ac:dyDescent="0.2">
      <c r="F1502" s="1"/>
      <c r="G1502" s="3"/>
      <c r="H1502" s="8"/>
      <c r="N1502" s="1"/>
      <c r="V1502" s="1"/>
      <c r="AD1502" s="1"/>
      <c r="AJ1502" s="6">
        <f t="shared" si="209"/>
        <v>1000</v>
      </c>
      <c r="AK1502">
        <v>1485</v>
      </c>
      <c r="AM1502" s="2" t="str">
        <f t="shared" si="210"/>
        <v>0</v>
      </c>
      <c r="AN1502" s="2" t="str">
        <f t="shared" si="207"/>
        <v>3E8</v>
      </c>
      <c r="AO1502" s="2"/>
      <c r="AP1502" s="2" t="str">
        <f t="shared" si="208"/>
        <v>03E8</v>
      </c>
    </row>
    <row r="1503" spans="6:42" x14ac:dyDescent="0.2">
      <c r="F1503" s="1"/>
      <c r="G1503" s="3"/>
      <c r="H1503" s="8"/>
      <c r="N1503" s="1"/>
      <c r="V1503" s="1"/>
      <c r="AD1503" s="1"/>
      <c r="AJ1503" s="6">
        <f t="shared" si="209"/>
        <v>1000</v>
      </c>
      <c r="AK1503">
        <v>1486</v>
      </c>
      <c r="AM1503" s="2" t="str">
        <f t="shared" si="210"/>
        <v>0</v>
      </c>
      <c r="AN1503" s="2" t="str">
        <f t="shared" si="207"/>
        <v>3E8</v>
      </c>
      <c r="AO1503" s="2"/>
      <c r="AP1503" s="2" t="str">
        <f t="shared" si="208"/>
        <v>03E8</v>
      </c>
    </row>
    <row r="1504" spans="6:42" x14ac:dyDescent="0.2">
      <c r="F1504" s="1"/>
      <c r="G1504" s="3"/>
      <c r="H1504" s="8"/>
      <c r="N1504" s="1"/>
      <c r="V1504" s="1"/>
      <c r="AD1504" s="1"/>
      <c r="AJ1504" s="6">
        <f t="shared" si="209"/>
        <v>1000</v>
      </c>
      <c r="AK1504">
        <v>1487</v>
      </c>
      <c r="AM1504" s="2" t="str">
        <f t="shared" si="210"/>
        <v>0</v>
      </c>
      <c r="AN1504" s="2" t="str">
        <f t="shared" ref="AN1504:AN1567" si="211">DEC2HEX(AJ1504,3)</f>
        <v>3E8</v>
      </c>
      <c r="AO1504" s="2"/>
      <c r="AP1504" s="2" t="str">
        <f t="shared" ref="AP1504:AP1567" si="212">CONCATENATE(AM1504,AN1504)</f>
        <v>03E8</v>
      </c>
    </row>
    <row r="1505" spans="6:42" x14ac:dyDescent="0.2">
      <c r="F1505" s="1"/>
      <c r="G1505" s="3"/>
      <c r="H1505" s="8"/>
      <c r="N1505" s="1"/>
      <c r="V1505" s="1"/>
      <c r="AD1505" s="1"/>
      <c r="AJ1505" s="6">
        <f t="shared" si="209"/>
        <v>1000</v>
      </c>
      <c r="AK1505">
        <v>1488</v>
      </c>
      <c r="AM1505" s="2" t="str">
        <f t="shared" si="210"/>
        <v>0</v>
      </c>
      <c r="AN1505" s="2" t="str">
        <f t="shared" si="211"/>
        <v>3E8</v>
      </c>
      <c r="AO1505" s="2"/>
      <c r="AP1505" s="2" t="str">
        <f t="shared" si="212"/>
        <v>03E8</v>
      </c>
    </row>
    <row r="1506" spans="6:42" x14ac:dyDescent="0.2">
      <c r="F1506" s="1"/>
      <c r="G1506" s="3"/>
      <c r="H1506" s="8"/>
      <c r="N1506" s="1"/>
      <c r="V1506" s="1"/>
      <c r="AD1506" s="1"/>
      <c r="AJ1506" s="6">
        <f t="shared" si="209"/>
        <v>1000</v>
      </c>
      <c r="AK1506">
        <v>1489</v>
      </c>
      <c r="AM1506" s="2" t="str">
        <f t="shared" si="210"/>
        <v>0</v>
      </c>
      <c r="AN1506" s="2" t="str">
        <f t="shared" si="211"/>
        <v>3E8</v>
      </c>
      <c r="AO1506" s="2"/>
      <c r="AP1506" s="2" t="str">
        <f t="shared" si="212"/>
        <v>03E8</v>
      </c>
    </row>
    <row r="1507" spans="6:42" x14ac:dyDescent="0.2">
      <c r="F1507" s="1"/>
      <c r="G1507" s="3"/>
      <c r="H1507" s="8"/>
      <c r="N1507" s="1"/>
      <c r="V1507" s="1"/>
      <c r="AD1507" s="1"/>
      <c r="AJ1507" s="6">
        <f t="shared" si="209"/>
        <v>1000</v>
      </c>
      <c r="AK1507">
        <v>1490</v>
      </c>
      <c r="AM1507" s="2" t="str">
        <f t="shared" si="210"/>
        <v>0</v>
      </c>
      <c r="AN1507" s="2" t="str">
        <f t="shared" si="211"/>
        <v>3E8</v>
      </c>
      <c r="AO1507" s="2"/>
      <c r="AP1507" s="2" t="str">
        <f t="shared" si="212"/>
        <v>03E8</v>
      </c>
    </row>
    <row r="1508" spans="6:42" x14ac:dyDescent="0.2">
      <c r="F1508" s="1"/>
      <c r="G1508" s="3"/>
      <c r="H1508" s="8"/>
      <c r="N1508" s="1"/>
      <c r="V1508" s="1"/>
      <c r="AD1508" s="1"/>
      <c r="AJ1508" s="6">
        <f t="shared" si="209"/>
        <v>1000</v>
      </c>
      <c r="AK1508">
        <v>1491</v>
      </c>
      <c r="AM1508" s="2" t="str">
        <f t="shared" si="210"/>
        <v>0</v>
      </c>
      <c r="AN1508" s="2" t="str">
        <f t="shared" si="211"/>
        <v>3E8</v>
      </c>
      <c r="AO1508" s="2"/>
      <c r="AP1508" s="2" t="str">
        <f t="shared" si="212"/>
        <v>03E8</v>
      </c>
    </row>
    <row r="1509" spans="6:42" x14ac:dyDescent="0.2">
      <c r="F1509" s="1"/>
      <c r="G1509" s="3"/>
      <c r="H1509" s="8"/>
      <c r="N1509" s="1"/>
      <c r="V1509" s="1"/>
      <c r="AD1509" s="1"/>
      <c r="AJ1509" s="6">
        <f t="shared" si="209"/>
        <v>1000</v>
      </c>
      <c r="AK1509">
        <v>1492</v>
      </c>
      <c r="AM1509" s="2" t="str">
        <f t="shared" si="210"/>
        <v>0</v>
      </c>
      <c r="AN1509" s="2" t="str">
        <f t="shared" si="211"/>
        <v>3E8</v>
      </c>
      <c r="AO1509" s="2"/>
      <c r="AP1509" s="2" t="str">
        <f t="shared" si="212"/>
        <v>03E8</v>
      </c>
    </row>
    <row r="1510" spans="6:42" x14ac:dyDescent="0.2">
      <c r="F1510" s="1"/>
      <c r="G1510" s="3"/>
      <c r="H1510" s="8"/>
      <c r="N1510" s="1"/>
      <c r="V1510" s="1"/>
      <c r="AD1510" s="1"/>
      <c r="AJ1510" s="6">
        <f t="shared" si="209"/>
        <v>1000</v>
      </c>
      <c r="AK1510">
        <v>1493</v>
      </c>
      <c r="AM1510" s="2" t="str">
        <f t="shared" si="210"/>
        <v>0</v>
      </c>
      <c r="AN1510" s="2" t="str">
        <f t="shared" si="211"/>
        <v>3E8</v>
      </c>
      <c r="AO1510" s="2"/>
      <c r="AP1510" s="2" t="str">
        <f t="shared" si="212"/>
        <v>03E8</v>
      </c>
    </row>
    <row r="1511" spans="6:42" x14ac:dyDescent="0.2">
      <c r="F1511" s="1"/>
      <c r="G1511" s="3"/>
      <c r="H1511" s="8"/>
      <c r="N1511" s="1"/>
      <c r="V1511" s="1"/>
      <c r="AD1511" s="1"/>
      <c r="AJ1511" s="6">
        <f t="shared" si="209"/>
        <v>1000</v>
      </c>
      <c r="AK1511">
        <v>1494</v>
      </c>
      <c r="AM1511" s="2" t="str">
        <f t="shared" si="210"/>
        <v>0</v>
      </c>
      <c r="AN1511" s="2" t="str">
        <f t="shared" si="211"/>
        <v>3E8</v>
      </c>
      <c r="AO1511" s="2"/>
      <c r="AP1511" s="2" t="str">
        <f t="shared" si="212"/>
        <v>03E8</v>
      </c>
    </row>
    <row r="1512" spans="6:42" x14ac:dyDescent="0.2">
      <c r="F1512" s="1"/>
      <c r="G1512" s="3"/>
      <c r="H1512" s="8"/>
      <c r="N1512" s="1"/>
      <c r="V1512" s="1"/>
      <c r="AD1512" s="1"/>
      <c r="AJ1512" s="6">
        <f t="shared" si="209"/>
        <v>1000</v>
      </c>
      <c r="AK1512">
        <v>1495</v>
      </c>
      <c r="AM1512" s="2" t="str">
        <f t="shared" si="210"/>
        <v>0</v>
      </c>
      <c r="AN1512" s="2" t="str">
        <f t="shared" si="211"/>
        <v>3E8</v>
      </c>
      <c r="AO1512" s="2"/>
      <c r="AP1512" s="2" t="str">
        <f t="shared" si="212"/>
        <v>03E8</v>
      </c>
    </row>
    <row r="1513" spans="6:42" x14ac:dyDescent="0.2">
      <c r="F1513" s="1"/>
      <c r="G1513" s="3"/>
      <c r="H1513" s="8"/>
      <c r="N1513" s="1"/>
      <c r="V1513" s="1"/>
      <c r="AD1513" s="1"/>
      <c r="AJ1513" s="6">
        <f t="shared" si="209"/>
        <v>1000</v>
      </c>
      <c r="AK1513">
        <v>1496</v>
      </c>
      <c r="AM1513" s="2" t="str">
        <f t="shared" si="210"/>
        <v>0</v>
      </c>
      <c r="AN1513" s="2" t="str">
        <f t="shared" si="211"/>
        <v>3E8</v>
      </c>
      <c r="AO1513" s="2"/>
      <c r="AP1513" s="2" t="str">
        <f t="shared" si="212"/>
        <v>03E8</v>
      </c>
    </row>
    <row r="1514" spans="6:42" x14ac:dyDescent="0.2">
      <c r="F1514" s="1"/>
      <c r="G1514" s="3"/>
      <c r="H1514" s="8"/>
      <c r="N1514" s="1"/>
      <c r="V1514" s="1"/>
      <c r="AD1514" s="1"/>
      <c r="AJ1514" s="6">
        <f t="shared" si="209"/>
        <v>1000</v>
      </c>
      <c r="AK1514">
        <v>1497</v>
      </c>
      <c r="AM1514" s="2" t="str">
        <f t="shared" si="210"/>
        <v>0</v>
      </c>
      <c r="AN1514" s="2" t="str">
        <f t="shared" si="211"/>
        <v>3E8</v>
      </c>
      <c r="AO1514" s="2"/>
      <c r="AP1514" s="2" t="str">
        <f t="shared" si="212"/>
        <v>03E8</v>
      </c>
    </row>
    <row r="1515" spans="6:42" x14ac:dyDescent="0.2">
      <c r="F1515" s="1"/>
      <c r="G1515" s="3"/>
      <c r="H1515" s="8"/>
      <c r="N1515" s="1"/>
      <c r="V1515" s="1"/>
      <c r="AD1515" s="1"/>
      <c r="AJ1515" s="6">
        <f t="shared" si="209"/>
        <v>1000</v>
      </c>
      <c r="AK1515">
        <v>1498</v>
      </c>
      <c r="AM1515" s="2" t="str">
        <f t="shared" si="210"/>
        <v>0</v>
      </c>
      <c r="AN1515" s="2" t="str">
        <f t="shared" si="211"/>
        <v>3E8</v>
      </c>
      <c r="AO1515" s="2"/>
      <c r="AP1515" s="2" t="str">
        <f t="shared" si="212"/>
        <v>03E8</v>
      </c>
    </row>
    <row r="1516" spans="6:42" x14ac:dyDescent="0.2">
      <c r="F1516" s="1"/>
      <c r="G1516" s="3"/>
      <c r="H1516" s="8"/>
      <c r="N1516" s="1"/>
      <c r="V1516" s="1"/>
      <c r="AD1516" s="1"/>
      <c r="AJ1516" s="6">
        <f t="shared" si="209"/>
        <v>1000</v>
      </c>
      <c r="AK1516">
        <v>1499</v>
      </c>
      <c r="AM1516" s="2" t="str">
        <f t="shared" si="210"/>
        <v>0</v>
      </c>
      <c r="AN1516" s="2" t="str">
        <f t="shared" si="211"/>
        <v>3E8</v>
      </c>
      <c r="AO1516" s="2"/>
      <c r="AP1516" s="2" t="str">
        <f t="shared" si="212"/>
        <v>03E8</v>
      </c>
    </row>
    <row r="1517" spans="6:42" x14ac:dyDescent="0.2">
      <c r="F1517" s="1"/>
      <c r="G1517" s="3"/>
      <c r="H1517" s="8"/>
      <c r="N1517" s="1"/>
      <c r="V1517" s="1"/>
      <c r="AD1517" s="1"/>
      <c r="AJ1517" s="6">
        <f t="shared" si="209"/>
        <v>1000</v>
      </c>
      <c r="AK1517">
        <v>1500</v>
      </c>
      <c r="AM1517" s="2" t="str">
        <f t="shared" si="210"/>
        <v>0</v>
      </c>
      <c r="AN1517" s="2" t="str">
        <f t="shared" si="211"/>
        <v>3E8</v>
      </c>
      <c r="AO1517" s="2"/>
      <c r="AP1517" s="2" t="str">
        <f t="shared" si="212"/>
        <v>03E8</v>
      </c>
    </row>
    <row r="1518" spans="6:42" x14ac:dyDescent="0.2">
      <c r="F1518" s="1"/>
      <c r="G1518" s="3"/>
      <c r="H1518" s="8"/>
      <c r="N1518" s="1"/>
      <c r="V1518" s="1"/>
      <c r="AD1518" s="1"/>
      <c r="AJ1518" s="6">
        <f t="shared" si="209"/>
        <v>1000</v>
      </c>
      <c r="AK1518">
        <v>1501</v>
      </c>
      <c r="AM1518" s="2" t="str">
        <f t="shared" si="210"/>
        <v>0</v>
      </c>
      <c r="AN1518" s="2" t="str">
        <f t="shared" si="211"/>
        <v>3E8</v>
      </c>
      <c r="AO1518" s="2"/>
      <c r="AP1518" s="2" t="str">
        <f t="shared" si="212"/>
        <v>03E8</v>
      </c>
    </row>
    <row r="1519" spans="6:42" x14ac:dyDescent="0.2">
      <c r="F1519" s="1"/>
      <c r="G1519" s="3"/>
      <c r="H1519" s="8"/>
      <c r="N1519" s="1"/>
      <c r="V1519" s="1"/>
      <c r="AD1519" s="1"/>
      <c r="AJ1519" s="6">
        <f t="shared" si="209"/>
        <v>1000</v>
      </c>
      <c r="AK1519">
        <v>1502</v>
      </c>
      <c r="AM1519" s="2" t="str">
        <f t="shared" si="210"/>
        <v>0</v>
      </c>
      <c r="AN1519" s="2" t="str">
        <f t="shared" si="211"/>
        <v>3E8</v>
      </c>
      <c r="AO1519" s="2"/>
      <c r="AP1519" s="2" t="str">
        <f t="shared" si="212"/>
        <v>03E8</v>
      </c>
    </row>
    <row r="1520" spans="6:42" x14ac:dyDescent="0.2">
      <c r="F1520" s="1"/>
      <c r="G1520" s="3"/>
      <c r="H1520" s="8"/>
      <c r="N1520" s="1"/>
      <c r="V1520" s="1"/>
      <c r="AD1520" s="1"/>
      <c r="AJ1520" s="6">
        <f t="shared" si="209"/>
        <v>1000</v>
      </c>
      <c r="AK1520">
        <v>1503</v>
      </c>
      <c r="AM1520" s="2" t="str">
        <f t="shared" si="210"/>
        <v>0</v>
      </c>
      <c r="AN1520" s="2" t="str">
        <f t="shared" si="211"/>
        <v>3E8</v>
      </c>
      <c r="AO1520" s="2"/>
      <c r="AP1520" s="2" t="str">
        <f t="shared" si="212"/>
        <v>03E8</v>
      </c>
    </row>
    <row r="1521" spans="6:42" x14ac:dyDescent="0.2">
      <c r="F1521" s="1"/>
      <c r="G1521" s="3"/>
      <c r="H1521" s="8"/>
      <c r="N1521" s="1"/>
      <c r="V1521" s="1"/>
      <c r="AD1521" s="1"/>
      <c r="AJ1521" s="6">
        <f t="shared" si="209"/>
        <v>1000</v>
      </c>
      <c r="AK1521">
        <v>1504</v>
      </c>
      <c r="AM1521" s="2" t="str">
        <f t="shared" si="210"/>
        <v>0</v>
      </c>
      <c r="AN1521" s="2" t="str">
        <f t="shared" si="211"/>
        <v>3E8</v>
      </c>
      <c r="AO1521" s="2"/>
      <c r="AP1521" s="2" t="str">
        <f t="shared" si="212"/>
        <v>03E8</v>
      </c>
    </row>
    <row r="1522" spans="6:42" x14ac:dyDescent="0.2">
      <c r="F1522" s="1"/>
      <c r="G1522" s="3"/>
      <c r="H1522" s="8"/>
      <c r="N1522" s="1"/>
      <c r="V1522" s="1"/>
      <c r="AD1522" s="1"/>
      <c r="AJ1522" s="6">
        <f t="shared" si="209"/>
        <v>1000</v>
      </c>
      <c r="AK1522">
        <v>1505</v>
      </c>
      <c r="AM1522" s="2" t="str">
        <f t="shared" si="210"/>
        <v>0</v>
      </c>
      <c r="AN1522" s="2" t="str">
        <f t="shared" si="211"/>
        <v>3E8</v>
      </c>
      <c r="AO1522" s="2"/>
      <c r="AP1522" s="2" t="str">
        <f t="shared" si="212"/>
        <v>03E8</v>
      </c>
    </row>
    <row r="1523" spans="6:42" x14ac:dyDescent="0.2">
      <c r="F1523" s="1"/>
      <c r="G1523" s="3"/>
      <c r="H1523" s="8"/>
      <c r="N1523" s="1"/>
      <c r="V1523" s="1"/>
      <c r="AD1523" s="1"/>
      <c r="AJ1523" s="6">
        <f t="shared" si="209"/>
        <v>1000</v>
      </c>
      <c r="AK1523">
        <v>1506</v>
      </c>
      <c r="AM1523" s="2" t="str">
        <f t="shared" ref="AM1523:AM1553" si="213">BIN2HEX(S499+10*T499+100*U499+1000*V499,1)</f>
        <v>0</v>
      </c>
      <c r="AN1523" s="2" t="str">
        <f t="shared" si="211"/>
        <v>3E8</v>
      </c>
      <c r="AO1523" s="2"/>
      <c r="AP1523" s="2" t="str">
        <f t="shared" si="212"/>
        <v>03E8</v>
      </c>
    </row>
    <row r="1524" spans="6:42" x14ac:dyDescent="0.2">
      <c r="F1524" s="1"/>
      <c r="G1524" s="3"/>
      <c r="H1524" s="8"/>
      <c r="N1524" s="1"/>
      <c r="V1524" s="1"/>
      <c r="AD1524" s="1"/>
      <c r="AJ1524" s="6">
        <f t="shared" si="209"/>
        <v>1000</v>
      </c>
      <c r="AK1524">
        <v>1507</v>
      </c>
      <c r="AM1524" s="2" t="str">
        <f t="shared" si="213"/>
        <v>0</v>
      </c>
      <c r="AN1524" s="2" t="str">
        <f t="shared" si="211"/>
        <v>3E8</v>
      </c>
      <c r="AO1524" s="2"/>
      <c r="AP1524" s="2" t="str">
        <f t="shared" si="212"/>
        <v>03E8</v>
      </c>
    </row>
    <row r="1525" spans="6:42" x14ac:dyDescent="0.2">
      <c r="F1525" s="1"/>
      <c r="G1525" s="3"/>
      <c r="H1525" s="8"/>
      <c r="N1525" s="1"/>
      <c r="V1525" s="1"/>
      <c r="AD1525" s="1"/>
      <c r="AJ1525" s="6">
        <f t="shared" si="209"/>
        <v>1000</v>
      </c>
      <c r="AK1525">
        <v>1508</v>
      </c>
      <c r="AM1525" s="2" t="str">
        <f t="shared" si="213"/>
        <v>0</v>
      </c>
      <c r="AN1525" s="2" t="str">
        <f t="shared" si="211"/>
        <v>3E8</v>
      </c>
      <c r="AO1525" s="2"/>
      <c r="AP1525" s="2" t="str">
        <f t="shared" si="212"/>
        <v>03E8</v>
      </c>
    </row>
    <row r="1526" spans="6:42" x14ac:dyDescent="0.2">
      <c r="F1526" s="1"/>
      <c r="G1526" s="3"/>
      <c r="H1526" s="8"/>
      <c r="N1526" s="1"/>
      <c r="V1526" s="1"/>
      <c r="AD1526" s="1"/>
      <c r="AJ1526" s="6">
        <f t="shared" si="209"/>
        <v>1000</v>
      </c>
      <c r="AK1526">
        <v>1509</v>
      </c>
      <c r="AM1526" s="2" t="str">
        <f t="shared" si="213"/>
        <v>0</v>
      </c>
      <c r="AN1526" s="2" t="str">
        <f t="shared" si="211"/>
        <v>3E8</v>
      </c>
      <c r="AO1526" s="2"/>
      <c r="AP1526" s="2" t="str">
        <f t="shared" si="212"/>
        <v>03E8</v>
      </c>
    </row>
    <row r="1527" spans="6:42" x14ac:dyDescent="0.2">
      <c r="F1527" s="1"/>
      <c r="G1527" s="3"/>
      <c r="H1527" s="8"/>
      <c r="N1527" s="1"/>
      <c r="V1527" s="1"/>
      <c r="AD1527" s="1"/>
      <c r="AJ1527" s="6">
        <f t="shared" si="209"/>
        <v>1000</v>
      </c>
      <c r="AK1527">
        <v>1510</v>
      </c>
      <c r="AM1527" s="2" t="str">
        <f t="shared" si="213"/>
        <v>0</v>
      </c>
      <c r="AN1527" s="2" t="str">
        <f t="shared" si="211"/>
        <v>3E8</v>
      </c>
      <c r="AO1527" s="2"/>
      <c r="AP1527" s="2" t="str">
        <f t="shared" si="212"/>
        <v>03E8</v>
      </c>
    </row>
    <row r="1528" spans="6:42" x14ac:dyDescent="0.2">
      <c r="F1528" s="1"/>
      <c r="G1528" s="3"/>
      <c r="H1528" s="8"/>
      <c r="N1528" s="1"/>
      <c r="V1528" s="1"/>
      <c r="AD1528" s="1"/>
      <c r="AJ1528" s="6">
        <f t="shared" si="209"/>
        <v>1000</v>
      </c>
      <c r="AK1528">
        <v>1511</v>
      </c>
      <c r="AM1528" s="2" t="str">
        <f t="shared" si="213"/>
        <v>0</v>
      </c>
      <c r="AN1528" s="2" t="str">
        <f t="shared" si="211"/>
        <v>3E8</v>
      </c>
      <c r="AO1528" s="2"/>
      <c r="AP1528" s="2" t="str">
        <f t="shared" si="212"/>
        <v>03E8</v>
      </c>
    </row>
    <row r="1529" spans="6:42" x14ac:dyDescent="0.2">
      <c r="F1529" s="1"/>
      <c r="G1529" s="3"/>
      <c r="H1529" s="8"/>
      <c r="N1529" s="1"/>
      <c r="V1529" s="1"/>
      <c r="AD1529" s="1"/>
      <c r="AJ1529" s="6">
        <f t="shared" si="209"/>
        <v>1000</v>
      </c>
      <c r="AK1529">
        <v>1512</v>
      </c>
      <c r="AM1529" s="2" t="str">
        <f t="shared" si="213"/>
        <v>0</v>
      </c>
      <c r="AN1529" s="2" t="str">
        <f t="shared" si="211"/>
        <v>3E8</v>
      </c>
      <c r="AO1529" s="2"/>
      <c r="AP1529" s="2" t="str">
        <f t="shared" si="212"/>
        <v>03E8</v>
      </c>
    </row>
    <row r="1530" spans="6:42" x14ac:dyDescent="0.2">
      <c r="F1530" s="1"/>
      <c r="G1530" s="3"/>
      <c r="H1530" s="8"/>
      <c r="N1530" s="1"/>
      <c r="V1530" s="1"/>
      <c r="AD1530" s="1"/>
      <c r="AJ1530" s="6">
        <f t="shared" si="209"/>
        <v>1000</v>
      </c>
      <c r="AK1530">
        <v>1513</v>
      </c>
      <c r="AM1530" s="2" t="str">
        <f t="shared" si="213"/>
        <v>0</v>
      </c>
      <c r="AN1530" s="2" t="str">
        <f t="shared" si="211"/>
        <v>3E8</v>
      </c>
      <c r="AO1530" s="2"/>
      <c r="AP1530" s="2" t="str">
        <f t="shared" si="212"/>
        <v>03E8</v>
      </c>
    </row>
    <row r="1531" spans="6:42" x14ac:dyDescent="0.2">
      <c r="F1531" s="1"/>
      <c r="G1531" s="3"/>
      <c r="H1531" s="8"/>
      <c r="N1531" s="1"/>
      <c r="V1531" s="1"/>
      <c r="AD1531" s="1"/>
      <c r="AJ1531" s="6">
        <f t="shared" si="209"/>
        <v>1000</v>
      </c>
      <c r="AK1531">
        <v>1514</v>
      </c>
      <c r="AM1531" s="2" t="str">
        <f t="shared" si="213"/>
        <v>0</v>
      </c>
      <c r="AN1531" s="2" t="str">
        <f t="shared" si="211"/>
        <v>3E8</v>
      </c>
      <c r="AO1531" s="2"/>
      <c r="AP1531" s="2" t="str">
        <f t="shared" si="212"/>
        <v>03E8</v>
      </c>
    </row>
    <row r="1532" spans="6:42" x14ac:dyDescent="0.2">
      <c r="F1532" s="1"/>
      <c r="G1532" s="3"/>
      <c r="H1532" s="8"/>
      <c r="N1532" s="1"/>
      <c r="V1532" s="1"/>
      <c r="AD1532" s="1"/>
      <c r="AJ1532" s="6">
        <f t="shared" si="209"/>
        <v>1000</v>
      </c>
      <c r="AK1532">
        <v>1515</v>
      </c>
      <c r="AM1532" s="2" t="str">
        <f t="shared" si="213"/>
        <v>0</v>
      </c>
      <c r="AN1532" s="2" t="str">
        <f t="shared" si="211"/>
        <v>3E8</v>
      </c>
      <c r="AO1532" s="2"/>
      <c r="AP1532" s="2" t="str">
        <f t="shared" si="212"/>
        <v>03E8</v>
      </c>
    </row>
    <row r="1533" spans="6:42" x14ac:dyDescent="0.2">
      <c r="F1533" s="1"/>
      <c r="G1533" s="3"/>
      <c r="H1533" s="8"/>
      <c r="N1533" s="1"/>
      <c r="V1533" s="1"/>
      <c r="AD1533" s="1"/>
      <c r="AJ1533" s="6">
        <f t="shared" si="209"/>
        <v>1000</v>
      </c>
      <c r="AK1533">
        <v>1516</v>
      </c>
      <c r="AM1533" s="2" t="str">
        <f t="shared" si="213"/>
        <v>0</v>
      </c>
      <c r="AN1533" s="2" t="str">
        <f t="shared" si="211"/>
        <v>3E8</v>
      </c>
      <c r="AO1533" s="2"/>
      <c r="AP1533" s="2" t="str">
        <f t="shared" si="212"/>
        <v>03E8</v>
      </c>
    </row>
    <row r="1534" spans="6:42" x14ac:dyDescent="0.2">
      <c r="F1534" s="1"/>
      <c r="G1534" s="3"/>
      <c r="H1534" s="8"/>
      <c r="N1534" s="1"/>
      <c r="V1534" s="1"/>
      <c r="AD1534" s="1"/>
      <c r="AJ1534" s="6">
        <f t="shared" si="209"/>
        <v>1000</v>
      </c>
      <c r="AK1534">
        <v>1517</v>
      </c>
      <c r="AM1534" s="2" t="str">
        <f t="shared" si="213"/>
        <v>0</v>
      </c>
      <c r="AN1534" s="2" t="str">
        <f t="shared" si="211"/>
        <v>3E8</v>
      </c>
      <c r="AO1534" s="2"/>
      <c r="AP1534" s="2" t="str">
        <f t="shared" si="212"/>
        <v>03E8</v>
      </c>
    </row>
    <row r="1535" spans="6:42" x14ac:dyDescent="0.2">
      <c r="F1535" s="1"/>
      <c r="G1535" s="3"/>
      <c r="H1535" s="8"/>
      <c r="N1535" s="1"/>
      <c r="V1535" s="1"/>
      <c r="AD1535" s="1"/>
      <c r="AJ1535" s="6">
        <f t="shared" si="209"/>
        <v>1000</v>
      </c>
      <c r="AK1535">
        <v>1518</v>
      </c>
      <c r="AM1535" s="2" t="str">
        <f t="shared" si="213"/>
        <v>0</v>
      </c>
      <c r="AN1535" s="2" t="str">
        <f t="shared" si="211"/>
        <v>3E8</v>
      </c>
      <c r="AO1535" s="2"/>
      <c r="AP1535" s="2" t="str">
        <f t="shared" si="212"/>
        <v>03E8</v>
      </c>
    </row>
    <row r="1536" spans="6:42" x14ac:dyDescent="0.2">
      <c r="F1536" s="1"/>
      <c r="G1536" s="3"/>
      <c r="H1536" s="8"/>
      <c r="N1536" s="1"/>
      <c r="V1536" s="1"/>
      <c r="AD1536" s="1"/>
      <c r="AJ1536" s="6">
        <f t="shared" si="209"/>
        <v>1000</v>
      </c>
      <c r="AK1536">
        <v>1519</v>
      </c>
      <c r="AM1536" s="2" t="str">
        <f t="shared" si="213"/>
        <v>0</v>
      </c>
      <c r="AN1536" s="2" t="str">
        <f t="shared" si="211"/>
        <v>3E8</v>
      </c>
      <c r="AO1536" s="2"/>
      <c r="AP1536" s="2" t="str">
        <f t="shared" si="212"/>
        <v>03E8</v>
      </c>
    </row>
    <row r="1537" spans="6:42" x14ac:dyDescent="0.2">
      <c r="F1537" s="1"/>
      <c r="G1537" s="3"/>
      <c r="H1537" s="8"/>
      <c r="N1537" s="1"/>
      <c r="V1537" s="1"/>
      <c r="AD1537" s="1"/>
      <c r="AJ1537" s="6">
        <f t="shared" si="209"/>
        <v>1000</v>
      </c>
      <c r="AK1537">
        <v>1520</v>
      </c>
      <c r="AM1537" s="2" t="str">
        <f t="shared" si="213"/>
        <v>0</v>
      </c>
      <c r="AN1537" s="2" t="str">
        <f t="shared" si="211"/>
        <v>3E8</v>
      </c>
      <c r="AO1537" s="2"/>
      <c r="AP1537" s="2" t="str">
        <f t="shared" si="212"/>
        <v>03E8</v>
      </c>
    </row>
    <row r="1538" spans="6:42" x14ac:dyDescent="0.2">
      <c r="F1538" s="1"/>
      <c r="G1538" s="3"/>
      <c r="H1538" s="8"/>
      <c r="N1538" s="1"/>
      <c r="V1538" s="1"/>
      <c r="AD1538" s="1"/>
      <c r="AJ1538" s="6">
        <f t="shared" si="209"/>
        <v>1000</v>
      </c>
      <c r="AK1538">
        <v>1521</v>
      </c>
      <c r="AM1538" s="2" t="str">
        <f t="shared" si="213"/>
        <v>0</v>
      </c>
      <c r="AN1538" s="2" t="str">
        <f t="shared" si="211"/>
        <v>3E8</v>
      </c>
      <c r="AO1538" s="2"/>
      <c r="AP1538" s="2" t="str">
        <f t="shared" si="212"/>
        <v>03E8</v>
      </c>
    </row>
    <row r="1539" spans="6:42" x14ac:dyDescent="0.2">
      <c r="F1539" s="1"/>
      <c r="G1539" s="3"/>
      <c r="H1539" s="8"/>
      <c r="N1539" s="1"/>
      <c r="V1539" s="1"/>
      <c r="AD1539" s="1"/>
      <c r="AJ1539" s="6">
        <f t="shared" si="209"/>
        <v>1000</v>
      </c>
      <c r="AK1539">
        <v>1522</v>
      </c>
      <c r="AM1539" s="2" t="str">
        <f t="shared" si="213"/>
        <v>0</v>
      </c>
      <c r="AN1539" s="2" t="str">
        <f t="shared" si="211"/>
        <v>3E8</v>
      </c>
      <c r="AO1539" s="2"/>
      <c r="AP1539" s="2" t="str">
        <f t="shared" si="212"/>
        <v>03E8</v>
      </c>
    </row>
    <row r="1540" spans="6:42" x14ac:dyDescent="0.2">
      <c r="F1540" s="1"/>
      <c r="G1540" s="3"/>
      <c r="H1540" s="8"/>
      <c r="N1540" s="1"/>
      <c r="V1540" s="1"/>
      <c r="AD1540" s="1"/>
      <c r="AJ1540" s="6">
        <f t="shared" si="209"/>
        <v>1000</v>
      </c>
      <c r="AK1540">
        <v>1523</v>
      </c>
      <c r="AM1540" s="2" t="str">
        <f t="shared" si="213"/>
        <v>0</v>
      </c>
      <c r="AN1540" s="2" t="str">
        <f t="shared" si="211"/>
        <v>3E8</v>
      </c>
      <c r="AO1540" s="2"/>
      <c r="AP1540" s="2" t="str">
        <f t="shared" si="212"/>
        <v>03E8</v>
      </c>
    </row>
    <row r="1541" spans="6:42" x14ac:dyDescent="0.2">
      <c r="F1541" s="1"/>
      <c r="G1541" s="3"/>
      <c r="H1541" s="8"/>
      <c r="N1541" s="1"/>
      <c r="V1541" s="1"/>
      <c r="AD1541" s="1"/>
      <c r="AJ1541" s="6">
        <f t="shared" si="209"/>
        <v>1000</v>
      </c>
      <c r="AK1541">
        <v>1524</v>
      </c>
      <c r="AM1541" s="2" t="str">
        <f t="shared" si="213"/>
        <v>0</v>
      </c>
      <c r="AN1541" s="2" t="str">
        <f t="shared" si="211"/>
        <v>3E8</v>
      </c>
      <c r="AO1541" s="2"/>
      <c r="AP1541" s="2" t="str">
        <f t="shared" si="212"/>
        <v>03E8</v>
      </c>
    </row>
    <row r="1542" spans="6:42" x14ac:dyDescent="0.2">
      <c r="F1542" s="1"/>
      <c r="G1542" s="3"/>
      <c r="H1542" s="8"/>
      <c r="N1542" s="1"/>
      <c r="V1542" s="1"/>
      <c r="AD1542" s="1"/>
      <c r="AJ1542" s="6">
        <f t="shared" si="209"/>
        <v>1000</v>
      </c>
      <c r="AK1542">
        <v>1525</v>
      </c>
      <c r="AM1542" s="2" t="str">
        <f t="shared" si="213"/>
        <v>0</v>
      </c>
      <c r="AN1542" s="2" t="str">
        <f t="shared" si="211"/>
        <v>3E8</v>
      </c>
      <c r="AO1542" s="2"/>
      <c r="AP1542" s="2" t="str">
        <f t="shared" si="212"/>
        <v>03E8</v>
      </c>
    </row>
    <row r="1543" spans="6:42" x14ac:dyDescent="0.2">
      <c r="F1543" s="1"/>
      <c r="G1543" s="3"/>
      <c r="H1543" s="8"/>
      <c r="N1543" s="1"/>
      <c r="V1543" s="1"/>
      <c r="AD1543" s="1"/>
      <c r="AJ1543" s="6">
        <f t="shared" si="209"/>
        <v>1000</v>
      </c>
      <c r="AK1543">
        <v>1526</v>
      </c>
      <c r="AM1543" s="2" t="str">
        <f t="shared" si="213"/>
        <v>0</v>
      </c>
      <c r="AN1543" s="2" t="str">
        <f t="shared" si="211"/>
        <v>3E8</v>
      </c>
      <c r="AO1543" s="2"/>
      <c r="AP1543" s="2" t="str">
        <f t="shared" si="212"/>
        <v>03E8</v>
      </c>
    </row>
    <row r="1544" spans="6:42" x14ac:dyDescent="0.2">
      <c r="F1544" s="1"/>
      <c r="G1544" s="3"/>
      <c r="H1544" s="8"/>
      <c r="N1544" s="1"/>
      <c r="V1544" s="1"/>
      <c r="AD1544" s="1"/>
      <c r="AJ1544" s="6">
        <f t="shared" si="209"/>
        <v>1000</v>
      </c>
      <c r="AK1544">
        <v>1527</v>
      </c>
      <c r="AM1544" s="2" t="str">
        <f t="shared" si="213"/>
        <v>0</v>
      </c>
      <c r="AN1544" s="2" t="str">
        <f t="shared" si="211"/>
        <v>3E8</v>
      </c>
      <c r="AO1544" s="2"/>
      <c r="AP1544" s="2" t="str">
        <f t="shared" si="212"/>
        <v>03E8</v>
      </c>
    </row>
    <row r="1545" spans="6:42" x14ac:dyDescent="0.2">
      <c r="F1545" s="1"/>
      <c r="G1545" s="3"/>
      <c r="H1545" s="8"/>
      <c r="N1545" s="1"/>
      <c r="V1545" s="1"/>
      <c r="AD1545" s="1"/>
      <c r="AJ1545" s="6">
        <f t="shared" si="209"/>
        <v>1000</v>
      </c>
      <c r="AK1545">
        <v>1528</v>
      </c>
      <c r="AM1545" s="2" t="str">
        <f t="shared" si="213"/>
        <v>0</v>
      </c>
      <c r="AN1545" s="2" t="str">
        <f t="shared" si="211"/>
        <v>3E8</v>
      </c>
      <c r="AO1545" s="2"/>
      <c r="AP1545" s="2" t="str">
        <f t="shared" si="212"/>
        <v>03E8</v>
      </c>
    </row>
    <row r="1546" spans="6:42" x14ac:dyDescent="0.2">
      <c r="F1546" s="1"/>
      <c r="G1546" s="3"/>
      <c r="H1546" s="8"/>
      <c r="N1546" s="1"/>
      <c r="V1546" s="1"/>
      <c r="AD1546" s="1"/>
      <c r="AJ1546" s="6">
        <f t="shared" si="209"/>
        <v>1000</v>
      </c>
      <c r="AK1546">
        <v>1529</v>
      </c>
      <c r="AM1546" s="2" t="str">
        <f t="shared" si="213"/>
        <v>0</v>
      </c>
      <c r="AN1546" s="2" t="str">
        <f t="shared" si="211"/>
        <v>3E8</v>
      </c>
      <c r="AO1546" s="2"/>
      <c r="AP1546" s="2" t="str">
        <f t="shared" si="212"/>
        <v>03E8</v>
      </c>
    </row>
    <row r="1547" spans="6:42" x14ac:dyDescent="0.2">
      <c r="F1547" s="1"/>
      <c r="G1547" s="3"/>
      <c r="H1547" s="8"/>
      <c r="N1547" s="1"/>
      <c r="V1547" s="1"/>
      <c r="AD1547" s="1"/>
      <c r="AJ1547" s="6">
        <f t="shared" si="209"/>
        <v>1000</v>
      </c>
      <c r="AK1547">
        <v>1530</v>
      </c>
      <c r="AM1547" s="2" t="str">
        <f t="shared" si="213"/>
        <v>0</v>
      </c>
      <c r="AN1547" s="2" t="str">
        <f t="shared" si="211"/>
        <v>3E8</v>
      </c>
      <c r="AO1547" s="2"/>
      <c r="AP1547" s="2" t="str">
        <f t="shared" si="212"/>
        <v>03E8</v>
      </c>
    </row>
    <row r="1548" spans="6:42" x14ac:dyDescent="0.2">
      <c r="F1548" s="1"/>
      <c r="G1548" s="3"/>
      <c r="H1548" s="8"/>
      <c r="N1548" s="1"/>
      <c r="V1548" s="1"/>
      <c r="AD1548" s="1"/>
      <c r="AJ1548" s="6">
        <f t="shared" si="209"/>
        <v>1000</v>
      </c>
      <c r="AK1548">
        <v>1531</v>
      </c>
      <c r="AM1548" s="2" t="str">
        <f t="shared" si="213"/>
        <v>0</v>
      </c>
      <c r="AN1548" s="2" t="str">
        <f t="shared" si="211"/>
        <v>3E8</v>
      </c>
      <c r="AO1548" s="2"/>
      <c r="AP1548" s="2" t="str">
        <f t="shared" si="212"/>
        <v>03E8</v>
      </c>
    </row>
    <row r="1549" spans="6:42" x14ac:dyDescent="0.2">
      <c r="F1549" s="1"/>
      <c r="G1549" s="3"/>
      <c r="H1549" s="8"/>
      <c r="N1549" s="1"/>
      <c r="V1549" s="1"/>
      <c r="AD1549" s="1"/>
      <c r="AJ1549" s="6">
        <f t="shared" si="209"/>
        <v>1000</v>
      </c>
      <c r="AK1549">
        <v>1532</v>
      </c>
      <c r="AM1549" s="2" t="str">
        <f t="shared" si="213"/>
        <v>0</v>
      </c>
      <c r="AN1549" s="2" t="str">
        <f t="shared" si="211"/>
        <v>3E8</v>
      </c>
      <c r="AO1549" s="2"/>
      <c r="AP1549" s="2" t="str">
        <f t="shared" si="212"/>
        <v>03E8</v>
      </c>
    </row>
    <row r="1550" spans="6:42" x14ac:dyDescent="0.2">
      <c r="F1550" s="1"/>
      <c r="G1550" s="3"/>
      <c r="H1550" s="8"/>
      <c r="N1550" s="1"/>
      <c r="V1550" s="1"/>
      <c r="AD1550" s="1"/>
      <c r="AJ1550" s="6">
        <f t="shared" si="209"/>
        <v>1000</v>
      </c>
      <c r="AK1550">
        <v>1533</v>
      </c>
      <c r="AM1550" s="2" t="str">
        <f t="shared" si="213"/>
        <v>0</v>
      </c>
      <c r="AN1550" s="2" t="str">
        <f t="shared" si="211"/>
        <v>3E8</v>
      </c>
      <c r="AO1550" s="2"/>
      <c r="AP1550" s="2" t="str">
        <f t="shared" si="212"/>
        <v>03E8</v>
      </c>
    </row>
    <row r="1551" spans="6:42" x14ac:dyDescent="0.2">
      <c r="F1551" s="1"/>
      <c r="G1551" s="3"/>
      <c r="H1551" s="8"/>
      <c r="N1551" s="1"/>
      <c r="V1551" s="1"/>
      <c r="AD1551" s="1"/>
      <c r="AJ1551" s="6">
        <f t="shared" si="209"/>
        <v>1000</v>
      </c>
      <c r="AK1551">
        <v>1534</v>
      </c>
      <c r="AM1551" s="2" t="str">
        <f t="shared" si="213"/>
        <v>0</v>
      </c>
      <c r="AN1551" s="2" t="str">
        <f t="shared" si="211"/>
        <v>3E8</v>
      </c>
      <c r="AO1551" s="2"/>
      <c r="AP1551" s="2" t="str">
        <f t="shared" si="212"/>
        <v>03E8</v>
      </c>
    </row>
    <row r="1552" spans="6:42" x14ac:dyDescent="0.2">
      <c r="F1552" s="1"/>
      <c r="G1552" s="3"/>
      <c r="H1552" s="8"/>
      <c r="N1552" s="1"/>
      <c r="V1552" s="1"/>
      <c r="AD1552" s="1"/>
      <c r="AJ1552" s="6">
        <f t="shared" si="209"/>
        <v>1000</v>
      </c>
      <c r="AK1552">
        <v>1535</v>
      </c>
      <c r="AM1552" s="2" t="str">
        <f t="shared" si="213"/>
        <v>0</v>
      </c>
      <c r="AN1552" s="2" t="str">
        <f t="shared" si="211"/>
        <v>3E8</v>
      </c>
      <c r="AO1552" s="2"/>
      <c r="AP1552" s="2" t="str">
        <f t="shared" si="212"/>
        <v>03E8</v>
      </c>
    </row>
    <row r="1553" spans="6:42" x14ac:dyDescent="0.2">
      <c r="F1553" s="1"/>
      <c r="G1553" s="3"/>
      <c r="H1553" s="8"/>
      <c r="N1553" s="1"/>
      <c r="V1553" s="1"/>
      <c r="AD1553" s="1"/>
      <c r="AJ1553" s="6">
        <f t="shared" si="209"/>
        <v>1000</v>
      </c>
      <c r="AK1553">
        <v>1536</v>
      </c>
      <c r="AM1553" s="2" t="str">
        <f t="shared" si="213"/>
        <v>0</v>
      </c>
      <c r="AN1553" s="2" t="str">
        <f t="shared" si="211"/>
        <v>3E8</v>
      </c>
      <c r="AO1553" s="2"/>
      <c r="AP1553" s="2" t="str">
        <f t="shared" si="212"/>
        <v>03E8</v>
      </c>
    </row>
    <row r="1554" spans="6:42" x14ac:dyDescent="0.2">
      <c r="F1554" s="1"/>
      <c r="G1554" s="3"/>
      <c r="H1554" s="8"/>
      <c r="N1554" s="1"/>
      <c r="V1554" s="1"/>
      <c r="AD1554" s="1"/>
      <c r="AJ1554" s="6">
        <f>ROUNDDOWN(($AE18*$AE$16+$I$6*100)*10,0)</f>
        <v>1000</v>
      </c>
      <c r="AK1554" s="4">
        <v>1537</v>
      </c>
      <c r="AM1554" s="2" t="str">
        <f>BIN2HEX(AA18+10*AB18+100*AC18+1000*AD18,1)</f>
        <v>F</v>
      </c>
      <c r="AN1554" s="2" t="str">
        <f t="shared" si="211"/>
        <v>3E8</v>
      </c>
      <c r="AO1554" s="2"/>
      <c r="AP1554" s="2" t="str">
        <f t="shared" si="212"/>
        <v>F3E8</v>
      </c>
    </row>
    <row r="1555" spans="6:42" x14ac:dyDescent="0.2">
      <c r="F1555" s="1"/>
      <c r="G1555" s="3"/>
      <c r="H1555" s="8"/>
      <c r="N1555" s="1"/>
      <c r="V1555" s="1"/>
      <c r="AD1555" s="1"/>
      <c r="AJ1555" s="6">
        <f t="shared" ref="AJ1555:AJ1618" si="214">ROUNDDOWN(($AE19*$AE$16+$I$6*100)*10,0)</f>
        <v>1000</v>
      </c>
      <c r="AK1555" s="4">
        <v>1538</v>
      </c>
      <c r="AM1555" s="2" t="str">
        <f t="shared" ref="AM1555:AM1618" si="215">BIN2HEX(AA19+10*AB19+100*AC19+1000*AD19,1)</f>
        <v>F</v>
      </c>
      <c r="AN1555" s="2" t="str">
        <f t="shared" si="211"/>
        <v>3E8</v>
      </c>
      <c r="AO1555" s="2"/>
      <c r="AP1555" s="2" t="str">
        <f t="shared" si="212"/>
        <v>F3E8</v>
      </c>
    </row>
    <row r="1556" spans="6:42" x14ac:dyDescent="0.2">
      <c r="F1556" s="1"/>
      <c r="G1556" s="3"/>
      <c r="H1556" s="8"/>
      <c r="N1556" s="1"/>
      <c r="V1556" s="1"/>
      <c r="AD1556" s="1"/>
      <c r="AJ1556" s="6">
        <f t="shared" si="214"/>
        <v>1000</v>
      </c>
      <c r="AK1556" s="4">
        <v>1539</v>
      </c>
      <c r="AM1556" s="2" t="str">
        <f t="shared" si="215"/>
        <v>F</v>
      </c>
      <c r="AN1556" s="2" t="str">
        <f t="shared" si="211"/>
        <v>3E8</v>
      </c>
      <c r="AO1556" s="2"/>
      <c r="AP1556" s="2" t="str">
        <f t="shared" si="212"/>
        <v>F3E8</v>
      </c>
    </row>
    <row r="1557" spans="6:42" x14ac:dyDescent="0.2">
      <c r="F1557" s="1"/>
      <c r="G1557" s="3"/>
      <c r="H1557" s="8"/>
      <c r="N1557" s="1"/>
      <c r="V1557" s="1"/>
      <c r="AD1557" s="1"/>
      <c r="AJ1557" s="6">
        <f t="shared" si="214"/>
        <v>1000</v>
      </c>
      <c r="AK1557" s="4">
        <v>1540</v>
      </c>
      <c r="AM1557" s="2" t="str">
        <f t="shared" si="215"/>
        <v>F</v>
      </c>
      <c r="AN1557" s="2" t="str">
        <f t="shared" si="211"/>
        <v>3E8</v>
      </c>
      <c r="AO1557" s="2"/>
      <c r="AP1557" s="2" t="str">
        <f t="shared" si="212"/>
        <v>F3E8</v>
      </c>
    </row>
    <row r="1558" spans="6:42" x14ac:dyDescent="0.2">
      <c r="F1558" s="1"/>
      <c r="G1558" s="3"/>
      <c r="H1558" s="8"/>
      <c r="N1558" s="1"/>
      <c r="V1558" s="1"/>
      <c r="AD1558" s="1"/>
      <c r="AJ1558" s="6">
        <f t="shared" si="214"/>
        <v>1000</v>
      </c>
      <c r="AK1558" s="4">
        <v>1541</v>
      </c>
      <c r="AM1558" s="2" t="str">
        <f t="shared" si="215"/>
        <v>F</v>
      </c>
      <c r="AN1558" s="2" t="str">
        <f t="shared" si="211"/>
        <v>3E8</v>
      </c>
      <c r="AO1558" s="2"/>
      <c r="AP1558" s="2" t="str">
        <f t="shared" si="212"/>
        <v>F3E8</v>
      </c>
    </row>
    <row r="1559" spans="6:42" x14ac:dyDescent="0.2">
      <c r="F1559" s="1"/>
      <c r="G1559" s="3"/>
      <c r="H1559" s="8"/>
      <c r="N1559" s="1"/>
      <c r="V1559" s="1"/>
      <c r="AD1559" s="1"/>
      <c r="AJ1559" s="6">
        <f t="shared" si="214"/>
        <v>1000</v>
      </c>
      <c r="AK1559" s="4">
        <v>1542</v>
      </c>
      <c r="AM1559" s="2" t="str">
        <f t="shared" si="215"/>
        <v>F</v>
      </c>
      <c r="AN1559" s="2" t="str">
        <f t="shared" si="211"/>
        <v>3E8</v>
      </c>
      <c r="AO1559" s="2"/>
      <c r="AP1559" s="2" t="str">
        <f t="shared" si="212"/>
        <v>F3E8</v>
      </c>
    </row>
    <row r="1560" spans="6:42" x14ac:dyDescent="0.2">
      <c r="F1560" s="1"/>
      <c r="G1560" s="3"/>
      <c r="H1560" s="8"/>
      <c r="N1560" s="1"/>
      <c r="V1560" s="1"/>
      <c r="AD1560" s="1"/>
      <c r="AJ1560" s="6">
        <f t="shared" si="214"/>
        <v>1000</v>
      </c>
      <c r="AK1560" s="4">
        <v>1543</v>
      </c>
      <c r="AM1560" s="2" t="str">
        <f t="shared" si="215"/>
        <v>F</v>
      </c>
      <c r="AN1560" s="2" t="str">
        <f t="shared" si="211"/>
        <v>3E8</v>
      </c>
      <c r="AO1560" s="2"/>
      <c r="AP1560" s="2" t="str">
        <f t="shared" si="212"/>
        <v>F3E8</v>
      </c>
    </row>
    <row r="1561" spans="6:42" x14ac:dyDescent="0.2">
      <c r="F1561" s="1"/>
      <c r="G1561" s="3"/>
      <c r="H1561" s="8"/>
      <c r="N1561" s="1"/>
      <c r="V1561" s="1"/>
      <c r="AD1561" s="1"/>
      <c r="AJ1561" s="6">
        <f t="shared" si="214"/>
        <v>1000</v>
      </c>
      <c r="AK1561" s="4">
        <v>1544</v>
      </c>
      <c r="AM1561" s="2" t="str">
        <f t="shared" si="215"/>
        <v>F</v>
      </c>
      <c r="AN1561" s="2" t="str">
        <f t="shared" si="211"/>
        <v>3E8</v>
      </c>
      <c r="AO1561" s="2"/>
      <c r="AP1561" s="2" t="str">
        <f t="shared" si="212"/>
        <v>F3E8</v>
      </c>
    </row>
    <row r="1562" spans="6:42" x14ac:dyDescent="0.2">
      <c r="F1562" s="1"/>
      <c r="G1562" s="3"/>
      <c r="H1562" s="8"/>
      <c r="N1562" s="1"/>
      <c r="V1562" s="1"/>
      <c r="AD1562" s="1"/>
      <c r="AJ1562" s="6">
        <f t="shared" si="214"/>
        <v>1000</v>
      </c>
      <c r="AK1562" s="4">
        <v>1545</v>
      </c>
      <c r="AM1562" s="2" t="str">
        <f t="shared" si="215"/>
        <v>F</v>
      </c>
      <c r="AN1562" s="2" t="str">
        <f t="shared" si="211"/>
        <v>3E8</v>
      </c>
      <c r="AO1562" s="2"/>
      <c r="AP1562" s="2" t="str">
        <f t="shared" si="212"/>
        <v>F3E8</v>
      </c>
    </row>
    <row r="1563" spans="6:42" x14ac:dyDescent="0.2">
      <c r="F1563" s="1"/>
      <c r="G1563" s="3"/>
      <c r="H1563" s="8"/>
      <c r="N1563" s="1"/>
      <c r="V1563" s="1"/>
      <c r="AD1563" s="1"/>
      <c r="AJ1563" s="6">
        <f t="shared" si="214"/>
        <v>1000</v>
      </c>
      <c r="AK1563" s="4">
        <v>1546</v>
      </c>
      <c r="AM1563" s="2" t="str">
        <f t="shared" si="215"/>
        <v>F</v>
      </c>
      <c r="AN1563" s="2" t="str">
        <f t="shared" si="211"/>
        <v>3E8</v>
      </c>
      <c r="AO1563" s="2"/>
      <c r="AP1563" s="2" t="str">
        <f t="shared" si="212"/>
        <v>F3E8</v>
      </c>
    </row>
    <row r="1564" spans="6:42" x14ac:dyDescent="0.2">
      <c r="F1564" s="1"/>
      <c r="G1564" s="3"/>
      <c r="H1564" s="8"/>
      <c r="N1564" s="1"/>
      <c r="V1564" s="1"/>
      <c r="AD1564" s="1"/>
      <c r="AJ1564" s="6">
        <f t="shared" si="214"/>
        <v>1000</v>
      </c>
      <c r="AK1564" s="4">
        <v>1547</v>
      </c>
      <c r="AM1564" s="2" t="str">
        <f t="shared" si="215"/>
        <v>F</v>
      </c>
      <c r="AN1564" s="2" t="str">
        <f t="shared" si="211"/>
        <v>3E8</v>
      </c>
      <c r="AO1564" s="2"/>
      <c r="AP1564" s="2" t="str">
        <f t="shared" si="212"/>
        <v>F3E8</v>
      </c>
    </row>
    <row r="1565" spans="6:42" x14ac:dyDescent="0.2">
      <c r="F1565" s="1"/>
      <c r="G1565" s="3"/>
      <c r="H1565" s="8"/>
      <c r="N1565" s="1"/>
      <c r="V1565" s="1"/>
      <c r="AD1565" s="1"/>
      <c r="AJ1565" s="6">
        <f t="shared" si="214"/>
        <v>1000</v>
      </c>
      <c r="AK1565" s="4">
        <v>1548</v>
      </c>
      <c r="AM1565" s="2" t="str">
        <f t="shared" si="215"/>
        <v>C</v>
      </c>
      <c r="AN1565" s="2" t="str">
        <f t="shared" si="211"/>
        <v>3E8</v>
      </c>
      <c r="AO1565" s="2"/>
      <c r="AP1565" s="2" t="str">
        <f t="shared" si="212"/>
        <v>C3E8</v>
      </c>
    </row>
    <row r="1566" spans="6:42" x14ac:dyDescent="0.2">
      <c r="F1566" s="1"/>
      <c r="G1566" s="3"/>
      <c r="H1566" s="8"/>
      <c r="N1566" s="1"/>
      <c r="V1566" s="1"/>
      <c r="AD1566" s="1"/>
      <c r="AJ1566" s="6">
        <f t="shared" si="214"/>
        <v>1000</v>
      </c>
      <c r="AK1566" s="4">
        <v>1549</v>
      </c>
      <c r="AM1566" s="2" t="str">
        <f t="shared" si="215"/>
        <v>C</v>
      </c>
      <c r="AN1566" s="2" t="str">
        <f t="shared" si="211"/>
        <v>3E8</v>
      </c>
      <c r="AO1566" s="2"/>
      <c r="AP1566" s="2" t="str">
        <f t="shared" si="212"/>
        <v>C3E8</v>
      </c>
    </row>
    <row r="1567" spans="6:42" x14ac:dyDescent="0.2">
      <c r="F1567" s="1"/>
      <c r="G1567" s="3"/>
      <c r="H1567" s="8"/>
      <c r="N1567" s="1"/>
      <c r="V1567" s="1"/>
      <c r="AD1567" s="1"/>
      <c r="AJ1567" s="6">
        <f t="shared" si="214"/>
        <v>1000</v>
      </c>
      <c r="AK1567" s="4">
        <v>1550</v>
      </c>
      <c r="AM1567" s="2" t="str">
        <f t="shared" si="215"/>
        <v>C</v>
      </c>
      <c r="AN1567" s="2" t="str">
        <f t="shared" si="211"/>
        <v>3E8</v>
      </c>
      <c r="AO1567" s="2"/>
      <c r="AP1567" s="2" t="str">
        <f t="shared" si="212"/>
        <v>C3E8</v>
      </c>
    </row>
    <row r="1568" spans="6:42" x14ac:dyDescent="0.2">
      <c r="F1568" s="1"/>
      <c r="G1568" s="3"/>
      <c r="H1568" s="8"/>
      <c r="N1568" s="1"/>
      <c r="V1568" s="1"/>
      <c r="AD1568" s="1"/>
      <c r="AJ1568" s="6">
        <f t="shared" si="214"/>
        <v>1000</v>
      </c>
      <c r="AK1568" s="4">
        <v>1551</v>
      </c>
      <c r="AM1568" s="2" t="str">
        <f t="shared" si="215"/>
        <v>C</v>
      </c>
      <c r="AN1568" s="2" t="str">
        <f t="shared" ref="AN1568:AN1631" si="216">DEC2HEX(AJ1568,3)</f>
        <v>3E8</v>
      </c>
      <c r="AO1568" s="2"/>
      <c r="AP1568" s="2" t="str">
        <f t="shared" ref="AP1568:AP1631" si="217">CONCATENATE(AM1568,AN1568)</f>
        <v>C3E8</v>
      </c>
    </row>
    <row r="1569" spans="6:42" x14ac:dyDescent="0.2">
      <c r="F1569" s="1"/>
      <c r="G1569" s="3"/>
      <c r="H1569" s="8"/>
      <c r="N1569" s="1"/>
      <c r="V1569" s="1"/>
      <c r="AD1569" s="1"/>
      <c r="AJ1569" s="6">
        <f t="shared" si="214"/>
        <v>1000</v>
      </c>
      <c r="AK1569" s="4">
        <v>1552</v>
      </c>
      <c r="AM1569" s="2" t="str">
        <f t="shared" si="215"/>
        <v>C</v>
      </c>
      <c r="AN1569" s="2" t="str">
        <f t="shared" si="216"/>
        <v>3E8</v>
      </c>
      <c r="AO1569" s="2"/>
      <c r="AP1569" s="2" t="str">
        <f t="shared" si="217"/>
        <v>C3E8</v>
      </c>
    </row>
    <row r="1570" spans="6:42" x14ac:dyDescent="0.2">
      <c r="F1570" s="1"/>
      <c r="G1570" s="3"/>
      <c r="H1570" s="8"/>
      <c r="N1570" s="1"/>
      <c r="V1570" s="1"/>
      <c r="AD1570" s="1"/>
      <c r="AJ1570" s="6">
        <f t="shared" si="214"/>
        <v>1000</v>
      </c>
      <c r="AK1570" s="4">
        <v>1553</v>
      </c>
      <c r="AM1570" s="2" t="str">
        <f t="shared" si="215"/>
        <v>C</v>
      </c>
      <c r="AN1570" s="2" t="str">
        <f t="shared" si="216"/>
        <v>3E8</v>
      </c>
      <c r="AO1570" s="2"/>
      <c r="AP1570" s="2" t="str">
        <f t="shared" si="217"/>
        <v>C3E8</v>
      </c>
    </row>
    <row r="1571" spans="6:42" x14ac:dyDescent="0.2">
      <c r="F1571" s="1"/>
      <c r="G1571" s="3"/>
      <c r="H1571" s="8"/>
      <c r="N1571" s="1"/>
      <c r="V1571" s="1"/>
      <c r="AD1571" s="1"/>
      <c r="AJ1571" s="6">
        <f t="shared" si="214"/>
        <v>1000</v>
      </c>
      <c r="AK1571" s="4">
        <v>1554</v>
      </c>
      <c r="AM1571" s="2" t="str">
        <f t="shared" si="215"/>
        <v>C</v>
      </c>
      <c r="AN1571" s="2" t="str">
        <f t="shared" si="216"/>
        <v>3E8</v>
      </c>
      <c r="AO1571" s="2"/>
      <c r="AP1571" s="2" t="str">
        <f t="shared" si="217"/>
        <v>C3E8</v>
      </c>
    </row>
    <row r="1572" spans="6:42" x14ac:dyDescent="0.2">
      <c r="F1572" s="1"/>
      <c r="G1572" s="3"/>
      <c r="H1572" s="8"/>
      <c r="N1572" s="1"/>
      <c r="V1572" s="1"/>
      <c r="AD1572" s="1"/>
      <c r="AJ1572" s="6">
        <f t="shared" si="214"/>
        <v>1000</v>
      </c>
      <c r="AK1572" s="4">
        <v>1555</v>
      </c>
      <c r="AM1572" s="2" t="str">
        <f t="shared" si="215"/>
        <v>C</v>
      </c>
      <c r="AN1572" s="2" t="str">
        <f t="shared" si="216"/>
        <v>3E8</v>
      </c>
      <c r="AO1572" s="2"/>
      <c r="AP1572" s="2" t="str">
        <f t="shared" si="217"/>
        <v>C3E8</v>
      </c>
    </row>
    <row r="1573" spans="6:42" x14ac:dyDescent="0.2">
      <c r="F1573" s="1"/>
      <c r="G1573" s="3"/>
      <c r="H1573" s="8"/>
      <c r="N1573" s="1"/>
      <c r="V1573" s="1"/>
      <c r="AD1573" s="1"/>
      <c r="AJ1573" s="6">
        <f t="shared" si="214"/>
        <v>1000</v>
      </c>
      <c r="AK1573" s="4">
        <v>1556</v>
      </c>
      <c r="AM1573" s="2" t="str">
        <f t="shared" si="215"/>
        <v>C</v>
      </c>
      <c r="AN1573" s="2" t="str">
        <f t="shared" si="216"/>
        <v>3E8</v>
      </c>
      <c r="AO1573" s="2"/>
      <c r="AP1573" s="2" t="str">
        <f t="shared" si="217"/>
        <v>C3E8</v>
      </c>
    </row>
    <row r="1574" spans="6:42" x14ac:dyDescent="0.2">
      <c r="F1574" s="1"/>
      <c r="G1574" s="3"/>
      <c r="H1574" s="8"/>
      <c r="N1574" s="1"/>
      <c r="V1574" s="1"/>
      <c r="AD1574" s="1"/>
      <c r="AJ1574" s="6">
        <f t="shared" si="214"/>
        <v>1000</v>
      </c>
      <c r="AK1574" s="4">
        <v>1557</v>
      </c>
      <c r="AM1574" s="2" t="str">
        <f t="shared" si="215"/>
        <v>C</v>
      </c>
      <c r="AN1574" s="2" t="str">
        <f t="shared" si="216"/>
        <v>3E8</v>
      </c>
      <c r="AO1574" s="2"/>
      <c r="AP1574" s="2" t="str">
        <f t="shared" si="217"/>
        <v>C3E8</v>
      </c>
    </row>
    <row r="1575" spans="6:42" x14ac:dyDescent="0.2">
      <c r="F1575" s="1"/>
      <c r="G1575" s="3"/>
      <c r="H1575" s="8"/>
      <c r="N1575" s="1"/>
      <c r="V1575" s="1"/>
      <c r="AD1575" s="1"/>
      <c r="AJ1575" s="6">
        <f t="shared" si="214"/>
        <v>960</v>
      </c>
      <c r="AK1575" s="4">
        <v>1558</v>
      </c>
      <c r="AM1575" s="2" t="str">
        <f t="shared" si="215"/>
        <v>C</v>
      </c>
      <c r="AN1575" s="2" t="str">
        <f t="shared" si="216"/>
        <v>3C0</v>
      </c>
      <c r="AO1575" s="2"/>
      <c r="AP1575" s="2" t="str">
        <f t="shared" si="217"/>
        <v>C3C0</v>
      </c>
    </row>
    <row r="1576" spans="6:42" x14ac:dyDescent="0.2">
      <c r="F1576" s="1"/>
      <c r="G1576" s="3"/>
      <c r="H1576" s="8"/>
      <c r="N1576" s="1"/>
      <c r="V1576" s="1"/>
      <c r="AD1576" s="1"/>
      <c r="AJ1576" s="6">
        <f t="shared" si="214"/>
        <v>920</v>
      </c>
      <c r="AK1576" s="4">
        <v>1559</v>
      </c>
      <c r="AM1576" s="2" t="str">
        <f t="shared" si="215"/>
        <v>C</v>
      </c>
      <c r="AN1576" s="2" t="str">
        <f t="shared" si="216"/>
        <v>398</v>
      </c>
      <c r="AO1576" s="2"/>
      <c r="AP1576" s="2" t="str">
        <f t="shared" si="217"/>
        <v>C398</v>
      </c>
    </row>
    <row r="1577" spans="6:42" x14ac:dyDescent="0.2">
      <c r="F1577" s="1"/>
      <c r="G1577" s="3"/>
      <c r="H1577" s="8"/>
      <c r="N1577" s="1"/>
      <c r="V1577" s="1"/>
      <c r="AD1577" s="1"/>
      <c r="AJ1577" s="6">
        <f t="shared" si="214"/>
        <v>880</v>
      </c>
      <c r="AK1577" s="4">
        <v>1560</v>
      </c>
      <c r="AM1577" s="2" t="str">
        <f t="shared" si="215"/>
        <v>C</v>
      </c>
      <c r="AN1577" s="2" t="str">
        <f t="shared" si="216"/>
        <v>370</v>
      </c>
      <c r="AO1577" s="2"/>
      <c r="AP1577" s="2" t="str">
        <f t="shared" si="217"/>
        <v>C370</v>
      </c>
    </row>
    <row r="1578" spans="6:42" x14ac:dyDescent="0.2">
      <c r="F1578" s="1"/>
      <c r="G1578" s="3"/>
      <c r="H1578" s="8"/>
      <c r="N1578" s="1"/>
      <c r="V1578" s="1"/>
      <c r="AD1578" s="1"/>
      <c r="AJ1578" s="6">
        <f t="shared" si="214"/>
        <v>840</v>
      </c>
      <c r="AK1578" s="4">
        <v>1561</v>
      </c>
      <c r="AM1578" s="2" t="str">
        <f t="shared" si="215"/>
        <v>C</v>
      </c>
      <c r="AN1578" s="2" t="str">
        <f t="shared" si="216"/>
        <v>348</v>
      </c>
      <c r="AO1578" s="2"/>
      <c r="AP1578" s="2" t="str">
        <f t="shared" si="217"/>
        <v>C348</v>
      </c>
    </row>
    <row r="1579" spans="6:42" x14ac:dyDescent="0.2">
      <c r="F1579" s="1"/>
      <c r="G1579" s="3"/>
      <c r="H1579" s="8"/>
      <c r="N1579" s="1"/>
      <c r="V1579" s="1"/>
      <c r="AD1579" s="1"/>
      <c r="AJ1579" s="6">
        <f t="shared" si="214"/>
        <v>800</v>
      </c>
      <c r="AK1579" s="4">
        <v>1562</v>
      </c>
      <c r="AM1579" s="2" t="str">
        <f t="shared" si="215"/>
        <v>C</v>
      </c>
      <c r="AN1579" s="2" t="str">
        <f t="shared" si="216"/>
        <v>320</v>
      </c>
      <c r="AO1579" s="2"/>
      <c r="AP1579" s="2" t="str">
        <f t="shared" si="217"/>
        <v>C320</v>
      </c>
    </row>
    <row r="1580" spans="6:42" x14ac:dyDescent="0.2">
      <c r="F1580" s="1"/>
      <c r="G1580" s="3"/>
      <c r="H1580" s="8"/>
      <c r="N1580" s="1"/>
      <c r="V1580" s="1"/>
      <c r="AD1580" s="1"/>
      <c r="AJ1580" s="6">
        <f t="shared" si="214"/>
        <v>760</v>
      </c>
      <c r="AK1580" s="4">
        <v>1563</v>
      </c>
      <c r="AM1580" s="2" t="str">
        <f t="shared" si="215"/>
        <v>C</v>
      </c>
      <c r="AN1580" s="2" t="str">
        <f t="shared" si="216"/>
        <v>2F8</v>
      </c>
      <c r="AO1580" s="2"/>
      <c r="AP1580" s="2" t="str">
        <f t="shared" si="217"/>
        <v>C2F8</v>
      </c>
    </row>
    <row r="1581" spans="6:42" x14ac:dyDescent="0.2">
      <c r="F1581" s="1"/>
      <c r="G1581" s="3"/>
      <c r="H1581" s="8"/>
      <c r="N1581" s="1"/>
      <c r="V1581" s="1"/>
      <c r="AD1581" s="1"/>
      <c r="AJ1581" s="6">
        <f t="shared" si="214"/>
        <v>720</v>
      </c>
      <c r="AK1581" s="4">
        <v>1564</v>
      </c>
      <c r="AM1581" s="2" t="str">
        <f t="shared" si="215"/>
        <v>C</v>
      </c>
      <c r="AN1581" s="2" t="str">
        <f t="shared" si="216"/>
        <v>2D0</v>
      </c>
      <c r="AO1581" s="2"/>
      <c r="AP1581" s="2" t="str">
        <f t="shared" si="217"/>
        <v>C2D0</v>
      </c>
    </row>
    <row r="1582" spans="6:42" x14ac:dyDescent="0.2">
      <c r="F1582" s="1"/>
      <c r="G1582" s="3"/>
      <c r="H1582" s="8"/>
      <c r="N1582" s="1"/>
      <c r="V1582" s="1"/>
      <c r="AD1582" s="1"/>
      <c r="AJ1582" s="6">
        <f t="shared" si="214"/>
        <v>680</v>
      </c>
      <c r="AK1582" s="4">
        <v>1565</v>
      </c>
      <c r="AM1582" s="2" t="str">
        <f t="shared" si="215"/>
        <v>C</v>
      </c>
      <c r="AN1582" s="2" t="str">
        <f t="shared" si="216"/>
        <v>2A8</v>
      </c>
      <c r="AO1582" s="2"/>
      <c r="AP1582" s="2" t="str">
        <f t="shared" si="217"/>
        <v>C2A8</v>
      </c>
    </row>
    <row r="1583" spans="6:42" x14ac:dyDescent="0.2">
      <c r="F1583" s="1"/>
      <c r="G1583" s="3"/>
      <c r="H1583" s="8"/>
      <c r="N1583" s="1"/>
      <c r="V1583" s="1"/>
      <c r="AD1583" s="1"/>
      <c r="AJ1583" s="6">
        <f t="shared" si="214"/>
        <v>640</v>
      </c>
      <c r="AK1583" s="4">
        <v>1566</v>
      </c>
      <c r="AM1583" s="2" t="str">
        <f t="shared" si="215"/>
        <v>C</v>
      </c>
      <c r="AN1583" s="2" t="str">
        <f t="shared" si="216"/>
        <v>280</v>
      </c>
      <c r="AO1583" s="2"/>
      <c r="AP1583" s="2" t="str">
        <f t="shared" si="217"/>
        <v>C280</v>
      </c>
    </row>
    <row r="1584" spans="6:42" x14ac:dyDescent="0.2">
      <c r="F1584" s="1"/>
      <c r="G1584" s="3"/>
      <c r="H1584" s="8"/>
      <c r="N1584" s="1"/>
      <c r="V1584" s="1"/>
      <c r="AD1584" s="1"/>
      <c r="AJ1584" s="6">
        <f t="shared" si="214"/>
        <v>600</v>
      </c>
      <c r="AK1584" s="4">
        <v>1567</v>
      </c>
      <c r="AM1584" s="2" t="str">
        <f t="shared" si="215"/>
        <v>C</v>
      </c>
      <c r="AN1584" s="2" t="str">
        <f t="shared" si="216"/>
        <v>258</v>
      </c>
      <c r="AO1584" s="2"/>
      <c r="AP1584" s="2" t="str">
        <f t="shared" si="217"/>
        <v>C258</v>
      </c>
    </row>
    <row r="1585" spans="6:42" x14ac:dyDescent="0.2">
      <c r="F1585" s="1"/>
      <c r="G1585" s="3"/>
      <c r="H1585" s="8"/>
      <c r="N1585" s="1"/>
      <c r="V1585" s="1"/>
      <c r="AD1585" s="1"/>
      <c r="AJ1585" s="6">
        <f t="shared" si="214"/>
        <v>560</v>
      </c>
      <c r="AK1585" s="4">
        <v>1568</v>
      </c>
      <c r="AM1585" s="2" t="str">
        <f t="shared" si="215"/>
        <v>C</v>
      </c>
      <c r="AN1585" s="2" t="str">
        <f t="shared" si="216"/>
        <v>230</v>
      </c>
      <c r="AO1585" s="2"/>
      <c r="AP1585" s="2" t="str">
        <f t="shared" si="217"/>
        <v>C230</v>
      </c>
    </row>
    <row r="1586" spans="6:42" x14ac:dyDescent="0.2">
      <c r="F1586" s="1"/>
      <c r="G1586" s="3"/>
      <c r="H1586" s="8"/>
      <c r="N1586" s="1"/>
      <c r="V1586" s="1"/>
      <c r="AD1586" s="1"/>
      <c r="AJ1586" s="6">
        <f t="shared" si="214"/>
        <v>520</v>
      </c>
      <c r="AK1586" s="4">
        <v>1569</v>
      </c>
      <c r="AM1586" s="2" t="str">
        <f t="shared" si="215"/>
        <v>C</v>
      </c>
      <c r="AN1586" s="2" t="str">
        <f t="shared" si="216"/>
        <v>208</v>
      </c>
      <c r="AO1586" s="2"/>
      <c r="AP1586" s="2" t="str">
        <f t="shared" si="217"/>
        <v>C208</v>
      </c>
    </row>
    <row r="1587" spans="6:42" x14ac:dyDescent="0.2">
      <c r="F1587" s="1"/>
      <c r="G1587" s="3"/>
      <c r="H1587" s="8"/>
      <c r="N1587" s="1"/>
      <c r="V1587" s="1"/>
      <c r="AD1587" s="1"/>
      <c r="AJ1587" s="6">
        <f t="shared" si="214"/>
        <v>480</v>
      </c>
      <c r="AK1587" s="4">
        <v>1570</v>
      </c>
      <c r="AM1587" s="2" t="str">
        <f t="shared" si="215"/>
        <v>C</v>
      </c>
      <c r="AN1587" s="2" t="str">
        <f t="shared" si="216"/>
        <v>1E0</v>
      </c>
      <c r="AO1587" s="2"/>
      <c r="AP1587" s="2" t="str">
        <f t="shared" si="217"/>
        <v>C1E0</v>
      </c>
    </row>
    <row r="1588" spans="6:42" x14ac:dyDescent="0.2">
      <c r="F1588" s="1"/>
      <c r="G1588" s="3"/>
      <c r="H1588" s="8"/>
      <c r="N1588" s="1"/>
      <c r="V1588" s="1"/>
      <c r="AD1588" s="1"/>
      <c r="AJ1588" s="6">
        <f t="shared" si="214"/>
        <v>440</v>
      </c>
      <c r="AK1588" s="4">
        <v>1571</v>
      </c>
      <c r="AM1588" s="2" t="str">
        <f t="shared" si="215"/>
        <v>C</v>
      </c>
      <c r="AN1588" s="2" t="str">
        <f t="shared" si="216"/>
        <v>1B8</v>
      </c>
      <c r="AO1588" s="2"/>
      <c r="AP1588" s="2" t="str">
        <f t="shared" si="217"/>
        <v>C1B8</v>
      </c>
    </row>
    <row r="1589" spans="6:42" x14ac:dyDescent="0.2">
      <c r="F1589" s="1"/>
      <c r="G1589" s="3"/>
      <c r="H1589" s="8"/>
      <c r="N1589" s="1"/>
      <c r="V1589" s="1"/>
      <c r="AD1589" s="1"/>
      <c r="AJ1589" s="6">
        <f t="shared" si="214"/>
        <v>400</v>
      </c>
      <c r="AK1589" s="4">
        <v>1572</v>
      </c>
      <c r="AM1589" s="2" t="str">
        <f t="shared" si="215"/>
        <v>C</v>
      </c>
      <c r="AN1589" s="2" t="str">
        <f t="shared" si="216"/>
        <v>190</v>
      </c>
      <c r="AO1589" s="2"/>
      <c r="AP1589" s="2" t="str">
        <f t="shared" si="217"/>
        <v>C190</v>
      </c>
    </row>
    <row r="1590" spans="6:42" x14ac:dyDescent="0.2">
      <c r="F1590" s="1"/>
      <c r="G1590" s="3"/>
      <c r="H1590" s="8"/>
      <c r="N1590" s="1"/>
      <c r="V1590" s="1"/>
      <c r="AD1590" s="1"/>
      <c r="AJ1590" s="6">
        <f t="shared" si="214"/>
        <v>360</v>
      </c>
      <c r="AK1590" s="4">
        <v>1573</v>
      </c>
      <c r="AM1590" s="2" t="str">
        <f t="shared" si="215"/>
        <v>C</v>
      </c>
      <c r="AN1590" s="2" t="str">
        <f t="shared" si="216"/>
        <v>168</v>
      </c>
      <c r="AO1590" s="2"/>
      <c r="AP1590" s="2" t="str">
        <f t="shared" si="217"/>
        <v>C168</v>
      </c>
    </row>
    <row r="1591" spans="6:42" x14ac:dyDescent="0.2">
      <c r="F1591" s="1"/>
      <c r="G1591" s="3"/>
      <c r="H1591" s="8"/>
      <c r="N1591" s="1"/>
      <c r="V1591" s="1"/>
      <c r="AD1591" s="1"/>
      <c r="AJ1591" s="6">
        <f t="shared" si="214"/>
        <v>320</v>
      </c>
      <c r="AK1591" s="4">
        <v>1574</v>
      </c>
      <c r="AM1591" s="2" t="str">
        <f t="shared" si="215"/>
        <v>C</v>
      </c>
      <c r="AN1591" s="2" t="str">
        <f t="shared" si="216"/>
        <v>140</v>
      </c>
      <c r="AO1591" s="2"/>
      <c r="AP1591" s="2" t="str">
        <f t="shared" si="217"/>
        <v>C140</v>
      </c>
    </row>
    <row r="1592" spans="6:42" x14ac:dyDescent="0.2">
      <c r="F1592" s="1"/>
      <c r="G1592" s="3"/>
      <c r="H1592" s="8"/>
      <c r="N1592" s="1"/>
      <c r="V1592" s="1"/>
      <c r="AD1592" s="1"/>
      <c r="AJ1592" s="6">
        <f t="shared" si="214"/>
        <v>280</v>
      </c>
      <c r="AK1592" s="4">
        <v>1575</v>
      </c>
      <c r="AM1592" s="2" t="str">
        <f t="shared" si="215"/>
        <v>C</v>
      </c>
      <c r="AN1592" s="2" t="str">
        <f t="shared" si="216"/>
        <v>118</v>
      </c>
      <c r="AO1592" s="2"/>
      <c r="AP1592" s="2" t="str">
        <f t="shared" si="217"/>
        <v>C118</v>
      </c>
    </row>
    <row r="1593" spans="6:42" x14ac:dyDescent="0.2">
      <c r="F1593" s="1"/>
      <c r="G1593" s="3"/>
      <c r="H1593" s="8"/>
      <c r="N1593" s="1"/>
      <c r="V1593" s="1"/>
      <c r="AD1593" s="1"/>
      <c r="AJ1593" s="6">
        <f t="shared" si="214"/>
        <v>240</v>
      </c>
      <c r="AK1593" s="4">
        <v>1576</v>
      </c>
      <c r="AM1593" s="2" t="str">
        <f t="shared" si="215"/>
        <v>C</v>
      </c>
      <c r="AN1593" s="2" t="str">
        <f t="shared" si="216"/>
        <v>0F0</v>
      </c>
      <c r="AO1593" s="2"/>
      <c r="AP1593" s="2" t="str">
        <f t="shared" si="217"/>
        <v>C0F0</v>
      </c>
    </row>
    <row r="1594" spans="6:42" x14ac:dyDescent="0.2">
      <c r="F1594" s="1"/>
      <c r="G1594" s="3"/>
      <c r="H1594" s="8"/>
      <c r="N1594" s="1"/>
      <c r="V1594" s="1"/>
      <c r="AD1594" s="1"/>
      <c r="AJ1594" s="6">
        <f t="shared" si="214"/>
        <v>200</v>
      </c>
      <c r="AK1594" s="4">
        <v>1577</v>
      </c>
      <c r="AM1594" s="2" t="str">
        <f t="shared" si="215"/>
        <v>C</v>
      </c>
      <c r="AN1594" s="2" t="str">
        <f t="shared" si="216"/>
        <v>0C8</v>
      </c>
      <c r="AO1594" s="2"/>
      <c r="AP1594" s="2" t="str">
        <f t="shared" si="217"/>
        <v>C0C8</v>
      </c>
    </row>
    <row r="1595" spans="6:42" x14ac:dyDescent="0.2">
      <c r="F1595" s="1"/>
      <c r="G1595" s="3"/>
      <c r="H1595" s="8"/>
      <c r="N1595" s="1"/>
      <c r="V1595" s="1"/>
      <c r="AD1595" s="1"/>
      <c r="AJ1595" s="6">
        <f t="shared" si="214"/>
        <v>200</v>
      </c>
      <c r="AK1595" s="4">
        <v>1578</v>
      </c>
      <c r="AM1595" s="2" t="str">
        <f t="shared" si="215"/>
        <v>C</v>
      </c>
      <c r="AN1595" s="2" t="str">
        <f t="shared" si="216"/>
        <v>0C8</v>
      </c>
      <c r="AO1595" s="2"/>
      <c r="AP1595" s="2" t="str">
        <f t="shared" si="217"/>
        <v>C0C8</v>
      </c>
    </row>
    <row r="1596" spans="6:42" x14ac:dyDescent="0.2">
      <c r="F1596" s="1"/>
      <c r="G1596" s="3"/>
      <c r="H1596" s="8"/>
      <c r="N1596" s="1"/>
      <c r="V1596" s="1"/>
      <c r="AD1596" s="1"/>
      <c r="AJ1596" s="6">
        <f t="shared" si="214"/>
        <v>200</v>
      </c>
      <c r="AK1596" s="4">
        <v>1579</v>
      </c>
      <c r="AM1596" s="2" t="str">
        <f t="shared" si="215"/>
        <v>C</v>
      </c>
      <c r="AN1596" s="2" t="str">
        <f t="shared" si="216"/>
        <v>0C8</v>
      </c>
      <c r="AO1596" s="2"/>
      <c r="AP1596" s="2" t="str">
        <f t="shared" si="217"/>
        <v>C0C8</v>
      </c>
    </row>
    <row r="1597" spans="6:42" x14ac:dyDescent="0.2">
      <c r="F1597" s="1"/>
      <c r="G1597" s="3"/>
      <c r="H1597" s="8"/>
      <c r="N1597" s="1"/>
      <c r="V1597" s="1"/>
      <c r="AD1597" s="1"/>
      <c r="AJ1597" s="6">
        <f t="shared" si="214"/>
        <v>200</v>
      </c>
      <c r="AK1597" s="4">
        <v>1580</v>
      </c>
      <c r="AM1597" s="2" t="str">
        <f t="shared" si="215"/>
        <v>C</v>
      </c>
      <c r="AN1597" s="2" t="str">
        <f t="shared" si="216"/>
        <v>0C8</v>
      </c>
      <c r="AO1597" s="2"/>
      <c r="AP1597" s="2" t="str">
        <f t="shared" si="217"/>
        <v>C0C8</v>
      </c>
    </row>
    <row r="1598" spans="6:42" x14ac:dyDescent="0.2">
      <c r="F1598" s="1"/>
      <c r="G1598" s="3"/>
      <c r="H1598" s="8"/>
      <c r="N1598" s="1"/>
      <c r="V1598" s="1"/>
      <c r="AD1598" s="1"/>
      <c r="AJ1598" s="6">
        <f t="shared" si="214"/>
        <v>200</v>
      </c>
      <c r="AK1598" s="4">
        <v>1581</v>
      </c>
      <c r="AM1598" s="2" t="str">
        <f t="shared" si="215"/>
        <v>C</v>
      </c>
      <c r="AN1598" s="2" t="str">
        <f t="shared" si="216"/>
        <v>0C8</v>
      </c>
      <c r="AO1598" s="2"/>
      <c r="AP1598" s="2" t="str">
        <f t="shared" si="217"/>
        <v>C0C8</v>
      </c>
    </row>
    <row r="1599" spans="6:42" x14ac:dyDescent="0.2">
      <c r="F1599" s="1"/>
      <c r="G1599" s="3"/>
      <c r="H1599" s="8"/>
      <c r="N1599" s="1"/>
      <c r="V1599" s="1"/>
      <c r="AD1599" s="1"/>
      <c r="AJ1599" s="6">
        <f t="shared" si="214"/>
        <v>200</v>
      </c>
      <c r="AK1599" s="4">
        <v>1582</v>
      </c>
      <c r="AM1599" s="2" t="str">
        <f t="shared" si="215"/>
        <v>C</v>
      </c>
      <c r="AN1599" s="2" t="str">
        <f t="shared" si="216"/>
        <v>0C8</v>
      </c>
      <c r="AO1599" s="2"/>
      <c r="AP1599" s="2" t="str">
        <f t="shared" si="217"/>
        <v>C0C8</v>
      </c>
    </row>
    <row r="1600" spans="6:42" x14ac:dyDescent="0.2">
      <c r="F1600" s="1"/>
      <c r="G1600" s="3"/>
      <c r="H1600" s="8"/>
      <c r="N1600" s="1"/>
      <c r="V1600" s="1"/>
      <c r="AD1600" s="1"/>
      <c r="AJ1600" s="6">
        <f t="shared" si="214"/>
        <v>200</v>
      </c>
      <c r="AK1600" s="4">
        <v>1583</v>
      </c>
      <c r="AM1600" s="2" t="str">
        <f t="shared" si="215"/>
        <v>C</v>
      </c>
      <c r="AN1600" s="2" t="str">
        <f t="shared" si="216"/>
        <v>0C8</v>
      </c>
      <c r="AO1600" s="2"/>
      <c r="AP1600" s="2" t="str">
        <f t="shared" si="217"/>
        <v>C0C8</v>
      </c>
    </row>
    <row r="1601" spans="6:42" x14ac:dyDescent="0.2">
      <c r="F1601" s="1"/>
      <c r="G1601" s="3"/>
      <c r="H1601" s="8"/>
      <c r="N1601" s="1"/>
      <c r="V1601" s="1"/>
      <c r="AD1601" s="1"/>
      <c r="AJ1601" s="6">
        <f t="shared" si="214"/>
        <v>200</v>
      </c>
      <c r="AK1601" s="4">
        <v>1584</v>
      </c>
      <c r="AM1601" s="2" t="str">
        <f t="shared" si="215"/>
        <v>C</v>
      </c>
      <c r="AN1601" s="2" t="str">
        <f t="shared" si="216"/>
        <v>0C8</v>
      </c>
      <c r="AO1601" s="2"/>
      <c r="AP1601" s="2" t="str">
        <f t="shared" si="217"/>
        <v>C0C8</v>
      </c>
    </row>
    <row r="1602" spans="6:42" x14ac:dyDescent="0.2">
      <c r="F1602" s="1"/>
      <c r="G1602" s="3"/>
      <c r="H1602" s="8"/>
      <c r="N1602" s="1"/>
      <c r="V1602" s="1"/>
      <c r="AD1602" s="1"/>
      <c r="AJ1602" s="6">
        <f t="shared" si="214"/>
        <v>200</v>
      </c>
      <c r="AK1602" s="4">
        <v>1585</v>
      </c>
      <c r="AM1602" s="2" t="str">
        <f t="shared" si="215"/>
        <v>C</v>
      </c>
      <c r="AN1602" s="2" t="str">
        <f t="shared" si="216"/>
        <v>0C8</v>
      </c>
      <c r="AO1602" s="2"/>
      <c r="AP1602" s="2" t="str">
        <f t="shared" si="217"/>
        <v>C0C8</v>
      </c>
    </row>
    <row r="1603" spans="6:42" x14ac:dyDescent="0.2">
      <c r="F1603" s="1"/>
      <c r="G1603" s="3"/>
      <c r="H1603" s="8"/>
      <c r="N1603" s="1"/>
      <c r="V1603" s="1"/>
      <c r="AD1603" s="1"/>
      <c r="AJ1603" s="6">
        <f t="shared" si="214"/>
        <v>200</v>
      </c>
      <c r="AK1603" s="4">
        <v>1586</v>
      </c>
      <c r="AM1603" s="2" t="str">
        <f t="shared" si="215"/>
        <v>C</v>
      </c>
      <c r="AN1603" s="2" t="str">
        <f t="shared" si="216"/>
        <v>0C8</v>
      </c>
      <c r="AO1603" s="2"/>
      <c r="AP1603" s="2" t="str">
        <f t="shared" si="217"/>
        <v>C0C8</v>
      </c>
    </row>
    <row r="1604" spans="6:42" x14ac:dyDescent="0.2">
      <c r="F1604" s="1"/>
      <c r="G1604" s="3"/>
      <c r="H1604" s="8"/>
      <c r="N1604" s="1"/>
      <c r="V1604" s="1"/>
      <c r="AD1604" s="1"/>
      <c r="AJ1604" s="6">
        <f t="shared" si="214"/>
        <v>200</v>
      </c>
      <c r="AK1604" s="4">
        <v>1587</v>
      </c>
      <c r="AM1604" s="2" t="str">
        <f t="shared" si="215"/>
        <v>C</v>
      </c>
      <c r="AN1604" s="2" t="str">
        <f t="shared" si="216"/>
        <v>0C8</v>
      </c>
      <c r="AO1604" s="2"/>
      <c r="AP1604" s="2" t="str">
        <f t="shared" si="217"/>
        <v>C0C8</v>
      </c>
    </row>
    <row r="1605" spans="6:42" x14ac:dyDescent="0.2">
      <c r="F1605" s="1"/>
      <c r="G1605" s="3"/>
      <c r="H1605" s="8"/>
      <c r="N1605" s="1"/>
      <c r="V1605" s="1"/>
      <c r="AD1605" s="1"/>
      <c r="AJ1605" s="6">
        <f t="shared" si="214"/>
        <v>200</v>
      </c>
      <c r="AK1605" s="4">
        <v>1588</v>
      </c>
      <c r="AM1605" s="2" t="str">
        <f t="shared" si="215"/>
        <v>C</v>
      </c>
      <c r="AN1605" s="2" t="str">
        <f t="shared" si="216"/>
        <v>0C8</v>
      </c>
      <c r="AO1605" s="2"/>
      <c r="AP1605" s="2" t="str">
        <f t="shared" si="217"/>
        <v>C0C8</v>
      </c>
    </row>
    <row r="1606" spans="6:42" x14ac:dyDescent="0.2">
      <c r="F1606" s="1"/>
      <c r="G1606" s="3"/>
      <c r="H1606" s="8"/>
      <c r="N1606" s="1"/>
      <c r="V1606" s="1"/>
      <c r="AD1606" s="1"/>
      <c r="AJ1606" s="6">
        <f t="shared" si="214"/>
        <v>200</v>
      </c>
      <c r="AK1606" s="4">
        <v>1589</v>
      </c>
      <c r="AM1606" s="2" t="str">
        <f t="shared" si="215"/>
        <v>C</v>
      </c>
      <c r="AN1606" s="2" t="str">
        <f t="shared" si="216"/>
        <v>0C8</v>
      </c>
      <c r="AO1606" s="2"/>
      <c r="AP1606" s="2" t="str">
        <f t="shared" si="217"/>
        <v>C0C8</v>
      </c>
    </row>
    <row r="1607" spans="6:42" x14ac:dyDescent="0.2">
      <c r="F1607" s="1"/>
      <c r="G1607" s="3"/>
      <c r="H1607" s="8"/>
      <c r="N1607" s="1"/>
      <c r="V1607" s="1"/>
      <c r="AD1607" s="1"/>
      <c r="AJ1607" s="6">
        <f t="shared" si="214"/>
        <v>200</v>
      </c>
      <c r="AK1607" s="4">
        <v>1590</v>
      </c>
      <c r="AM1607" s="2" t="str">
        <f t="shared" si="215"/>
        <v>C</v>
      </c>
      <c r="AN1607" s="2" t="str">
        <f t="shared" si="216"/>
        <v>0C8</v>
      </c>
      <c r="AO1607" s="2"/>
      <c r="AP1607" s="2" t="str">
        <f t="shared" si="217"/>
        <v>C0C8</v>
      </c>
    </row>
    <row r="1608" spans="6:42" x14ac:dyDescent="0.2">
      <c r="F1608" s="1"/>
      <c r="G1608" s="3"/>
      <c r="H1608" s="8"/>
      <c r="N1608" s="1"/>
      <c r="V1608" s="1"/>
      <c r="AD1608" s="1"/>
      <c r="AJ1608" s="6">
        <f t="shared" si="214"/>
        <v>200</v>
      </c>
      <c r="AK1608" s="4">
        <v>1591</v>
      </c>
      <c r="AM1608" s="2" t="str">
        <f t="shared" si="215"/>
        <v>C</v>
      </c>
      <c r="AN1608" s="2" t="str">
        <f t="shared" si="216"/>
        <v>0C8</v>
      </c>
      <c r="AO1608" s="2"/>
      <c r="AP1608" s="2" t="str">
        <f t="shared" si="217"/>
        <v>C0C8</v>
      </c>
    </row>
    <row r="1609" spans="6:42" x14ac:dyDescent="0.2">
      <c r="F1609" s="1"/>
      <c r="G1609" s="3"/>
      <c r="H1609" s="8"/>
      <c r="N1609" s="1"/>
      <c r="V1609" s="1"/>
      <c r="AD1609" s="1"/>
      <c r="AJ1609" s="6">
        <f t="shared" si="214"/>
        <v>200</v>
      </c>
      <c r="AK1609" s="4">
        <v>1592</v>
      </c>
      <c r="AM1609" s="2" t="str">
        <f t="shared" si="215"/>
        <v>C</v>
      </c>
      <c r="AN1609" s="2" t="str">
        <f t="shared" si="216"/>
        <v>0C8</v>
      </c>
      <c r="AO1609" s="2"/>
      <c r="AP1609" s="2" t="str">
        <f t="shared" si="217"/>
        <v>C0C8</v>
      </c>
    </row>
    <row r="1610" spans="6:42" x14ac:dyDescent="0.2">
      <c r="F1610" s="1"/>
      <c r="G1610" s="3"/>
      <c r="H1610" s="8"/>
      <c r="N1610" s="1"/>
      <c r="V1610" s="1"/>
      <c r="AD1610" s="1"/>
      <c r="AJ1610" s="6">
        <f t="shared" si="214"/>
        <v>200</v>
      </c>
      <c r="AK1610" s="4">
        <v>1593</v>
      </c>
      <c r="AM1610" s="2" t="str">
        <f t="shared" si="215"/>
        <v>C</v>
      </c>
      <c r="AN1610" s="2" t="str">
        <f t="shared" si="216"/>
        <v>0C8</v>
      </c>
      <c r="AO1610" s="2"/>
      <c r="AP1610" s="2" t="str">
        <f t="shared" si="217"/>
        <v>C0C8</v>
      </c>
    </row>
    <row r="1611" spans="6:42" x14ac:dyDescent="0.2">
      <c r="F1611" s="1"/>
      <c r="G1611" s="3"/>
      <c r="H1611" s="8"/>
      <c r="N1611" s="1"/>
      <c r="V1611" s="1"/>
      <c r="AD1611" s="1"/>
      <c r="AJ1611" s="6">
        <f t="shared" si="214"/>
        <v>200</v>
      </c>
      <c r="AK1611" s="4">
        <v>1594</v>
      </c>
      <c r="AM1611" s="2" t="str">
        <f t="shared" si="215"/>
        <v>C</v>
      </c>
      <c r="AN1611" s="2" t="str">
        <f t="shared" si="216"/>
        <v>0C8</v>
      </c>
      <c r="AO1611" s="2"/>
      <c r="AP1611" s="2" t="str">
        <f t="shared" si="217"/>
        <v>C0C8</v>
      </c>
    </row>
    <row r="1612" spans="6:42" x14ac:dyDescent="0.2">
      <c r="F1612" s="1"/>
      <c r="G1612" s="3"/>
      <c r="H1612" s="8"/>
      <c r="N1612" s="1"/>
      <c r="V1612" s="1"/>
      <c r="AD1612" s="1"/>
      <c r="AJ1612" s="6">
        <f t="shared" si="214"/>
        <v>200</v>
      </c>
      <c r="AK1612" s="4">
        <v>1595</v>
      </c>
      <c r="AM1612" s="2" t="str">
        <f t="shared" si="215"/>
        <v>C</v>
      </c>
      <c r="AN1612" s="2" t="str">
        <f t="shared" si="216"/>
        <v>0C8</v>
      </c>
      <c r="AO1612" s="2"/>
      <c r="AP1612" s="2" t="str">
        <f t="shared" si="217"/>
        <v>C0C8</v>
      </c>
    </row>
    <row r="1613" spans="6:42" x14ac:dyDescent="0.2">
      <c r="F1613" s="1"/>
      <c r="G1613" s="3"/>
      <c r="H1613" s="8"/>
      <c r="N1613" s="1"/>
      <c r="V1613" s="1"/>
      <c r="AD1613" s="1"/>
      <c r="AJ1613" s="6">
        <f t="shared" si="214"/>
        <v>200</v>
      </c>
      <c r="AK1613" s="4">
        <v>1596</v>
      </c>
      <c r="AM1613" s="2" t="str">
        <f t="shared" si="215"/>
        <v>C</v>
      </c>
      <c r="AN1613" s="2" t="str">
        <f t="shared" si="216"/>
        <v>0C8</v>
      </c>
      <c r="AO1613" s="2"/>
      <c r="AP1613" s="2" t="str">
        <f t="shared" si="217"/>
        <v>C0C8</v>
      </c>
    </row>
    <row r="1614" spans="6:42" x14ac:dyDescent="0.2">
      <c r="F1614" s="1"/>
      <c r="G1614" s="3"/>
      <c r="H1614" s="8"/>
      <c r="N1614" s="1"/>
      <c r="V1614" s="1"/>
      <c r="AD1614" s="1"/>
      <c r="AJ1614" s="6">
        <f t="shared" si="214"/>
        <v>200</v>
      </c>
      <c r="AK1614" s="4">
        <v>1597</v>
      </c>
      <c r="AM1614" s="2" t="str">
        <f t="shared" si="215"/>
        <v>C</v>
      </c>
      <c r="AN1614" s="2" t="str">
        <f t="shared" si="216"/>
        <v>0C8</v>
      </c>
      <c r="AO1614" s="2"/>
      <c r="AP1614" s="2" t="str">
        <f t="shared" si="217"/>
        <v>C0C8</v>
      </c>
    </row>
    <row r="1615" spans="6:42" x14ac:dyDescent="0.2">
      <c r="F1615" s="1"/>
      <c r="G1615" s="3"/>
      <c r="H1615" s="8"/>
      <c r="N1615" s="1"/>
      <c r="V1615" s="1"/>
      <c r="AD1615" s="1"/>
      <c r="AJ1615" s="6">
        <f t="shared" si="214"/>
        <v>200</v>
      </c>
      <c r="AK1615" s="4">
        <v>1598</v>
      </c>
      <c r="AM1615" s="2" t="str">
        <f t="shared" si="215"/>
        <v>C</v>
      </c>
      <c r="AN1615" s="2" t="str">
        <f t="shared" si="216"/>
        <v>0C8</v>
      </c>
      <c r="AO1615" s="2"/>
      <c r="AP1615" s="2" t="str">
        <f t="shared" si="217"/>
        <v>C0C8</v>
      </c>
    </row>
    <row r="1616" spans="6:42" x14ac:dyDescent="0.2">
      <c r="F1616" s="1"/>
      <c r="G1616" s="3"/>
      <c r="H1616" s="8"/>
      <c r="N1616" s="1"/>
      <c r="V1616" s="1"/>
      <c r="AD1616" s="1"/>
      <c r="AJ1616" s="6">
        <f t="shared" si="214"/>
        <v>200</v>
      </c>
      <c r="AK1616" s="4">
        <v>1599</v>
      </c>
      <c r="AM1616" s="2" t="str">
        <f t="shared" si="215"/>
        <v>C</v>
      </c>
      <c r="AN1616" s="2" t="str">
        <f t="shared" si="216"/>
        <v>0C8</v>
      </c>
      <c r="AO1616" s="2"/>
      <c r="AP1616" s="2" t="str">
        <f t="shared" si="217"/>
        <v>C0C8</v>
      </c>
    </row>
    <row r="1617" spans="6:42" x14ac:dyDescent="0.2">
      <c r="F1617" s="1"/>
      <c r="G1617" s="3"/>
      <c r="H1617" s="8"/>
      <c r="N1617" s="1"/>
      <c r="V1617" s="1"/>
      <c r="AD1617" s="1"/>
      <c r="AJ1617" s="6">
        <f t="shared" si="214"/>
        <v>240</v>
      </c>
      <c r="AK1617" s="4">
        <v>1600</v>
      </c>
      <c r="AM1617" s="2" t="str">
        <f t="shared" si="215"/>
        <v>C</v>
      </c>
      <c r="AN1617" s="2" t="str">
        <f t="shared" si="216"/>
        <v>0F0</v>
      </c>
      <c r="AO1617" s="2"/>
      <c r="AP1617" s="2" t="str">
        <f t="shared" si="217"/>
        <v>C0F0</v>
      </c>
    </row>
    <row r="1618" spans="6:42" x14ac:dyDescent="0.2">
      <c r="F1618" s="1"/>
      <c r="G1618" s="3"/>
      <c r="H1618" s="8"/>
      <c r="N1618" s="1"/>
      <c r="V1618" s="1"/>
      <c r="AD1618" s="1"/>
      <c r="AJ1618" s="6">
        <f t="shared" si="214"/>
        <v>280</v>
      </c>
      <c r="AK1618" s="4">
        <v>1601</v>
      </c>
      <c r="AM1618" s="2" t="str">
        <f t="shared" si="215"/>
        <v>C</v>
      </c>
      <c r="AN1618" s="2" t="str">
        <f t="shared" si="216"/>
        <v>118</v>
      </c>
      <c r="AO1618" s="2"/>
      <c r="AP1618" s="2" t="str">
        <f t="shared" si="217"/>
        <v>C118</v>
      </c>
    </row>
    <row r="1619" spans="6:42" x14ac:dyDescent="0.2">
      <c r="F1619" s="1"/>
      <c r="G1619" s="3"/>
      <c r="H1619" s="8"/>
      <c r="N1619" s="1"/>
      <c r="V1619" s="1"/>
      <c r="AD1619" s="1"/>
      <c r="AJ1619" s="6">
        <f t="shared" ref="AJ1619:AJ1682" si="218">ROUNDDOWN(($AE83*$AE$16+$I$6*100)*10,0)</f>
        <v>320</v>
      </c>
      <c r="AK1619" s="4">
        <v>1602</v>
      </c>
      <c r="AM1619" s="2" t="str">
        <f t="shared" ref="AM1619:AM1682" si="219">BIN2HEX(AA83+10*AB83+100*AC83+1000*AD83,1)</f>
        <v>C</v>
      </c>
      <c r="AN1619" s="2" t="str">
        <f t="shared" si="216"/>
        <v>140</v>
      </c>
      <c r="AO1619" s="2"/>
      <c r="AP1619" s="2" t="str">
        <f t="shared" si="217"/>
        <v>C140</v>
      </c>
    </row>
    <row r="1620" spans="6:42" x14ac:dyDescent="0.2">
      <c r="F1620" s="1"/>
      <c r="G1620" s="3"/>
      <c r="H1620" s="8"/>
      <c r="N1620" s="1"/>
      <c r="V1620" s="1"/>
      <c r="AD1620" s="1"/>
      <c r="AJ1620" s="6">
        <f t="shared" si="218"/>
        <v>360</v>
      </c>
      <c r="AK1620" s="4">
        <v>1603</v>
      </c>
      <c r="AM1620" s="2" t="str">
        <f t="shared" si="219"/>
        <v>C</v>
      </c>
      <c r="AN1620" s="2" t="str">
        <f t="shared" si="216"/>
        <v>168</v>
      </c>
      <c r="AO1620" s="2"/>
      <c r="AP1620" s="2" t="str">
        <f t="shared" si="217"/>
        <v>C168</v>
      </c>
    </row>
    <row r="1621" spans="6:42" x14ac:dyDescent="0.2">
      <c r="F1621" s="1"/>
      <c r="G1621" s="3"/>
      <c r="H1621" s="8"/>
      <c r="N1621" s="1"/>
      <c r="V1621" s="1"/>
      <c r="AD1621" s="1"/>
      <c r="AJ1621" s="6">
        <f t="shared" si="218"/>
        <v>400</v>
      </c>
      <c r="AK1621" s="4">
        <v>1604</v>
      </c>
      <c r="AM1621" s="2" t="str">
        <f t="shared" si="219"/>
        <v>C</v>
      </c>
      <c r="AN1621" s="2" t="str">
        <f t="shared" si="216"/>
        <v>190</v>
      </c>
      <c r="AO1621" s="2"/>
      <c r="AP1621" s="2" t="str">
        <f t="shared" si="217"/>
        <v>C190</v>
      </c>
    </row>
    <row r="1622" spans="6:42" x14ac:dyDescent="0.2">
      <c r="F1622" s="1"/>
      <c r="G1622" s="3"/>
      <c r="H1622" s="8"/>
      <c r="N1622" s="1"/>
      <c r="V1622" s="1"/>
      <c r="AD1622" s="1"/>
      <c r="AJ1622" s="6">
        <f t="shared" si="218"/>
        <v>440</v>
      </c>
      <c r="AK1622" s="4">
        <v>1605</v>
      </c>
      <c r="AM1622" s="2" t="str">
        <f t="shared" si="219"/>
        <v>C</v>
      </c>
      <c r="AN1622" s="2" t="str">
        <f t="shared" si="216"/>
        <v>1B8</v>
      </c>
      <c r="AO1622" s="2"/>
      <c r="AP1622" s="2" t="str">
        <f t="shared" si="217"/>
        <v>C1B8</v>
      </c>
    </row>
    <row r="1623" spans="6:42" x14ac:dyDescent="0.2">
      <c r="F1623" s="1"/>
      <c r="G1623" s="3"/>
      <c r="H1623" s="8"/>
      <c r="N1623" s="1"/>
      <c r="V1623" s="1"/>
      <c r="AD1623" s="1"/>
      <c r="AJ1623" s="6">
        <f t="shared" si="218"/>
        <v>480</v>
      </c>
      <c r="AK1623" s="4">
        <v>1606</v>
      </c>
      <c r="AM1623" s="2" t="str">
        <f t="shared" si="219"/>
        <v>C</v>
      </c>
      <c r="AN1623" s="2" t="str">
        <f t="shared" si="216"/>
        <v>1E0</v>
      </c>
      <c r="AO1623" s="2"/>
      <c r="AP1623" s="2" t="str">
        <f t="shared" si="217"/>
        <v>C1E0</v>
      </c>
    </row>
    <row r="1624" spans="6:42" x14ac:dyDescent="0.2">
      <c r="F1624" s="1"/>
      <c r="G1624" s="3"/>
      <c r="H1624" s="8"/>
      <c r="N1624" s="1"/>
      <c r="V1624" s="1"/>
      <c r="AD1624" s="1"/>
      <c r="AJ1624" s="6">
        <f t="shared" si="218"/>
        <v>520</v>
      </c>
      <c r="AK1624" s="4">
        <v>1607</v>
      </c>
      <c r="AM1624" s="2" t="str">
        <f t="shared" si="219"/>
        <v>C</v>
      </c>
      <c r="AN1624" s="2" t="str">
        <f t="shared" si="216"/>
        <v>208</v>
      </c>
      <c r="AO1624" s="2"/>
      <c r="AP1624" s="2" t="str">
        <f t="shared" si="217"/>
        <v>C208</v>
      </c>
    </row>
    <row r="1625" spans="6:42" x14ac:dyDescent="0.2">
      <c r="F1625" s="1"/>
      <c r="G1625" s="3"/>
      <c r="H1625" s="8"/>
      <c r="N1625" s="1"/>
      <c r="V1625" s="1"/>
      <c r="AD1625" s="1"/>
      <c r="AJ1625" s="6">
        <f t="shared" si="218"/>
        <v>560</v>
      </c>
      <c r="AK1625" s="4">
        <v>1608</v>
      </c>
      <c r="AM1625" s="2" t="str">
        <f t="shared" si="219"/>
        <v>C</v>
      </c>
      <c r="AN1625" s="2" t="str">
        <f t="shared" si="216"/>
        <v>230</v>
      </c>
      <c r="AO1625" s="2"/>
      <c r="AP1625" s="2" t="str">
        <f t="shared" si="217"/>
        <v>C230</v>
      </c>
    </row>
    <row r="1626" spans="6:42" x14ac:dyDescent="0.2">
      <c r="F1626" s="1"/>
      <c r="G1626" s="3"/>
      <c r="H1626" s="8"/>
      <c r="N1626" s="1"/>
      <c r="V1626" s="1"/>
      <c r="AD1626" s="1"/>
      <c r="AJ1626" s="6">
        <f t="shared" si="218"/>
        <v>600</v>
      </c>
      <c r="AK1626" s="4">
        <v>1609</v>
      </c>
      <c r="AM1626" s="2" t="str">
        <f t="shared" si="219"/>
        <v>C</v>
      </c>
      <c r="AN1626" s="2" t="str">
        <f t="shared" si="216"/>
        <v>258</v>
      </c>
      <c r="AO1626" s="2"/>
      <c r="AP1626" s="2" t="str">
        <f t="shared" si="217"/>
        <v>C258</v>
      </c>
    </row>
    <row r="1627" spans="6:42" x14ac:dyDescent="0.2">
      <c r="F1627" s="1"/>
      <c r="G1627" s="3"/>
      <c r="H1627" s="8"/>
      <c r="N1627" s="1"/>
      <c r="V1627" s="1"/>
      <c r="AD1627" s="1"/>
      <c r="AJ1627" s="6">
        <f t="shared" si="218"/>
        <v>640</v>
      </c>
      <c r="AK1627" s="4">
        <v>1610</v>
      </c>
      <c r="AM1627" s="2" t="str">
        <f t="shared" si="219"/>
        <v>C</v>
      </c>
      <c r="AN1627" s="2" t="str">
        <f t="shared" si="216"/>
        <v>280</v>
      </c>
      <c r="AO1627" s="2"/>
      <c r="AP1627" s="2" t="str">
        <f t="shared" si="217"/>
        <v>C280</v>
      </c>
    </row>
    <row r="1628" spans="6:42" x14ac:dyDescent="0.2">
      <c r="F1628" s="1"/>
      <c r="G1628" s="3"/>
      <c r="H1628" s="8"/>
      <c r="N1628" s="1"/>
      <c r="V1628" s="1"/>
      <c r="AD1628" s="1"/>
      <c r="AJ1628" s="6">
        <f t="shared" si="218"/>
        <v>680</v>
      </c>
      <c r="AK1628" s="4">
        <v>1611</v>
      </c>
      <c r="AM1628" s="2" t="str">
        <f t="shared" si="219"/>
        <v>C</v>
      </c>
      <c r="AN1628" s="2" t="str">
        <f t="shared" si="216"/>
        <v>2A8</v>
      </c>
      <c r="AO1628" s="2"/>
      <c r="AP1628" s="2" t="str">
        <f t="shared" si="217"/>
        <v>C2A8</v>
      </c>
    </row>
    <row r="1629" spans="6:42" x14ac:dyDescent="0.2">
      <c r="F1629" s="1"/>
      <c r="G1629" s="3"/>
      <c r="H1629" s="8"/>
      <c r="N1629" s="1"/>
      <c r="V1629" s="1"/>
      <c r="AD1629" s="1"/>
      <c r="AJ1629" s="6">
        <f t="shared" si="218"/>
        <v>720</v>
      </c>
      <c r="AK1629" s="4">
        <v>1612</v>
      </c>
      <c r="AM1629" s="2" t="str">
        <f t="shared" si="219"/>
        <v>C</v>
      </c>
      <c r="AN1629" s="2" t="str">
        <f t="shared" si="216"/>
        <v>2D0</v>
      </c>
      <c r="AO1629" s="2"/>
      <c r="AP1629" s="2" t="str">
        <f t="shared" si="217"/>
        <v>C2D0</v>
      </c>
    </row>
    <row r="1630" spans="6:42" x14ac:dyDescent="0.2">
      <c r="F1630" s="1"/>
      <c r="G1630" s="3"/>
      <c r="H1630" s="8"/>
      <c r="N1630" s="1"/>
      <c r="V1630" s="1"/>
      <c r="AD1630" s="1"/>
      <c r="AJ1630" s="6">
        <f t="shared" si="218"/>
        <v>760</v>
      </c>
      <c r="AK1630" s="4">
        <v>1613</v>
      </c>
      <c r="AM1630" s="2" t="str">
        <f t="shared" si="219"/>
        <v>C</v>
      </c>
      <c r="AN1630" s="2" t="str">
        <f t="shared" si="216"/>
        <v>2F8</v>
      </c>
      <c r="AO1630" s="2"/>
      <c r="AP1630" s="2" t="str">
        <f t="shared" si="217"/>
        <v>C2F8</v>
      </c>
    </row>
    <row r="1631" spans="6:42" x14ac:dyDescent="0.2">
      <c r="F1631" s="1"/>
      <c r="G1631" s="3"/>
      <c r="H1631" s="8"/>
      <c r="N1631" s="1"/>
      <c r="V1631" s="1"/>
      <c r="AD1631" s="1"/>
      <c r="AJ1631" s="6">
        <f t="shared" si="218"/>
        <v>800</v>
      </c>
      <c r="AK1631" s="4">
        <v>1614</v>
      </c>
      <c r="AM1631" s="2" t="str">
        <f t="shared" si="219"/>
        <v>C</v>
      </c>
      <c r="AN1631" s="2" t="str">
        <f t="shared" si="216"/>
        <v>320</v>
      </c>
      <c r="AO1631" s="2"/>
      <c r="AP1631" s="2" t="str">
        <f t="shared" si="217"/>
        <v>C320</v>
      </c>
    </row>
    <row r="1632" spans="6:42" x14ac:dyDescent="0.2">
      <c r="F1632" s="1"/>
      <c r="G1632" s="3"/>
      <c r="H1632" s="8"/>
      <c r="N1632" s="1"/>
      <c r="V1632" s="1"/>
      <c r="AD1632" s="1"/>
      <c r="AJ1632" s="6">
        <f t="shared" si="218"/>
        <v>840</v>
      </c>
      <c r="AK1632" s="4">
        <v>1615</v>
      </c>
      <c r="AM1632" s="2" t="str">
        <f t="shared" si="219"/>
        <v>C</v>
      </c>
      <c r="AN1632" s="2" t="str">
        <f t="shared" ref="AN1632:AN1695" si="220">DEC2HEX(AJ1632,3)</f>
        <v>348</v>
      </c>
      <c r="AO1632" s="2"/>
      <c r="AP1632" s="2" t="str">
        <f t="shared" ref="AP1632:AP1695" si="221">CONCATENATE(AM1632,AN1632)</f>
        <v>C348</v>
      </c>
    </row>
    <row r="1633" spans="6:42" x14ac:dyDescent="0.2">
      <c r="F1633" s="1"/>
      <c r="G1633" s="3"/>
      <c r="H1633" s="8"/>
      <c r="N1633" s="1"/>
      <c r="V1633" s="1"/>
      <c r="AD1633" s="1"/>
      <c r="AJ1633" s="6">
        <f t="shared" si="218"/>
        <v>880</v>
      </c>
      <c r="AK1633" s="4">
        <v>1616</v>
      </c>
      <c r="AM1633" s="2" t="str">
        <f t="shared" si="219"/>
        <v>C</v>
      </c>
      <c r="AN1633" s="2" t="str">
        <f t="shared" si="220"/>
        <v>370</v>
      </c>
      <c r="AO1633" s="2"/>
      <c r="AP1633" s="2" t="str">
        <f t="shared" si="221"/>
        <v>C370</v>
      </c>
    </row>
    <row r="1634" spans="6:42" x14ac:dyDescent="0.2">
      <c r="F1634" s="1"/>
      <c r="G1634" s="3"/>
      <c r="H1634" s="8"/>
      <c r="N1634" s="1"/>
      <c r="V1634" s="1"/>
      <c r="AD1634" s="1"/>
      <c r="AJ1634" s="6">
        <f t="shared" si="218"/>
        <v>920</v>
      </c>
      <c r="AK1634" s="4">
        <v>1617</v>
      </c>
      <c r="AM1634" s="2" t="str">
        <f t="shared" si="219"/>
        <v>C</v>
      </c>
      <c r="AN1634" s="2" t="str">
        <f t="shared" si="220"/>
        <v>398</v>
      </c>
      <c r="AO1634" s="2"/>
      <c r="AP1634" s="2" t="str">
        <f t="shared" si="221"/>
        <v>C398</v>
      </c>
    </row>
    <row r="1635" spans="6:42" x14ac:dyDescent="0.2">
      <c r="F1635" s="1"/>
      <c r="G1635" s="3"/>
      <c r="H1635" s="8"/>
      <c r="N1635" s="1"/>
      <c r="V1635" s="1"/>
      <c r="AD1635" s="1"/>
      <c r="AJ1635" s="6">
        <f t="shared" si="218"/>
        <v>960</v>
      </c>
      <c r="AK1635" s="4">
        <v>1618</v>
      </c>
      <c r="AM1635" s="2" t="str">
        <f t="shared" si="219"/>
        <v>C</v>
      </c>
      <c r="AN1635" s="2" t="str">
        <f t="shared" si="220"/>
        <v>3C0</v>
      </c>
      <c r="AO1635" s="2"/>
      <c r="AP1635" s="2" t="str">
        <f t="shared" si="221"/>
        <v>C3C0</v>
      </c>
    </row>
    <row r="1636" spans="6:42" x14ac:dyDescent="0.2">
      <c r="F1636" s="1"/>
      <c r="G1636" s="3"/>
      <c r="H1636" s="8"/>
      <c r="N1636" s="1"/>
      <c r="V1636" s="1"/>
      <c r="AD1636" s="1"/>
      <c r="AJ1636" s="6">
        <f t="shared" si="218"/>
        <v>1000</v>
      </c>
      <c r="AK1636" s="4">
        <v>1619</v>
      </c>
      <c r="AM1636" s="2" t="str">
        <f t="shared" si="219"/>
        <v>C</v>
      </c>
      <c r="AN1636" s="2" t="str">
        <f t="shared" si="220"/>
        <v>3E8</v>
      </c>
      <c r="AO1636" s="2"/>
      <c r="AP1636" s="2" t="str">
        <f t="shared" si="221"/>
        <v>C3E8</v>
      </c>
    </row>
    <row r="1637" spans="6:42" x14ac:dyDescent="0.2">
      <c r="F1637" s="1"/>
      <c r="G1637" s="3"/>
      <c r="H1637" s="8"/>
      <c r="N1637" s="1"/>
      <c r="V1637" s="1"/>
      <c r="AD1637" s="1"/>
      <c r="AJ1637" s="6">
        <f t="shared" si="218"/>
        <v>1000</v>
      </c>
      <c r="AK1637" s="4">
        <v>1620</v>
      </c>
      <c r="AM1637" s="2" t="str">
        <f t="shared" si="219"/>
        <v>C</v>
      </c>
      <c r="AN1637" s="2" t="str">
        <f t="shared" si="220"/>
        <v>3E8</v>
      </c>
      <c r="AO1637" s="2"/>
      <c r="AP1637" s="2" t="str">
        <f t="shared" si="221"/>
        <v>C3E8</v>
      </c>
    </row>
    <row r="1638" spans="6:42" x14ac:dyDescent="0.2">
      <c r="F1638" s="1"/>
      <c r="G1638" s="3"/>
      <c r="H1638" s="8"/>
      <c r="N1638" s="1"/>
      <c r="V1638" s="1"/>
      <c r="AD1638" s="1"/>
      <c r="AJ1638" s="6">
        <f t="shared" si="218"/>
        <v>1000</v>
      </c>
      <c r="AK1638" s="4">
        <v>1621</v>
      </c>
      <c r="AM1638" s="2" t="str">
        <f t="shared" si="219"/>
        <v>C</v>
      </c>
      <c r="AN1638" s="2" t="str">
        <f t="shared" si="220"/>
        <v>3E8</v>
      </c>
      <c r="AO1638" s="2"/>
      <c r="AP1638" s="2" t="str">
        <f t="shared" si="221"/>
        <v>C3E8</v>
      </c>
    </row>
    <row r="1639" spans="6:42" x14ac:dyDescent="0.2">
      <c r="F1639" s="1"/>
      <c r="G1639" s="3"/>
      <c r="H1639" s="8"/>
      <c r="N1639" s="1"/>
      <c r="V1639" s="1"/>
      <c r="AD1639" s="1"/>
      <c r="AJ1639" s="6">
        <f t="shared" si="218"/>
        <v>1000</v>
      </c>
      <c r="AK1639" s="4">
        <v>1622</v>
      </c>
      <c r="AM1639" s="2" t="str">
        <f t="shared" si="219"/>
        <v>C</v>
      </c>
      <c r="AN1639" s="2" t="str">
        <f t="shared" si="220"/>
        <v>3E8</v>
      </c>
      <c r="AO1639" s="2"/>
      <c r="AP1639" s="2" t="str">
        <f t="shared" si="221"/>
        <v>C3E8</v>
      </c>
    </row>
    <row r="1640" spans="6:42" x14ac:dyDescent="0.2">
      <c r="F1640" s="1"/>
      <c r="G1640" s="3"/>
      <c r="H1640" s="8"/>
      <c r="N1640" s="1"/>
      <c r="V1640" s="1"/>
      <c r="AD1640" s="1"/>
      <c r="AJ1640" s="6">
        <f t="shared" si="218"/>
        <v>1000</v>
      </c>
      <c r="AK1640" s="4">
        <v>1623</v>
      </c>
      <c r="AM1640" s="2" t="str">
        <f t="shared" si="219"/>
        <v>C</v>
      </c>
      <c r="AN1640" s="2" t="str">
        <f t="shared" si="220"/>
        <v>3E8</v>
      </c>
      <c r="AO1640" s="2"/>
      <c r="AP1640" s="2" t="str">
        <f t="shared" si="221"/>
        <v>C3E8</v>
      </c>
    </row>
    <row r="1641" spans="6:42" x14ac:dyDescent="0.2">
      <c r="F1641" s="1"/>
      <c r="G1641" s="3"/>
      <c r="H1641" s="8"/>
      <c r="N1641" s="1"/>
      <c r="V1641" s="1"/>
      <c r="AD1641" s="1"/>
      <c r="AJ1641" s="6">
        <f t="shared" si="218"/>
        <v>1000</v>
      </c>
      <c r="AK1641" s="4">
        <v>1624</v>
      </c>
      <c r="AM1641" s="2" t="str">
        <f t="shared" si="219"/>
        <v>C</v>
      </c>
      <c r="AN1641" s="2" t="str">
        <f t="shared" si="220"/>
        <v>3E8</v>
      </c>
      <c r="AO1641" s="2"/>
      <c r="AP1641" s="2" t="str">
        <f t="shared" si="221"/>
        <v>C3E8</v>
      </c>
    </row>
    <row r="1642" spans="6:42" x14ac:dyDescent="0.2">
      <c r="F1642" s="1"/>
      <c r="G1642" s="3"/>
      <c r="H1642" s="8"/>
      <c r="N1642" s="1"/>
      <c r="V1642" s="1"/>
      <c r="AD1642" s="1"/>
      <c r="AJ1642" s="6">
        <f t="shared" si="218"/>
        <v>1000</v>
      </c>
      <c r="AK1642" s="4">
        <v>1625</v>
      </c>
      <c r="AM1642" s="2" t="str">
        <f t="shared" si="219"/>
        <v>C</v>
      </c>
      <c r="AN1642" s="2" t="str">
        <f t="shared" si="220"/>
        <v>3E8</v>
      </c>
      <c r="AO1642" s="2"/>
      <c r="AP1642" s="2" t="str">
        <f t="shared" si="221"/>
        <v>C3E8</v>
      </c>
    </row>
    <row r="1643" spans="6:42" x14ac:dyDescent="0.2">
      <c r="F1643" s="1"/>
      <c r="G1643" s="3"/>
      <c r="H1643" s="8"/>
      <c r="N1643" s="1"/>
      <c r="V1643" s="1"/>
      <c r="AD1643" s="1"/>
      <c r="AJ1643" s="6">
        <f t="shared" si="218"/>
        <v>1000</v>
      </c>
      <c r="AK1643" s="4">
        <v>1626</v>
      </c>
      <c r="AM1643" s="2" t="str">
        <f t="shared" si="219"/>
        <v>C</v>
      </c>
      <c r="AN1643" s="2" t="str">
        <f t="shared" si="220"/>
        <v>3E8</v>
      </c>
      <c r="AO1643" s="2"/>
      <c r="AP1643" s="2" t="str">
        <f t="shared" si="221"/>
        <v>C3E8</v>
      </c>
    </row>
    <row r="1644" spans="6:42" x14ac:dyDescent="0.2">
      <c r="F1644" s="1"/>
      <c r="G1644" s="3"/>
      <c r="H1644" s="8"/>
      <c r="N1644" s="1"/>
      <c r="V1644" s="1"/>
      <c r="AD1644" s="1"/>
      <c r="AJ1644" s="6">
        <f t="shared" si="218"/>
        <v>1000</v>
      </c>
      <c r="AK1644" s="4">
        <v>1627</v>
      </c>
      <c r="AM1644" s="2" t="str">
        <f t="shared" si="219"/>
        <v>C</v>
      </c>
      <c r="AN1644" s="2" t="str">
        <f t="shared" si="220"/>
        <v>3E8</v>
      </c>
      <c r="AO1644" s="2"/>
      <c r="AP1644" s="2" t="str">
        <f t="shared" si="221"/>
        <v>C3E8</v>
      </c>
    </row>
    <row r="1645" spans="6:42" x14ac:dyDescent="0.2">
      <c r="F1645" s="1"/>
      <c r="G1645" s="3"/>
      <c r="H1645" s="8"/>
      <c r="N1645" s="1"/>
      <c r="V1645" s="1"/>
      <c r="AD1645" s="1"/>
      <c r="AJ1645" s="6">
        <f t="shared" si="218"/>
        <v>1000</v>
      </c>
      <c r="AK1645" s="4">
        <v>1628</v>
      </c>
      <c r="AM1645" s="2" t="str">
        <f t="shared" si="219"/>
        <v>C</v>
      </c>
      <c r="AN1645" s="2" t="str">
        <f t="shared" si="220"/>
        <v>3E8</v>
      </c>
      <c r="AO1645" s="2"/>
      <c r="AP1645" s="2" t="str">
        <f t="shared" si="221"/>
        <v>C3E8</v>
      </c>
    </row>
    <row r="1646" spans="6:42" x14ac:dyDescent="0.2">
      <c r="F1646" s="1"/>
      <c r="G1646" s="3"/>
      <c r="H1646" s="8"/>
      <c r="N1646" s="1"/>
      <c r="V1646" s="1"/>
      <c r="AD1646" s="1"/>
      <c r="AJ1646" s="6">
        <f t="shared" si="218"/>
        <v>1000</v>
      </c>
      <c r="AK1646" s="4">
        <v>1629</v>
      </c>
      <c r="AM1646" s="2" t="str">
        <f t="shared" si="219"/>
        <v>C</v>
      </c>
      <c r="AN1646" s="2" t="str">
        <f t="shared" si="220"/>
        <v>3E8</v>
      </c>
      <c r="AO1646" s="2"/>
      <c r="AP1646" s="2" t="str">
        <f t="shared" si="221"/>
        <v>C3E8</v>
      </c>
    </row>
    <row r="1647" spans="6:42" x14ac:dyDescent="0.2">
      <c r="F1647" s="1"/>
      <c r="G1647" s="3"/>
      <c r="H1647" s="8"/>
      <c r="N1647" s="1"/>
      <c r="V1647" s="1"/>
      <c r="AD1647" s="1"/>
      <c r="AJ1647" s="6">
        <f t="shared" si="218"/>
        <v>1000</v>
      </c>
      <c r="AK1647" s="4">
        <v>1630</v>
      </c>
      <c r="AM1647" s="2" t="str">
        <f t="shared" si="219"/>
        <v>C</v>
      </c>
      <c r="AN1647" s="2" t="str">
        <f t="shared" si="220"/>
        <v>3E8</v>
      </c>
      <c r="AO1647" s="2"/>
      <c r="AP1647" s="2" t="str">
        <f t="shared" si="221"/>
        <v>C3E8</v>
      </c>
    </row>
    <row r="1648" spans="6:42" x14ac:dyDescent="0.2">
      <c r="F1648" s="1"/>
      <c r="G1648" s="3"/>
      <c r="H1648" s="8"/>
      <c r="N1648" s="1"/>
      <c r="V1648" s="1"/>
      <c r="AD1648" s="1"/>
      <c r="AJ1648" s="6">
        <f t="shared" si="218"/>
        <v>1000</v>
      </c>
      <c r="AK1648" s="4">
        <v>1631</v>
      </c>
      <c r="AM1648" s="2" t="str">
        <f t="shared" si="219"/>
        <v>8</v>
      </c>
      <c r="AN1648" s="2" t="str">
        <f t="shared" si="220"/>
        <v>3E8</v>
      </c>
      <c r="AO1648" s="2"/>
      <c r="AP1648" s="2" t="str">
        <f t="shared" si="221"/>
        <v>83E8</v>
      </c>
    </row>
    <row r="1649" spans="6:42" x14ac:dyDescent="0.2">
      <c r="F1649" s="1"/>
      <c r="G1649" s="3"/>
      <c r="H1649" s="8"/>
      <c r="N1649" s="1"/>
      <c r="V1649" s="1"/>
      <c r="AD1649" s="1"/>
      <c r="AJ1649" s="6">
        <f t="shared" si="218"/>
        <v>1000</v>
      </c>
      <c r="AK1649" s="4">
        <v>1632</v>
      </c>
      <c r="AM1649" s="2" t="str">
        <f t="shared" si="219"/>
        <v>8</v>
      </c>
      <c r="AN1649" s="2" t="str">
        <f t="shared" si="220"/>
        <v>3E8</v>
      </c>
      <c r="AO1649" s="2"/>
      <c r="AP1649" s="2" t="str">
        <f t="shared" si="221"/>
        <v>83E8</v>
      </c>
    </row>
    <row r="1650" spans="6:42" x14ac:dyDescent="0.2">
      <c r="F1650" s="1"/>
      <c r="G1650" s="3"/>
      <c r="H1650" s="8"/>
      <c r="N1650" s="1"/>
      <c r="V1650" s="1"/>
      <c r="AD1650" s="1"/>
      <c r="AJ1650" s="6">
        <f t="shared" si="218"/>
        <v>1000</v>
      </c>
      <c r="AK1650" s="4">
        <v>1633</v>
      </c>
      <c r="AM1650" s="2" t="str">
        <f t="shared" si="219"/>
        <v>8</v>
      </c>
      <c r="AN1650" s="2" t="str">
        <f t="shared" si="220"/>
        <v>3E8</v>
      </c>
      <c r="AO1650" s="2"/>
      <c r="AP1650" s="2" t="str">
        <f t="shared" si="221"/>
        <v>83E8</v>
      </c>
    </row>
    <row r="1651" spans="6:42" x14ac:dyDescent="0.2">
      <c r="F1651" s="1"/>
      <c r="G1651" s="3"/>
      <c r="H1651" s="8"/>
      <c r="N1651" s="1"/>
      <c r="V1651" s="1"/>
      <c r="AD1651" s="1"/>
      <c r="AJ1651" s="6">
        <f t="shared" si="218"/>
        <v>960</v>
      </c>
      <c r="AK1651" s="4">
        <v>1634</v>
      </c>
      <c r="AM1651" s="2" t="str">
        <f t="shared" si="219"/>
        <v>8</v>
      </c>
      <c r="AN1651" s="2" t="str">
        <f t="shared" si="220"/>
        <v>3C0</v>
      </c>
      <c r="AO1651" s="2"/>
      <c r="AP1651" s="2" t="str">
        <f t="shared" si="221"/>
        <v>83C0</v>
      </c>
    </row>
    <row r="1652" spans="6:42" x14ac:dyDescent="0.2">
      <c r="F1652" s="1"/>
      <c r="G1652" s="3"/>
      <c r="H1652" s="8"/>
      <c r="N1652" s="1"/>
      <c r="V1652" s="1"/>
      <c r="AD1652" s="1"/>
      <c r="AJ1652" s="6">
        <f t="shared" si="218"/>
        <v>920</v>
      </c>
      <c r="AK1652" s="4">
        <v>1635</v>
      </c>
      <c r="AM1652" s="2" t="str">
        <f t="shared" si="219"/>
        <v>8</v>
      </c>
      <c r="AN1652" s="2" t="str">
        <f t="shared" si="220"/>
        <v>398</v>
      </c>
      <c r="AO1652" s="2"/>
      <c r="AP1652" s="2" t="str">
        <f t="shared" si="221"/>
        <v>8398</v>
      </c>
    </row>
    <row r="1653" spans="6:42" x14ac:dyDescent="0.2">
      <c r="F1653" s="1"/>
      <c r="G1653" s="3"/>
      <c r="H1653" s="8"/>
      <c r="N1653" s="1"/>
      <c r="V1653" s="1"/>
      <c r="AD1653" s="1"/>
      <c r="AJ1653" s="6">
        <f t="shared" si="218"/>
        <v>880</v>
      </c>
      <c r="AK1653" s="4">
        <v>1636</v>
      </c>
      <c r="AM1653" s="2" t="str">
        <f t="shared" si="219"/>
        <v>8</v>
      </c>
      <c r="AN1653" s="2" t="str">
        <f t="shared" si="220"/>
        <v>370</v>
      </c>
      <c r="AO1653" s="2"/>
      <c r="AP1653" s="2" t="str">
        <f t="shared" si="221"/>
        <v>8370</v>
      </c>
    </row>
    <row r="1654" spans="6:42" x14ac:dyDescent="0.2">
      <c r="F1654" s="1"/>
      <c r="G1654" s="3"/>
      <c r="H1654" s="8"/>
      <c r="N1654" s="1"/>
      <c r="V1654" s="1"/>
      <c r="AD1654" s="1"/>
      <c r="AJ1654" s="6">
        <f t="shared" si="218"/>
        <v>840</v>
      </c>
      <c r="AK1654" s="4">
        <v>1637</v>
      </c>
      <c r="AM1654" s="2" t="str">
        <f t="shared" si="219"/>
        <v>8</v>
      </c>
      <c r="AN1654" s="2" t="str">
        <f t="shared" si="220"/>
        <v>348</v>
      </c>
      <c r="AO1654" s="2"/>
      <c r="AP1654" s="2" t="str">
        <f t="shared" si="221"/>
        <v>8348</v>
      </c>
    </row>
    <row r="1655" spans="6:42" x14ac:dyDescent="0.2">
      <c r="F1655" s="1"/>
      <c r="G1655" s="3"/>
      <c r="H1655" s="8"/>
      <c r="N1655" s="1"/>
      <c r="V1655" s="1"/>
      <c r="AD1655" s="1"/>
      <c r="AJ1655" s="6">
        <f t="shared" si="218"/>
        <v>800</v>
      </c>
      <c r="AK1655" s="4">
        <v>1638</v>
      </c>
      <c r="AM1655" s="2" t="str">
        <f t="shared" si="219"/>
        <v>8</v>
      </c>
      <c r="AN1655" s="2" t="str">
        <f t="shared" si="220"/>
        <v>320</v>
      </c>
      <c r="AO1655" s="2"/>
      <c r="AP1655" s="2" t="str">
        <f t="shared" si="221"/>
        <v>8320</v>
      </c>
    </row>
    <row r="1656" spans="6:42" x14ac:dyDescent="0.2">
      <c r="F1656" s="1"/>
      <c r="G1656" s="3"/>
      <c r="H1656" s="8"/>
      <c r="N1656" s="1"/>
      <c r="V1656" s="1"/>
      <c r="AD1656" s="1"/>
      <c r="AJ1656" s="6">
        <f t="shared" si="218"/>
        <v>760</v>
      </c>
      <c r="AK1656" s="4">
        <v>1639</v>
      </c>
      <c r="AM1656" s="2" t="str">
        <f t="shared" si="219"/>
        <v>8</v>
      </c>
      <c r="AN1656" s="2" t="str">
        <f t="shared" si="220"/>
        <v>2F8</v>
      </c>
      <c r="AO1656" s="2"/>
      <c r="AP1656" s="2" t="str">
        <f t="shared" si="221"/>
        <v>82F8</v>
      </c>
    </row>
    <row r="1657" spans="6:42" x14ac:dyDescent="0.2">
      <c r="F1657" s="1"/>
      <c r="G1657" s="3"/>
      <c r="H1657" s="8"/>
      <c r="N1657" s="1"/>
      <c r="V1657" s="1"/>
      <c r="AD1657" s="1"/>
      <c r="AJ1657" s="6">
        <f t="shared" si="218"/>
        <v>720</v>
      </c>
      <c r="AK1657" s="4">
        <v>1640</v>
      </c>
      <c r="AM1657" s="2" t="str">
        <f t="shared" si="219"/>
        <v>8</v>
      </c>
      <c r="AN1657" s="2" t="str">
        <f t="shared" si="220"/>
        <v>2D0</v>
      </c>
      <c r="AO1657" s="2"/>
      <c r="AP1657" s="2" t="str">
        <f t="shared" si="221"/>
        <v>82D0</v>
      </c>
    </row>
    <row r="1658" spans="6:42" x14ac:dyDescent="0.2">
      <c r="F1658" s="1"/>
      <c r="G1658" s="3"/>
      <c r="H1658" s="8"/>
      <c r="N1658" s="1"/>
      <c r="V1658" s="1"/>
      <c r="AD1658" s="1"/>
      <c r="AJ1658" s="6">
        <f t="shared" si="218"/>
        <v>680</v>
      </c>
      <c r="AK1658" s="4">
        <v>1641</v>
      </c>
      <c r="AM1658" s="2" t="str">
        <f t="shared" si="219"/>
        <v>8</v>
      </c>
      <c r="AN1658" s="2" t="str">
        <f t="shared" si="220"/>
        <v>2A8</v>
      </c>
      <c r="AO1658" s="2"/>
      <c r="AP1658" s="2" t="str">
        <f t="shared" si="221"/>
        <v>82A8</v>
      </c>
    </row>
    <row r="1659" spans="6:42" x14ac:dyDescent="0.2">
      <c r="F1659" s="1"/>
      <c r="G1659" s="3"/>
      <c r="H1659" s="8"/>
      <c r="N1659" s="1"/>
      <c r="V1659" s="1"/>
      <c r="AD1659" s="1"/>
      <c r="AJ1659" s="6">
        <f t="shared" si="218"/>
        <v>640</v>
      </c>
      <c r="AK1659" s="4">
        <v>1642</v>
      </c>
      <c r="AM1659" s="2" t="str">
        <f t="shared" si="219"/>
        <v>8</v>
      </c>
      <c r="AN1659" s="2" t="str">
        <f t="shared" si="220"/>
        <v>280</v>
      </c>
      <c r="AO1659" s="2"/>
      <c r="AP1659" s="2" t="str">
        <f t="shared" si="221"/>
        <v>8280</v>
      </c>
    </row>
    <row r="1660" spans="6:42" x14ac:dyDescent="0.2">
      <c r="F1660" s="1"/>
      <c r="G1660" s="3"/>
      <c r="H1660" s="8"/>
      <c r="N1660" s="1"/>
      <c r="V1660" s="1"/>
      <c r="AD1660" s="1"/>
      <c r="AJ1660" s="6">
        <f t="shared" si="218"/>
        <v>600</v>
      </c>
      <c r="AK1660" s="4">
        <v>1643</v>
      </c>
      <c r="AM1660" s="2" t="str">
        <f t="shared" si="219"/>
        <v>8</v>
      </c>
      <c r="AN1660" s="2" t="str">
        <f t="shared" si="220"/>
        <v>258</v>
      </c>
      <c r="AO1660" s="2"/>
      <c r="AP1660" s="2" t="str">
        <f t="shared" si="221"/>
        <v>8258</v>
      </c>
    </row>
    <row r="1661" spans="6:42" x14ac:dyDescent="0.2">
      <c r="F1661" s="1"/>
      <c r="G1661" s="3"/>
      <c r="H1661" s="8"/>
      <c r="N1661" s="1"/>
      <c r="V1661" s="1"/>
      <c r="AD1661" s="1"/>
      <c r="AJ1661" s="6">
        <f t="shared" si="218"/>
        <v>560</v>
      </c>
      <c r="AK1661" s="4">
        <v>1644</v>
      </c>
      <c r="AM1661" s="2" t="str">
        <f t="shared" si="219"/>
        <v>8</v>
      </c>
      <c r="AN1661" s="2" t="str">
        <f t="shared" si="220"/>
        <v>230</v>
      </c>
      <c r="AO1661" s="2"/>
      <c r="AP1661" s="2" t="str">
        <f t="shared" si="221"/>
        <v>8230</v>
      </c>
    </row>
    <row r="1662" spans="6:42" x14ac:dyDescent="0.2">
      <c r="F1662" s="1"/>
      <c r="G1662" s="3"/>
      <c r="H1662" s="8"/>
      <c r="N1662" s="1"/>
      <c r="V1662" s="1"/>
      <c r="AD1662" s="1"/>
      <c r="AJ1662" s="6">
        <f t="shared" si="218"/>
        <v>520</v>
      </c>
      <c r="AK1662" s="4">
        <v>1645</v>
      </c>
      <c r="AM1662" s="2" t="str">
        <f t="shared" si="219"/>
        <v>8</v>
      </c>
      <c r="AN1662" s="2" t="str">
        <f t="shared" si="220"/>
        <v>208</v>
      </c>
      <c r="AO1662" s="2"/>
      <c r="AP1662" s="2" t="str">
        <f t="shared" si="221"/>
        <v>8208</v>
      </c>
    </row>
    <row r="1663" spans="6:42" x14ac:dyDescent="0.2">
      <c r="F1663" s="1"/>
      <c r="G1663" s="3"/>
      <c r="H1663" s="8"/>
      <c r="N1663" s="1"/>
      <c r="V1663" s="1"/>
      <c r="AD1663" s="1"/>
      <c r="AJ1663" s="6">
        <f t="shared" si="218"/>
        <v>480</v>
      </c>
      <c r="AK1663" s="4">
        <v>1646</v>
      </c>
      <c r="AM1663" s="2" t="str">
        <f t="shared" si="219"/>
        <v>8</v>
      </c>
      <c r="AN1663" s="2" t="str">
        <f t="shared" si="220"/>
        <v>1E0</v>
      </c>
      <c r="AO1663" s="2"/>
      <c r="AP1663" s="2" t="str">
        <f t="shared" si="221"/>
        <v>81E0</v>
      </c>
    </row>
    <row r="1664" spans="6:42" x14ac:dyDescent="0.2">
      <c r="F1664" s="1"/>
      <c r="G1664" s="3"/>
      <c r="H1664" s="8"/>
      <c r="N1664" s="1"/>
      <c r="V1664" s="1"/>
      <c r="AD1664" s="1"/>
      <c r="AJ1664" s="6">
        <f t="shared" si="218"/>
        <v>440</v>
      </c>
      <c r="AK1664" s="4">
        <v>1647</v>
      </c>
      <c r="AM1664" s="2" t="str">
        <f t="shared" si="219"/>
        <v>8</v>
      </c>
      <c r="AN1664" s="2" t="str">
        <f t="shared" si="220"/>
        <v>1B8</v>
      </c>
      <c r="AO1664" s="2"/>
      <c r="AP1664" s="2" t="str">
        <f t="shared" si="221"/>
        <v>81B8</v>
      </c>
    </row>
    <row r="1665" spans="6:42" x14ac:dyDescent="0.2">
      <c r="F1665" s="1"/>
      <c r="G1665" s="3"/>
      <c r="H1665" s="8"/>
      <c r="N1665" s="1"/>
      <c r="V1665" s="1"/>
      <c r="AD1665" s="1"/>
      <c r="AJ1665" s="6">
        <f t="shared" si="218"/>
        <v>400</v>
      </c>
      <c r="AK1665" s="4">
        <v>1648</v>
      </c>
      <c r="AM1665" s="2" t="str">
        <f t="shared" si="219"/>
        <v>8</v>
      </c>
      <c r="AN1665" s="2" t="str">
        <f t="shared" si="220"/>
        <v>190</v>
      </c>
      <c r="AO1665" s="2"/>
      <c r="AP1665" s="2" t="str">
        <f t="shared" si="221"/>
        <v>8190</v>
      </c>
    </row>
    <row r="1666" spans="6:42" x14ac:dyDescent="0.2">
      <c r="F1666" s="1"/>
      <c r="G1666" s="3"/>
      <c r="H1666" s="8"/>
      <c r="N1666" s="1"/>
      <c r="V1666" s="1"/>
      <c r="AD1666" s="1"/>
      <c r="AJ1666" s="6">
        <f t="shared" si="218"/>
        <v>360</v>
      </c>
      <c r="AK1666" s="4">
        <v>1649</v>
      </c>
      <c r="AM1666" s="2" t="str">
        <f t="shared" si="219"/>
        <v>8</v>
      </c>
      <c r="AN1666" s="2" t="str">
        <f t="shared" si="220"/>
        <v>168</v>
      </c>
      <c r="AO1666" s="2"/>
      <c r="AP1666" s="2" t="str">
        <f t="shared" si="221"/>
        <v>8168</v>
      </c>
    </row>
    <row r="1667" spans="6:42" x14ac:dyDescent="0.2">
      <c r="F1667" s="1"/>
      <c r="G1667" s="3"/>
      <c r="H1667" s="8"/>
      <c r="N1667" s="1"/>
      <c r="V1667" s="1"/>
      <c r="AD1667" s="1"/>
      <c r="AJ1667" s="6">
        <f t="shared" si="218"/>
        <v>320</v>
      </c>
      <c r="AK1667" s="4">
        <v>1650</v>
      </c>
      <c r="AM1667" s="2" t="str">
        <f t="shared" si="219"/>
        <v>8</v>
      </c>
      <c r="AN1667" s="2" t="str">
        <f t="shared" si="220"/>
        <v>140</v>
      </c>
      <c r="AO1667" s="2"/>
      <c r="AP1667" s="2" t="str">
        <f t="shared" si="221"/>
        <v>8140</v>
      </c>
    </row>
    <row r="1668" spans="6:42" x14ac:dyDescent="0.2">
      <c r="F1668" s="1"/>
      <c r="G1668" s="3"/>
      <c r="H1668" s="8"/>
      <c r="N1668" s="1"/>
      <c r="V1668" s="1"/>
      <c r="AD1668" s="1"/>
      <c r="AJ1668" s="6">
        <f t="shared" si="218"/>
        <v>280</v>
      </c>
      <c r="AK1668" s="4">
        <v>1651</v>
      </c>
      <c r="AM1668" s="2" t="str">
        <f t="shared" si="219"/>
        <v>8</v>
      </c>
      <c r="AN1668" s="2" t="str">
        <f t="shared" si="220"/>
        <v>118</v>
      </c>
      <c r="AO1668" s="2"/>
      <c r="AP1668" s="2" t="str">
        <f t="shared" si="221"/>
        <v>8118</v>
      </c>
    </row>
    <row r="1669" spans="6:42" x14ac:dyDescent="0.2">
      <c r="F1669" s="1"/>
      <c r="G1669" s="3"/>
      <c r="H1669" s="8"/>
      <c r="N1669" s="1"/>
      <c r="V1669" s="1"/>
      <c r="AD1669" s="1"/>
      <c r="AJ1669" s="6">
        <f t="shared" si="218"/>
        <v>240</v>
      </c>
      <c r="AK1669" s="4">
        <v>1652</v>
      </c>
      <c r="AM1669" s="2" t="str">
        <f t="shared" si="219"/>
        <v>8</v>
      </c>
      <c r="AN1669" s="2" t="str">
        <f t="shared" si="220"/>
        <v>0F0</v>
      </c>
      <c r="AO1669" s="2"/>
      <c r="AP1669" s="2" t="str">
        <f t="shared" si="221"/>
        <v>80F0</v>
      </c>
    </row>
    <row r="1670" spans="6:42" x14ac:dyDescent="0.2">
      <c r="F1670" s="1"/>
      <c r="G1670" s="3"/>
      <c r="H1670" s="8"/>
      <c r="N1670" s="1"/>
      <c r="V1670" s="1"/>
      <c r="AD1670" s="1"/>
      <c r="AJ1670" s="6">
        <f t="shared" si="218"/>
        <v>200</v>
      </c>
      <c r="AK1670" s="4">
        <v>1653</v>
      </c>
      <c r="AM1670" s="2" t="str">
        <f t="shared" si="219"/>
        <v>8</v>
      </c>
      <c r="AN1670" s="2" t="str">
        <f t="shared" si="220"/>
        <v>0C8</v>
      </c>
      <c r="AO1670" s="2"/>
      <c r="AP1670" s="2" t="str">
        <f t="shared" si="221"/>
        <v>80C8</v>
      </c>
    </row>
    <row r="1671" spans="6:42" x14ac:dyDescent="0.2">
      <c r="F1671" s="1"/>
      <c r="G1671" s="3"/>
      <c r="H1671" s="8"/>
      <c r="N1671" s="1"/>
      <c r="V1671" s="1"/>
      <c r="AD1671" s="1"/>
      <c r="AJ1671" s="6">
        <f t="shared" si="218"/>
        <v>200</v>
      </c>
      <c r="AK1671" s="4">
        <v>1654</v>
      </c>
      <c r="AM1671" s="2" t="str">
        <f t="shared" si="219"/>
        <v>8</v>
      </c>
      <c r="AN1671" s="2" t="str">
        <f t="shared" si="220"/>
        <v>0C8</v>
      </c>
      <c r="AO1671" s="2"/>
      <c r="AP1671" s="2" t="str">
        <f t="shared" si="221"/>
        <v>80C8</v>
      </c>
    </row>
    <row r="1672" spans="6:42" x14ac:dyDescent="0.2">
      <c r="F1672" s="1"/>
      <c r="G1672" s="3"/>
      <c r="H1672" s="8"/>
      <c r="N1672" s="1"/>
      <c r="V1672" s="1"/>
      <c r="AD1672" s="1"/>
      <c r="AJ1672" s="6">
        <f t="shared" si="218"/>
        <v>200</v>
      </c>
      <c r="AK1672" s="4">
        <v>1655</v>
      </c>
      <c r="AM1672" s="2" t="str">
        <f t="shared" si="219"/>
        <v>8</v>
      </c>
      <c r="AN1672" s="2" t="str">
        <f t="shared" si="220"/>
        <v>0C8</v>
      </c>
      <c r="AO1672" s="2"/>
      <c r="AP1672" s="2" t="str">
        <f t="shared" si="221"/>
        <v>80C8</v>
      </c>
    </row>
    <row r="1673" spans="6:42" x14ac:dyDescent="0.2">
      <c r="F1673" s="1"/>
      <c r="G1673" s="3"/>
      <c r="H1673" s="8"/>
      <c r="N1673" s="1"/>
      <c r="V1673" s="1"/>
      <c r="AD1673" s="1"/>
      <c r="AJ1673" s="6">
        <f t="shared" si="218"/>
        <v>200</v>
      </c>
      <c r="AK1673" s="4">
        <v>1656</v>
      </c>
      <c r="AM1673" s="2" t="str">
        <f t="shared" si="219"/>
        <v>8</v>
      </c>
      <c r="AN1673" s="2" t="str">
        <f t="shared" si="220"/>
        <v>0C8</v>
      </c>
      <c r="AO1673" s="2"/>
      <c r="AP1673" s="2" t="str">
        <f t="shared" si="221"/>
        <v>80C8</v>
      </c>
    </row>
    <row r="1674" spans="6:42" x14ac:dyDescent="0.2">
      <c r="F1674" s="1"/>
      <c r="G1674" s="3"/>
      <c r="H1674" s="8"/>
      <c r="N1674" s="1"/>
      <c r="V1674" s="1"/>
      <c r="AD1674" s="1"/>
      <c r="AJ1674" s="6">
        <f t="shared" si="218"/>
        <v>200</v>
      </c>
      <c r="AK1674" s="4">
        <v>1657</v>
      </c>
      <c r="AM1674" s="2" t="str">
        <f t="shared" si="219"/>
        <v>8</v>
      </c>
      <c r="AN1674" s="2" t="str">
        <f t="shared" si="220"/>
        <v>0C8</v>
      </c>
      <c r="AO1674" s="2"/>
      <c r="AP1674" s="2" t="str">
        <f t="shared" si="221"/>
        <v>80C8</v>
      </c>
    </row>
    <row r="1675" spans="6:42" x14ac:dyDescent="0.2">
      <c r="F1675" s="1"/>
      <c r="G1675" s="3"/>
      <c r="H1675" s="8"/>
      <c r="N1675" s="1"/>
      <c r="V1675" s="1"/>
      <c r="AD1675" s="1"/>
      <c r="AJ1675" s="6">
        <f t="shared" si="218"/>
        <v>200</v>
      </c>
      <c r="AK1675" s="4">
        <v>1658</v>
      </c>
      <c r="AM1675" s="2" t="str">
        <f t="shared" si="219"/>
        <v>8</v>
      </c>
      <c r="AN1675" s="2" t="str">
        <f t="shared" si="220"/>
        <v>0C8</v>
      </c>
      <c r="AO1675" s="2"/>
      <c r="AP1675" s="2" t="str">
        <f t="shared" si="221"/>
        <v>80C8</v>
      </c>
    </row>
    <row r="1676" spans="6:42" x14ac:dyDescent="0.2">
      <c r="F1676" s="1"/>
      <c r="G1676" s="3"/>
      <c r="H1676" s="8"/>
      <c r="N1676" s="1"/>
      <c r="V1676" s="1"/>
      <c r="AD1676" s="1"/>
      <c r="AJ1676" s="6">
        <f t="shared" si="218"/>
        <v>200</v>
      </c>
      <c r="AK1676" s="4">
        <v>1659</v>
      </c>
      <c r="AM1676" s="2" t="str">
        <f t="shared" si="219"/>
        <v>8</v>
      </c>
      <c r="AN1676" s="2" t="str">
        <f t="shared" si="220"/>
        <v>0C8</v>
      </c>
      <c r="AO1676" s="2"/>
      <c r="AP1676" s="2" t="str">
        <f t="shared" si="221"/>
        <v>80C8</v>
      </c>
    </row>
    <row r="1677" spans="6:42" x14ac:dyDescent="0.2">
      <c r="F1677" s="1"/>
      <c r="G1677" s="3"/>
      <c r="H1677" s="8"/>
      <c r="N1677" s="1"/>
      <c r="V1677" s="1"/>
      <c r="AD1677" s="1"/>
      <c r="AJ1677" s="6">
        <f t="shared" si="218"/>
        <v>200</v>
      </c>
      <c r="AK1677" s="4">
        <v>1660</v>
      </c>
      <c r="AM1677" s="2" t="str">
        <f t="shared" si="219"/>
        <v>8</v>
      </c>
      <c r="AN1677" s="2" t="str">
        <f t="shared" si="220"/>
        <v>0C8</v>
      </c>
      <c r="AO1677" s="2"/>
      <c r="AP1677" s="2" t="str">
        <f t="shared" si="221"/>
        <v>80C8</v>
      </c>
    </row>
    <row r="1678" spans="6:42" x14ac:dyDescent="0.2">
      <c r="F1678" s="1"/>
      <c r="G1678" s="3"/>
      <c r="H1678" s="8"/>
      <c r="N1678" s="1"/>
      <c r="V1678" s="1"/>
      <c r="AD1678" s="1"/>
      <c r="AJ1678" s="6">
        <f t="shared" si="218"/>
        <v>200</v>
      </c>
      <c r="AK1678" s="4">
        <v>1661</v>
      </c>
      <c r="AM1678" s="2" t="str">
        <f t="shared" si="219"/>
        <v>8</v>
      </c>
      <c r="AN1678" s="2" t="str">
        <f t="shared" si="220"/>
        <v>0C8</v>
      </c>
      <c r="AO1678" s="2"/>
      <c r="AP1678" s="2" t="str">
        <f t="shared" si="221"/>
        <v>80C8</v>
      </c>
    </row>
    <row r="1679" spans="6:42" x14ac:dyDescent="0.2">
      <c r="F1679" s="1"/>
      <c r="G1679" s="3"/>
      <c r="H1679" s="8"/>
      <c r="N1679" s="1"/>
      <c r="V1679" s="1"/>
      <c r="AD1679" s="1"/>
      <c r="AJ1679" s="6">
        <f t="shared" si="218"/>
        <v>200</v>
      </c>
      <c r="AK1679" s="4">
        <v>1662</v>
      </c>
      <c r="AM1679" s="2" t="str">
        <f t="shared" si="219"/>
        <v>8</v>
      </c>
      <c r="AN1679" s="2" t="str">
        <f t="shared" si="220"/>
        <v>0C8</v>
      </c>
      <c r="AO1679" s="2"/>
      <c r="AP1679" s="2" t="str">
        <f t="shared" si="221"/>
        <v>80C8</v>
      </c>
    </row>
    <row r="1680" spans="6:42" x14ac:dyDescent="0.2">
      <c r="F1680" s="1"/>
      <c r="G1680" s="3"/>
      <c r="H1680" s="8"/>
      <c r="N1680" s="1"/>
      <c r="V1680" s="1"/>
      <c r="AD1680" s="1"/>
      <c r="AJ1680" s="6">
        <f t="shared" si="218"/>
        <v>200</v>
      </c>
      <c r="AK1680" s="4">
        <v>1663</v>
      </c>
      <c r="AM1680" s="2" t="str">
        <f t="shared" si="219"/>
        <v>8</v>
      </c>
      <c r="AN1680" s="2" t="str">
        <f t="shared" si="220"/>
        <v>0C8</v>
      </c>
      <c r="AO1680" s="2"/>
      <c r="AP1680" s="2" t="str">
        <f t="shared" si="221"/>
        <v>80C8</v>
      </c>
    </row>
    <row r="1681" spans="6:42" x14ac:dyDescent="0.2">
      <c r="F1681" s="1"/>
      <c r="G1681" s="3"/>
      <c r="H1681" s="8"/>
      <c r="N1681" s="1"/>
      <c r="V1681" s="1"/>
      <c r="AD1681" s="1"/>
      <c r="AJ1681" s="6">
        <f t="shared" si="218"/>
        <v>200</v>
      </c>
      <c r="AK1681" s="4">
        <v>1664</v>
      </c>
      <c r="AM1681" s="2" t="str">
        <f t="shared" si="219"/>
        <v>8</v>
      </c>
      <c r="AN1681" s="2" t="str">
        <f t="shared" si="220"/>
        <v>0C8</v>
      </c>
      <c r="AO1681" s="2"/>
      <c r="AP1681" s="2" t="str">
        <f t="shared" si="221"/>
        <v>80C8</v>
      </c>
    </row>
    <row r="1682" spans="6:42" x14ac:dyDescent="0.2">
      <c r="F1682" s="1"/>
      <c r="G1682" s="3"/>
      <c r="H1682" s="8"/>
      <c r="N1682" s="1"/>
      <c r="V1682" s="1"/>
      <c r="AD1682" s="1"/>
      <c r="AJ1682" s="6">
        <f t="shared" si="218"/>
        <v>200</v>
      </c>
      <c r="AK1682" s="4">
        <v>1665</v>
      </c>
      <c r="AM1682" s="2" t="str">
        <f t="shared" si="219"/>
        <v>8</v>
      </c>
      <c r="AN1682" s="2" t="str">
        <f t="shared" si="220"/>
        <v>0C8</v>
      </c>
      <c r="AO1682" s="2"/>
      <c r="AP1682" s="2" t="str">
        <f t="shared" si="221"/>
        <v>80C8</v>
      </c>
    </row>
    <row r="1683" spans="6:42" x14ac:dyDescent="0.2">
      <c r="F1683" s="1"/>
      <c r="G1683" s="3"/>
      <c r="H1683" s="8"/>
      <c r="N1683" s="1"/>
      <c r="V1683" s="1"/>
      <c r="AD1683" s="1"/>
      <c r="AJ1683" s="6">
        <f t="shared" ref="AJ1683:AJ1746" si="222">ROUNDDOWN(($AE147*$AE$16+$I$6*100)*10,0)</f>
        <v>200</v>
      </c>
      <c r="AK1683" s="4">
        <v>1666</v>
      </c>
      <c r="AM1683" s="2" t="str">
        <f t="shared" ref="AM1683:AM1746" si="223">BIN2HEX(AA147+10*AB147+100*AC147+1000*AD147,1)</f>
        <v>8</v>
      </c>
      <c r="AN1683" s="2" t="str">
        <f t="shared" si="220"/>
        <v>0C8</v>
      </c>
      <c r="AO1683" s="2"/>
      <c r="AP1683" s="2" t="str">
        <f t="shared" si="221"/>
        <v>80C8</v>
      </c>
    </row>
    <row r="1684" spans="6:42" x14ac:dyDescent="0.2">
      <c r="F1684" s="1"/>
      <c r="G1684" s="3"/>
      <c r="H1684" s="8"/>
      <c r="N1684" s="1"/>
      <c r="V1684" s="1"/>
      <c r="AD1684" s="1"/>
      <c r="AJ1684" s="6">
        <f t="shared" si="222"/>
        <v>200</v>
      </c>
      <c r="AK1684" s="4">
        <v>1667</v>
      </c>
      <c r="AM1684" s="2" t="str">
        <f t="shared" si="223"/>
        <v>8</v>
      </c>
      <c r="AN1684" s="2" t="str">
        <f t="shared" si="220"/>
        <v>0C8</v>
      </c>
      <c r="AO1684" s="2"/>
      <c r="AP1684" s="2" t="str">
        <f t="shared" si="221"/>
        <v>80C8</v>
      </c>
    </row>
    <row r="1685" spans="6:42" x14ac:dyDescent="0.2">
      <c r="F1685" s="1"/>
      <c r="G1685" s="3"/>
      <c r="H1685" s="8"/>
      <c r="N1685" s="1"/>
      <c r="V1685" s="1"/>
      <c r="AD1685" s="1"/>
      <c r="AJ1685" s="6">
        <f t="shared" si="222"/>
        <v>200</v>
      </c>
      <c r="AK1685" s="4">
        <v>1668</v>
      </c>
      <c r="AM1685" s="2" t="str">
        <f t="shared" si="223"/>
        <v>8</v>
      </c>
      <c r="AN1685" s="2" t="str">
        <f t="shared" si="220"/>
        <v>0C8</v>
      </c>
      <c r="AO1685" s="2"/>
      <c r="AP1685" s="2" t="str">
        <f t="shared" si="221"/>
        <v>80C8</v>
      </c>
    </row>
    <row r="1686" spans="6:42" x14ac:dyDescent="0.2">
      <c r="F1686" s="1"/>
      <c r="G1686" s="3"/>
      <c r="H1686" s="8"/>
      <c r="N1686" s="1"/>
      <c r="V1686" s="1"/>
      <c r="AD1686" s="1"/>
      <c r="AJ1686" s="6">
        <f t="shared" si="222"/>
        <v>200</v>
      </c>
      <c r="AK1686" s="4">
        <v>1669</v>
      </c>
      <c r="AM1686" s="2" t="str">
        <f t="shared" si="223"/>
        <v>8</v>
      </c>
      <c r="AN1686" s="2" t="str">
        <f t="shared" si="220"/>
        <v>0C8</v>
      </c>
      <c r="AO1686" s="2"/>
      <c r="AP1686" s="2" t="str">
        <f t="shared" si="221"/>
        <v>80C8</v>
      </c>
    </row>
    <row r="1687" spans="6:42" x14ac:dyDescent="0.2">
      <c r="F1687" s="1"/>
      <c r="G1687" s="3"/>
      <c r="H1687" s="8"/>
      <c r="N1687" s="1"/>
      <c r="V1687" s="1"/>
      <c r="AD1687" s="1"/>
      <c r="AJ1687" s="6">
        <f t="shared" si="222"/>
        <v>200</v>
      </c>
      <c r="AK1687" s="4">
        <v>1670</v>
      </c>
      <c r="AM1687" s="2" t="str">
        <f t="shared" si="223"/>
        <v>8</v>
      </c>
      <c r="AN1687" s="2" t="str">
        <f t="shared" si="220"/>
        <v>0C8</v>
      </c>
      <c r="AO1687" s="2"/>
      <c r="AP1687" s="2" t="str">
        <f t="shared" si="221"/>
        <v>80C8</v>
      </c>
    </row>
    <row r="1688" spans="6:42" x14ac:dyDescent="0.2">
      <c r="F1688" s="1"/>
      <c r="G1688" s="3"/>
      <c r="H1688" s="8"/>
      <c r="N1688" s="1"/>
      <c r="V1688" s="1"/>
      <c r="AD1688" s="1"/>
      <c r="AJ1688" s="6">
        <f t="shared" si="222"/>
        <v>200</v>
      </c>
      <c r="AK1688" s="4">
        <v>1671</v>
      </c>
      <c r="AM1688" s="2" t="str">
        <f t="shared" si="223"/>
        <v>8</v>
      </c>
      <c r="AN1688" s="2" t="str">
        <f t="shared" si="220"/>
        <v>0C8</v>
      </c>
      <c r="AO1688" s="2"/>
      <c r="AP1688" s="2" t="str">
        <f t="shared" si="221"/>
        <v>80C8</v>
      </c>
    </row>
    <row r="1689" spans="6:42" x14ac:dyDescent="0.2">
      <c r="F1689" s="1"/>
      <c r="G1689" s="3"/>
      <c r="H1689" s="8"/>
      <c r="N1689" s="1"/>
      <c r="V1689" s="1"/>
      <c r="AD1689" s="1"/>
      <c r="AJ1689" s="6">
        <f t="shared" si="222"/>
        <v>200</v>
      </c>
      <c r="AK1689" s="4">
        <v>1672</v>
      </c>
      <c r="AM1689" s="2" t="str">
        <f t="shared" si="223"/>
        <v>8</v>
      </c>
      <c r="AN1689" s="2" t="str">
        <f t="shared" si="220"/>
        <v>0C8</v>
      </c>
      <c r="AO1689" s="2"/>
      <c r="AP1689" s="2" t="str">
        <f t="shared" si="221"/>
        <v>80C8</v>
      </c>
    </row>
    <row r="1690" spans="6:42" x14ac:dyDescent="0.2">
      <c r="F1690" s="1"/>
      <c r="G1690" s="3"/>
      <c r="H1690" s="8"/>
      <c r="N1690" s="1"/>
      <c r="V1690" s="1"/>
      <c r="AD1690" s="1"/>
      <c r="AJ1690" s="6">
        <f t="shared" si="222"/>
        <v>200</v>
      </c>
      <c r="AK1690" s="4">
        <v>1673</v>
      </c>
      <c r="AM1690" s="2" t="str">
        <f t="shared" si="223"/>
        <v>8</v>
      </c>
      <c r="AN1690" s="2" t="str">
        <f t="shared" si="220"/>
        <v>0C8</v>
      </c>
      <c r="AO1690" s="2"/>
      <c r="AP1690" s="2" t="str">
        <f t="shared" si="221"/>
        <v>80C8</v>
      </c>
    </row>
    <row r="1691" spans="6:42" x14ac:dyDescent="0.2">
      <c r="F1691" s="1"/>
      <c r="G1691" s="3"/>
      <c r="H1691" s="8"/>
      <c r="N1691" s="1"/>
      <c r="V1691" s="1"/>
      <c r="AD1691" s="1"/>
      <c r="AJ1691" s="6">
        <f t="shared" si="222"/>
        <v>200</v>
      </c>
      <c r="AK1691" s="4">
        <v>1674</v>
      </c>
      <c r="AM1691" s="2" t="str">
        <f t="shared" si="223"/>
        <v>8</v>
      </c>
      <c r="AN1691" s="2" t="str">
        <f t="shared" si="220"/>
        <v>0C8</v>
      </c>
      <c r="AO1691" s="2"/>
      <c r="AP1691" s="2" t="str">
        <f t="shared" si="221"/>
        <v>80C8</v>
      </c>
    </row>
    <row r="1692" spans="6:42" x14ac:dyDescent="0.2">
      <c r="F1692" s="1"/>
      <c r="G1692" s="3"/>
      <c r="H1692" s="8"/>
      <c r="N1692" s="1"/>
      <c r="V1692" s="1"/>
      <c r="AD1692" s="1"/>
      <c r="AJ1692" s="6">
        <f t="shared" si="222"/>
        <v>200</v>
      </c>
      <c r="AK1692" s="4">
        <v>1675</v>
      </c>
      <c r="AM1692" s="2" t="str">
        <f t="shared" si="223"/>
        <v>8</v>
      </c>
      <c r="AN1692" s="2" t="str">
        <f t="shared" si="220"/>
        <v>0C8</v>
      </c>
      <c r="AO1692" s="2"/>
      <c r="AP1692" s="2" t="str">
        <f t="shared" si="221"/>
        <v>80C8</v>
      </c>
    </row>
    <row r="1693" spans="6:42" x14ac:dyDescent="0.2">
      <c r="F1693" s="1"/>
      <c r="G1693" s="3"/>
      <c r="H1693" s="8"/>
      <c r="N1693" s="1"/>
      <c r="V1693" s="1"/>
      <c r="AD1693" s="1"/>
      <c r="AJ1693" s="6">
        <f t="shared" si="222"/>
        <v>230</v>
      </c>
      <c r="AK1693" s="4">
        <v>1676</v>
      </c>
      <c r="AM1693" s="2" t="str">
        <f t="shared" si="223"/>
        <v>8</v>
      </c>
      <c r="AN1693" s="2" t="str">
        <f t="shared" si="220"/>
        <v>0E6</v>
      </c>
      <c r="AO1693" s="2"/>
      <c r="AP1693" s="2" t="str">
        <f t="shared" si="221"/>
        <v>80E6</v>
      </c>
    </row>
    <row r="1694" spans="6:42" x14ac:dyDescent="0.2">
      <c r="F1694" s="1"/>
      <c r="G1694" s="3"/>
      <c r="H1694" s="8"/>
      <c r="N1694" s="1"/>
      <c r="V1694" s="1"/>
      <c r="AD1694" s="1"/>
      <c r="AJ1694" s="6">
        <f t="shared" si="222"/>
        <v>260</v>
      </c>
      <c r="AK1694" s="4">
        <v>1677</v>
      </c>
      <c r="AM1694" s="2" t="str">
        <f t="shared" si="223"/>
        <v>8</v>
      </c>
      <c r="AN1694" s="2" t="str">
        <f t="shared" si="220"/>
        <v>104</v>
      </c>
      <c r="AO1694" s="2"/>
      <c r="AP1694" s="2" t="str">
        <f t="shared" si="221"/>
        <v>8104</v>
      </c>
    </row>
    <row r="1695" spans="6:42" x14ac:dyDescent="0.2">
      <c r="F1695" s="1"/>
      <c r="G1695" s="3"/>
      <c r="H1695" s="8"/>
      <c r="N1695" s="1"/>
      <c r="V1695" s="1"/>
      <c r="AD1695" s="1"/>
      <c r="AJ1695" s="6">
        <f t="shared" si="222"/>
        <v>290</v>
      </c>
      <c r="AK1695" s="4">
        <v>1678</v>
      </c>
      <c r="AM1695" s="2" t="str">
        <f t="shared" si="223"/>
        <v>8</v>
      </c>
      <c r="AN1695" s="2" t="str">
        <f t="shared" si="220"/>
        <v>122</v>
      </c>
      <c r="AO1695" s="2"/>
      <c r="AP1695" s="2" t="str">
        <f t="shared" si="221"/>
        <v>8122</v>
      </c>
    </row>
    <row r="1696" spans="6:42" x14ac:dyDescent="0.2">
      <c r="F1696" s="1"/>
      <c r="G1696" s="3"/>
      <c r="H1696" s="8"/>
      <c r="N1696" s="1"/>
      <c r="V1696" s="1"/>
      <c r="AD1696" s="1"/>
      <c r="AJ1696" s="6">
        <f t="shared" si="222"/>
        <v>320</v>
      </c>
      <c r="AK1696" s="4">
        <v>1679</v>
      </c>
      <c r="AM1696" s="2" t="str">
        <f t="shared" si="223"/>
        <v>8</v>
      </c>
      <c r="AN1696" s="2" t="str">
        <f t="shared" ref="AN1696:AN1759" si="224">DEC2HEX(AJ1696,3)</f>
        <v>140</v>
      </c>
      <c r="AO1696" s="2"/>
      <c r="AP1696" s="2" t="str">
        <f t="shared" ref="AP1696:AP1759" si="225">CONCATENATE(AM1696,AN1696)</f>
        <v>8140</v>
      </c>
    </row>
    <row r="1697" spans="6:42" x14ac:dyDescent="0.2">
      <c r="F1697" s="1"/>
      <c r="G1697" s="3"/>
      <c r="H1697" s="8"/>
      <c r="N1697" s="1"/>
      <c r="V1697" s="1"/>
      <c r="AD1697" s="1"/>
      <c r="AJ1697" s="6">
        <f t="shared" si="222"/>
        <v>350</v>
      </c>
      <c r="AK1697" s="4">
        <v>1680</v>
      </c>
      <c r="AM1697" s="2" t="str">
        <f t="shared" si="223"/>
        <v>8</v>
      </c>
      <c r="AN1697" s="2" t="str">
        <f t="shared" si="224"/>
        <v>15E</v>
      </c>
      <c r="AO1697" s="2"/>
      <c r="AP1697" s="2" t="str">
        <f t="shared" si="225"/>
        <v>815E</v>
      </c>
    </row>
    <row r="1698" spans="6:42" x14ac:dyDescent="0.2">
      <c r="F1698" s="1"/>
      <c r="G1698" s="3"/>
      <c r="H1698" s="8"/>
      <c r="N1698" s="1"/>
      <c r="V1698" s="1"/>
      <c r="AD1698" s="1"/>
      <c r="AJ1698" s="6">
        <f t="shared" si="222"/>
        <v>380</v>
      </c>
      <c r="AK1698" s="4">
        <v>1681</v>
      </c>
      <c r="AM1698" s="2" t="str">
        <f t="shared" si="223"/>
        <v>8</v>
      </c>
      <c r="AN1698" s="2" t="str">
        <f t="shared" si="224"/>
        <v>17C</v>
      </c>
      <c r="AO1698" s="2"/>
      <c r="AP1698" s="2" t="str">
        <f t="shared" si="225"/>
        <v>817C</v>
      </c>
    </row>
    <row r="1699" spans="6:42" x14ac:dyDescent="0.2">
      <c r="F1699" s="1"/>
      <c r="G1699" s="3"/>
      <c r="H1699" s="8"/>
      <c r="N1699" s="1"/>
      <c r="V1699" s="1"/>
      <c r="AD1699" s="1"/>
      <c r="AJ1699" s="6">
        <f t="shared" si="222"/>
        <v>410</v>
      </c>
      <c r="AK1699" s="4">
        <v>1682</v>
      </c>
      <c r="AM1699" s="2" t="str">
        <f t="shared" si="223"/>
        <v>8</v>
      </c>
      <c r="AN1699" s="2" t="str">
        <f t="shared" si="224"/>
        <v>19A</v>
      </c>
      <c r="AO1699" s="2"/>
      <c r="AP1699" s="2" t="str">
        <f t="shared" si="225"/>
        <v>819A</v>
      </c>
    </row>
    <row r="1700" spans="6:42" x14ac:dyDescent="0.2">
      <c r="F1700" s="1"/>
      <c r="G1700" s="3"/>
      <c r="H1700" s="8"/>
      <c r="N1700" s="1"/>
      <c r="V1700" s="1"/>
      <c r="AD1700" s="1"/>
      <c r="AJ1700" s="6">
        <f t="shared" si="222"/>
        <v>440</v>
      </c>
      <c r="AK1700" s="4">
        <v>1683</v>
      </c>
      <c r="AM1700" s="2" t="str">
        <f t="shared" si="223"/>
        <v>8</v>
      </c>
      <c r="AN1700" s="2" t="str">
        <f t="shared" si="224"/>
        <v>1B8</v>
      </c>
      <c r="AO1700" s="2"/>
      <c r="AP1700" s="2" t="str">
        <f t="shared" si="225"/>
        <v>81B8</v>
      </c>
    </row>
    <row r="1701" spans="6:42" x14ac:dyDescent="0.2">
      <c r="F1701" s="1"/>
      <c r="G1701" s="3"/>
      <c r="H1701" s="8"/>
      <c r="N1701" s="1"/>
      <c r="V1701" s="1"/>
      <c r="AD1701" s="1"/>
      <c r="AJ1701" s="6">
        <f t="shared" si="222"/>
        <v>470</v>
      </c>
      <c r="AK1701" s="4">
        <v>1684</v>
      </c>
      <c r="AM1701" s="2" t="str">
        <f t="shared" si="223"/>
        <v>8</v>
      </c>
      <c r="AN1701" s="2" t="str">
        <f t="shared" si="224"/>
        <v>1D6</v>
      </c>
      <c r="AO1701" s="2"/>
      <c r="AP1701" s="2" t="str">
        <f t="shared" si="225"/>
        <v>81D6</v>
      </c>
    </row>
    <row r="1702" spans="6:42" x14ac:dyDescent="0.2">
      <c r="F1702" s="1"/>
      <c r="G1702" s="3"/>
      <c r="H1702" s="8"/>
      <c r="N1702" s="1"/>
      <c r="V1702" s="1"/>
      <c r="AD1702" s="1"/>
      <c r="AJ1702" s="6">
        <f t="shared" si="222"/>
        <v>500</v>
      </c>
      <c r="AK1702" s="4">
        <v>1685</v>
      </c>
      <c r="AM1702" s="2" t="str">
        <f t="shared" si="223"/>
        <v>8</v>
      </c>
      <c r="AN1702" s="2" t="str">
        <f t="shared" si="224"/>
        <v>1F4</v>
      </c>
      <c r="AO1702" s="2"/>
      <c r="AP1702" s="2" t="str">
        <f t="shared" si="225"/>
        <v>81F4</v>
      </c>
    </row>
    <row r="1703" spans="6:42" x14ac:dyDescent="0.2">
      <c r="F1703" s="1"/>
      <c r="G1703" s="3"/>
      <c r="H1703" s="8"/>
      <c r="N1703" s="1"/>
      <c r="V1703" s="1"/>
      <c r="AD1703" s="1"/>
      <c r="AJ1703" s="6">
        <f t="shared" si="222"/>
        <v>530</v>
      </c>
      <c r="AK1703" s="4">
        <v>1686</v>
      </c>
      <c r="AM1703" s="2" t="str">
        <f t="shared" si="223"/>
        <v>8</v>
      </c>
      <c r="AN1703" s="2" t="str">
        <f t="shared" si="224"/>
        <v>212</v>
      </c>
      <c r="AO1703" s="2"/>
      <c r="AP1703" s="2" t="str">
        <f t="shared" si="225"/>
        <v>8212</v>
      </c>
    </row>
    <row r="1704" spans="6:42" x14ac:dyDescent="0.2">
      <c r="F1704" s="1"/>
      <c r="G1704" s="3"/>
      <c r="H1704" s="8"/>
      <c r="N1704" s="1"/>
      <c r="V1704" s="1"/>
      <c r="AD1704" s="1"/>
      <c r="AJ1704" s="6">
        <f t="shared" si="222"/>
        <v>560</v>
      </c>
      <c r="AK1704" s="4">
        <v>1687</v>
      </c>
      <c r="AM1704" s="2" t="str">
        <f t="shared" si="223"/>
        <v>8</v>
      </c>
      <c r="AN1704" s="2" t="str">
        <f t="shared" si="224"/>
        <v>230</v>
      </c>
      <c r="AO1704" s="2"/>
      <c r="AP1704" s="2" t="str">
        <f t="shared" si="225"/>
        <v>8230</v>
      </c>
    </row>
    <row r="1705" spans="6:42" x14ac:dyDescent="0.2">
      <c r="F1705" s="1"/>
      <c r="G1705" s="3"/>
      <c r="H1705" s="8"/>
      <c r="N1705" s="1"/>
      <c r="V1705" s="1"/>
      <c r="AD1705" s="1"/>
      <c r="AJ1705" s="6">
        <f t="shared" si="222"/>
        <v>590</v>
      </c>
      <c r="AK1705" s="4">
        <v>1688</v>
      </c>
      <c r="AM1705" s="2" t="str">
        <f t="shared" si="223"/>
        <v>8</v>
      </c>
      <c r="AN1705" s="2" t="str">
        <f t="shared" si="224"/>
        <v>24E</v>
      </c>
      <c r="AO1705" s="2"/>
      <c r="AP1705" s="2" t="str">
        <f t="shared" si="225"/>
        <v>824E</v>
      </c>
    </row>
    <row r="1706" spans="6:42" x14ac:dyDescent="0.2">
      <c r="F1706" s="1"/>
      <c r="G1706" s="3"/>
      <c r="H1706" s="8"/>
      <c r="N1706" s="1"/>
      <c r="V1706" s="1"/>
      <c r="AD1706" s="1"/>
      <c r="AJ1706" s="6">
        <f t="shared" si="222"/>
        <v>620</v>
      </c>
      <c r="AK1706" s="4">
        <v>1689</v>
      </c>
      <c r="AM1706" s="2" t="str">
        <f t="shared" si="223"/>
        <v>8</v>
      </c>
      <c r="AN1706" s="2" t="str">
        <f t="shared" si="224"/>
        <v>26C</v>
      </c>
      <c r="AO1706" s="2"/>
      <c r="AP1706" s="2" t="str">
        <f t="shared" si="225"/>
        <v>826C</v>
      </c>
    </row>
    <row r="1707" spans="6:42" x14ac:dyDescent="0.2">
      <c r="F1707" s="1"/>
      <c r="G1707" s="3"/>
      <c r="H1707" s="8"/>
      <c r="N1707" s="1"/>
      <c r="V1707" s="1"/>
      <c r="AD1707" s="1"/>
      <c r="AJ1707" s="6">
        <f t="shared" si="222"/>
        <v>650</v>
      </c>
      <c r="AK1707" s="4">
        <v>1690</v>
      </c>
      <c r="AM1707" s="2" t="str">
        <f t="shared" si="223"/>
        <v>8</v>
      </c>
      <c r="AN1707" s="2" t="str">
        <f t="shared" si="224"/>
        <v>28A</v>
      </c>
      <c r="AO1707" s="2"/>
      <c r="AP1707" s="2" t="str">
        <f t="shared" si="225"/>
        <v>828A</v>
      </c>
    </row>
    <row r="1708" spans="6:42" x14ac:dyDescent="0.2">
      <c r="F1708" s="1"/>
      <c r="G1708" s="3"/>
      <c r="H1708" s="8"/>
      <c r="N1708" s="1"/>
      <c r="V1708" s="1"/>
      <c r="AD1708" s="1"/>
      <c r="AJ1708" s="6">
        <f t="shared" si="222"/>
        <v>680</v>
      </c>
      <c r="AK1708" s="4">
        <v>1691</v>
      </c>
      <c r="AM1708" s="2" t="str">
        <f t="shared" si="223"/>
        <v>8</v>
      </c>
      <c r="AN1708" s="2" t="str">
        <f t="shared" si="224"/>
        <v>2A8</v>
      </c>
      <c r="AO1708" s="2"/>
      <c r="AP1708" s="2" t="str">
        <f t="shared" si="225"/>
        <v>82A8</v>
      </c>
    </row>
    <row r="1709" spans="6:42" x14ac:dyDescent="0.2">
      <c r="F1709" s="1"/>
      <c r="G1709" s="3"/>
      <c r="H1709" s="8"/>
      <c r="N1709" s="1"/>
      <c r="V1709" s="1"/>
      <c r="AD1709" s="1"/>
      <c r="AJ1709" s="6">
        <f t="shared" si="222"/>
        <v>710</v>
      </c>
      <c r="AK1709" s="4">
        <v>1692</v>
      </c>
      <c r="AM1709" s="2" t="str">
        <f t="shared" si="223"/>
        <v>8</v>
      </c>
      <c r="AN1709" s="2" t="str">
        <f t="shared" si="224"/>
        <v>2C6</v>
      </c>
      <c r="AO1709" s="2"/>
      <c r="AP1709" s="2" t="str">
        <f t="shared" si="225"/>
        <v>82C6</v>
      </c>
    </row>
    <row r="1710" spans="6:42" x14ac:dyDescent="0.2">
      <c r="F1710" s="1"/>
      <c r="G1710" s="3"/>
      <c r="H1710" s="8"/>
      <c r="N1710" s="1"/>
      <c r="V1710" s="1"/>
      <c r="AD1710" s="1"/>
      <c r="AJ1710" s="6">
        <f t="shared" si="222"/>
        <v>740</v>
      </c>
      <c r="AK1710" s="4">
        <v>1693</v>
      </c>
      <c r="AM1710" s="2" t="str">
        <f t="shared" si="223"/>
        <v>8</v>
      </c>
      <c r="AN1710" s="2" t="str">
        <f t="shared" si="224"/>
        <v>2E4</v>
      </c>
      <c r="AO1710" s="2"/>
      <c r="AP1710" s="2" t="str">
        <f t="shared" si="225"/>
        <v>82E4</v>
      </c>
    </row>
    <row r="1711" spans="6:42" x14ac:dyDescent="0.2">
      <c r="F1711" s="1"/>
      <c r="G1711" s="3"/>
      <c r="H1711" s="8"/>
      <c r="N1711" s="1"/>
      <c r="V1711" s="1"/>
      <c r="AD1711" s="1"/>
      <c r="AJ1711" s="6">
        <f t="shared" si="222"/>
        <v>770</v>
      </c>
      <c r="AK1711" s="4">
        <v>1694</v>
      </c>
      <c r="AM1711" s="2" t="str">
        <f t="shared" si="223"/>
        <v>8</v>
      </c>
      <c r="AN1711" s="2" t="str">
        <f t="shared" si="224"/>
        <v>302</v>
      </c>
      <c r="AO1711" s="2"/>
      <c r="AP1711" s="2" t="str">
        <f t="shared" si="225"/>
        <v>8302</v>
      </c>
    </row>
    <row r="1712" spans="6:42" x14ac:dyDescent="0.2">
      <c r="F1712" s="1"/>
      <c r="G1712" s="3"/>
      <c r="H1712" s="8"/>
      <c r="N1712" s="1"/>
      <c r="V1712" s="1"/>
      <c r="AD1712" s="1"/>
      <c r="AJ1712" s="6">
        <f t="shared" si="222"/>
        <v>800</v>
      </c>
      <c r="AK1712" s="4">
        <v>1695</v>
      </c>
      <c r="AM1712" s="2" t="str">
        <f t="shared" si="223"/>
        <v>8</v>
      </c>
      <c r="AN1712" s="2" t="str">
        <f t="shared" si="224"/>
        <v>320</v>
      </c>
      <c r="AO1712" s="2"/>
      <c r="AP1712" s="2" t="str">
        <f t="shared" si="225"/>
        <v>8320</v>
      </c>
    </row>
    <row r="1713" spans="6:42" x14ac:dyDescent="0.2">
      <c r="F1713" s="1"/>
      <c r="G1713" s="3"/>
      <c r="H1713" s="8"/>
      <c r="N1713" s="1"/>
      <c r="V1713" s="1"/>
      <c r="AD1713" s="1"/>
      <c r="AJ1713" s="6">
        <f t="shared" si="222"/>
        <v>800</v>
      </c>
      <c r="AK1713" s="4">
        <v>1696</v>
      </c>
      <c r="AM1713" s="2" t="str">
        <f t="shared" si="223"/>
        <v>8</v>
      </c>
      <c r="AN1713" s="2" t="str">
        <f t="shared" si="224"/>
        <v>320</v>
      </c>
      <c r="AO1713" s="2"/>
      <c r="AP1713" s="2" t="str">
        <f t="shared" si="225"/>
        <v>8320</v>
      </c>
    </row>
    <row r="1714" spans="6:42" x14ac:dyDescent="0.2">
      <c r="F1714" s="1"/>
      <c r="G1714" s="3"/>
      <c r="H1714" s="8"/>
      <c r="N1714" s="1"/>
      <c r="V1714" s="1"/>
      <c r="AD1714" s="1"/>
      <c r="AJ1714" s="6">
        <f t="shared" si="222"/>
        <v>800</v>
      </c>
      <c r="AK1714" s="4">
        <v>1697</v>
      </c>
      <c r="AM1714" s="2" t="str">
        <f t="shared" si="223"/>
        <v>8</v>
      </c>
      <c r="AN1714" s="2" t="str">
        <f t="shared" si="224"/>
        <v>320</v>
      </c>
      <c r="AO1714" s="2"/>
      <c r="AP1714" s="2" t="str">
        <f t="shared" si="225"/>
        <v>8320</v>
      </c>
    </row>
    <row r="1715" spans="6:42" x14ac:dyDescent="0.2">
      <c r="F1715" s="1"/>
      <c r="G1715" s="3"/>
      <c r="H1715" s="8"/>
      <c r="N1715" s="1"/>
      <c r="V1715" s="1"/>
      <c r="AD1715" s="1"/>
      <c r="AJ1715" s="6">
        <f t="shared" si="222"/>
        <v>800</v>
      </c>
      <c r="AK1715" s="4">
        <v>1698</v>
      </c>
      <c r="AM1715" s="2" t="str">
        <f t="shared" si="223"/>
        <v>8</v>
      </c>
      <c r="AN1715" s="2" t="str">
        <f t="shared" si="224"/>
        <v>320</v>
      </c>
      <c r="AO1715" s="2"/>
      <c r="AP1715" s="2" t="str">
        <f t="shared" si="225"/>
        <v>8320</v>
      </c>
    </row>
    <row r="1716" spans="6:42" x14ac:dyDescent="0.2">
      <c r="F1716" s="1"/>
      <c r="G1716" s="3"/>
      <c r="H1716" s="8"/>
      <c r="N1716" s="1"/>
      <c r="V1716" s="1"/>
      <c r="AD1716" s="1"/>
      <c r="AJ1716" s="6">
        <f t="shared" si="222"/>
        <v>800</v>
      </c>
      <c r="AK1716" s="4">
        <v>1699</v>
      </c>
      <c r="AM1716" s="2" t="str">
        <f t="shared" si="223"/>
        <v>8</v>
      </c>
      <c r="AN1716" s="2" t="str">
        <f t="shared" si="224"/>
        <v>320</v>
      </c>
      <c r="AO1716" s="2"/>
      <c r="AP1716" s="2" t="str">
        <f t="shared" si="225"/>
        <v>8320</v>
      </c>
    </row>
    <row r="1717" spans="6:42" x14ac:dyDescent="0.2">
      <c r="F1717" s="1"/>
      <c r="G1717" s="3"/>
      <c r="H1717" s="8"/>
      <c r="N1717" s="1"/>
      <c r="V1717" s="1"/>
      <c r="AD1717" s="1"/>
      <c r="AJ1717" s="6">
        <f t="shared" si="222"/>
        <v>800</v>
      </c>
      <c r="AK1717" s="4">
        <v>1700</v>
      </c>
      <c r="AM1717" s="2" t="str">
        <f t="shared" si="223"/>
        <v>8</v>
      </c>
      <c r="AN1717" s="2" t="str">
        <f t="shared" si="224"/>
        <v>320</v>
      </c>
      <c r="AO1717" s="2"/>
      <c r="AP1717" s="2" t="str">
        <f t="shared" si="225"/>
        <v>8320</v>
      </c>
    </row>
    <row r="1718" spans="6:42" x14ac:dyDescent="0.2">
      <c r="F1718" s="1"/>
      <c r="G1718" s="3"/>
      <c r="H1718" s="8"/>
      <c r="N1718" s="1"/>
      <c r="V1718" s="1"/>
      <c r="AD1718" s="1"/>
      <c r="AJ1718" s="6">
        <f t="shared" si="222"/>
        <v>800</v>
      </c>
      <c r="AK1718" s="4">
        <v>1701</v>
      </c>
      <c r="AM1718" s="2" t="str">
        <f t="shared" si="223"/>
        <v>8</v>
      </c>
      <c r="AN1718" s="2" t="str">
        <f t="shared" si="224"/>
        <v>320</v>
      </c>
      <c r="AO1718" s="2"/>
      <c r="AP1718" s="2" t="str">
        <f t="shared" si="225"/>
        <v>8320</v>
      </c>
    </row>
    <row r="1719" spans="6:42" x14ac:dyDescent="0.2">
      <c r="F1719" s="1"/>
      <c r="G1719" s="3"/>
      <c r="H1719" s="8"/>
      <c r="N1719" s="1"/>
      <c r="V1719" s="1"/>
      <c r="AD1719" s="1"/>
      <c r="AJ1719" s="6">
        <f t="shared" si="222"/>
        <v>800</v>
      </c>
      <c r="AK1719" s="4">
        <v>1702</v>
      </c>
      <c r="AM1719" s="2" t="str">
        <f t="shared" si="223"/>
        <v>8</v>
      </c>
      <c r="AN1719" s="2" t="str">
        <f t="shared" si="224"/>
        <v>320</v>
      </c>
      <c r="AO1719" s="2"/>
      <c r="AP1719" s="2" t="str">
        <f t="shared" si="225"/>
        <v>8320</v>
      </c>
    </row>
    <row r="1720" spans="6:42" x14ac:dyDescent="0.2">
      <c r="F1720" s="1"/>
      <c r="G1720" s="3"/>
      <c r="H1720" s="8"/>
      <c r="N1720" s="1"/>
      <c r="V1720" s="1"/>
      <c r="AD1720" s="1"/>
      <c r="AJ1720" s="6">
        <f t="shared" si="222"/>
        <v>800</v>
      </c>
      <c r="AK1720" s="4">
        <v>1703</v>
      </c>
      <c r="AM1720" s="2" t="str">
        <f t="shared" si="223"/>
        <v>8</v>
      </c>
      <c r="AN1720" s="2" t="str">
        <f t="shared" si="224"/>
        <v>320</v>
      </c>
      <c r="AO1720" s="2"/>
      <c r="AP1720" s="2" t="str">
        <f t="shared" si="225"/>
        <v>8320</v>
      </c>
    </row>
    <row r="1721" spans="6:42" x14ac:dyDescent="0.2">
      <c r="F1721" s="1"/>
      <c r="G1721" s="3"/>
      <c r="H1721" s="8"/>
      <c r="N1721" s="1"/>
      <c r="V1721" s="1"/>
      <c r="AD1721" s="1"/>
      <c r="AJ1721" s="6">
        <f t="shared" si="222"/>
        <v>800</v>
      </c>
      <c r="AK1721" s="4">
        <v>1704</v>
      </c>
      <c r="AM1721" s="2" t="str">
        <f t="shared" si="223"/>
        <v>8</v>
      </c>
      <c r="AN1721" s="2" t="str">
        <f t="shared" si="224"/>
        <v>320</v>
      </c>
      <c r="AO1721" s="2"/>
      <c r="AP1721" s="2" t="str">
        <f t="shared" si="225"/>
        <v>8320</v>
      </c>
    </row>
    <row r="1722" spans="6:42" x14ac:dyDescent="0.2">
      <c r="F1722" s="1"/>
      <c r="G1722" s="3"/>
      <c r="H1722" s="8"/>
      <c r="N1722" s="1"/>
      <c r="V1722" s="1"/>
      <c r="AD1722" s="1"/>
      <c r="AJ1722" s="6">
        <f t="shared" si="222"/>
        <v>800</v>
      </c>
      <c r="AK1722" s="4">
        <v>1705</v>
      </c>
      <c r="AM1722" s="2" t="str">
        <f t="shared" si="223"/>
        <v>8</v>
      </c>
      <c r="AN1722" s="2" t="str">
        <f t="shared" si="224"/>
        <v>320</v>
      </c>
      <c r="AO1722" s="2"/>
      <c r="AP1722" s="2" t="str">
        <f t="shared" si="225"/>
        <v>8320</v>
      </c>
    </row>
    <row r="1723" spans="6:42" x14ac:dyDescent="0.2">
      <c r="F1723" s="1"/>
      <c r="G1723" s="3"/>
      <c r="H1723" s="8"/>
      <c r="N1723" s="1"/>
      <c r="V1723" s="1"/>
      <c r="AD1723" s="1"/>
      <c r="AJ1723" s="6">
        <f t="shared" si="222"/>
        <v>800</v>
      </c>
      <c r="AK1723" s="4">
        <v>1706</v>
      </c>
      <c r="AM1723" s="2" t="str">
        <f t="shared" si="223"/>
        <v>8</v>
      </c>
      <c r="AN1723" s="2" t="str">
        <f t="shared" si="224"/>
        <v>320</v>
      </c>
      <c r="AO1723" s="2"/>
      <c r="AP1723" s="2" t="str">
        <f t="shared" si="225"/>
        <v>8320</v>
      </c>
    </row>
    <row r="1724" spans="6:42" x14ac:dyDescent="0.2">
      <c r="F1724" s="1"/>
      <c r="G1724" s="3"/>
      <c r="H1724" s="8"/>
      <c r="N1724" s="1"/>
      <c r="V1724" s="1"/>
      <c r="AD1724" s="1"/>
      <c r="AJ1724" s="6">
        <f t="shared" si="222"/>
        <v>800</v>
      </c>
      <c r="AK1724" s="4">
        <v>1707</v>
      </c>
      <c r="AM1724" s="2" t="str">
        <f t="shared" si="223"/>
        <v>8</v>
      </c>
      <c r="AN1724" s="2" t="str">
        <f t="shared" si="224"/>
        <v>320</v>
      </c>
      <c r="AO1724" s="2"/>
      <c r="AP1724" s="2" t="str">
        <f t="shared" si="225"/>
        <v>8320</v>
      </c>
    </row>
    <row r="1725" spans="6:42" x14ac:dyDescent="0.2">
      <c r="F1725" s="1"/>
      <c r="G1725" s="3"/>
      <c r="H1725" s="8"/>
      <c r="N1725" s="1"/>
      <c r="V1725" s="1"/>
      <c r="AD1725" s="1"/>
      <c r="AJ1725" s="6">
        <f t="shared" si="222"/>
        <v>800</v>
      </c>
      <c r="AK1725" s="4">
        <v>1708</v>
      </c>
      <c r="AM1725" s="2" t="str">
        <f t="shared" si="223"/>
        <v>8</v>
      </c>
      <c r="AN1725" s="2" t="str">
        <f t="shared" si="224"/>
        <v>320</v>
      </c>
      <c r="AO1725" s="2"/>
      <c r="AP1725" s="2" t="str">
        <f t="shared" si="225"/>
        <v>8320</v>
      </c>
    </row>
    <row r="1726" spans="6:42" x14ac:dyDescent="0.2">
      <c r="F1726" s="1"/>
      <c r="G1726" s="3"/>
      <c r="H1726" s="8"/>
      <c r="N1726" s="1"/>
      <c r="V1726" s="1"/>
      <c r="AD1726" s="1"/>
      <c r="AJ1726" s="6">
        <f t="shared" si="222"/>
        <v>800</v>
      </c>
      <c r="AK1726" s="4">
        <v>1709</v>
      </c>
      <c r="AM1726" s="2" t="str">
        <f t="shared" si="223"/>
        <v>8</v>
      </c>
      <c r="AN1726" s="2" t="str">
        <f t="shared" si="224"/>
        <v>320</v>
      </c>
      <c r="AO1726" s="2"/>
      <c r="AP1726" s="2" t="str">
        <f t="shared" si="225"/>
        <v>8320</v>
      </c>
    </row>
    <row r="1727" spans="6:42" x14ac:dyDescent="0.2">
      <c r="F1727" s="1"/>
      <c r="G1727" s="3"/>
      <c r="H1727" s="8"/>
      <c r="N1727" s="1"/>
      <c r="V1727" s="1"/>
      <c r="AD1727" s="1"/>
      <c r="AJ1727" s="6">
        <f t="shared" si="222"/>
        <v>820</v>
      </c>
      <c r="AK1727" s="4">
        <v>1710</v>
      </c>
      <c r="AM1727" s="2" t="str">
        <f t="shared" si="223"/>
        <v>8</v>
      </c>
      <c r="AN1727" s="2" t="str">
        <f t="shared" si="224"/>
        <v>334</v>
      </c>
      <c r="AO1727" s="2"/>
      <c r="AP1727" s="2" t="str">
        <f t="shared" si="225"/>
        <v>8334</v>
      </c>
    </row>
    <row r="1728" spans="6:42" x14ac:dyDescent="0.2">
      <c r="F1728" s="1"/>
      <c r="G1728" s="3"/>
      <c r="H1728" s="8"/>
      <c r="N1728" s="1"/>
      <c r="V1728" s="1"/>
      <c r="AD1728" s="1"/>
      <c r="AJ1728" s="6">
        <f t="shared" si="222"/>
        <v>840</v>
      </c>
      <c r="AK1728" s="4">
        <v>1711</v>
      </c>
      <c r="AM1728" s="2" t="str">
        <f t="shared" si="223"/>
        <v>8</v>
      </c>
      <c r="AN1728" s="2" t="str">
        <f t="shared" si="224"/>
        <v>348</v>
      </c>
      <c r="AO1728" s="2"/>
      <c r="AP1728" s="2" t="str">
        <f t="shared" si="225"/>
        <v>8348</v>
      </c>
    </row>
    <row r="1729" spans="6:42" x14ac:dyDescent="0.2">
      <c r="F1729" s="1"/>
      <c r="G1729" s="3"/>
      <c r="H1729" s="8"/>
      <c r="N1729" s="1"/>
      <c r="V1729" s="1"/>
      <c r="AD1729" s="1"/>
      <c r="AJ1729" s="6">
        <f t="shared" si="222"/>
        <v>860</v>
      </c>
      <c r="AK1729" s="4">
        <v>1712</v>
      </c>
      <c r="AM1729" s="2" t="str">
        <f t="shared" si="223"/>
        <v>8</v>
      </c>
      <c r="AN1729" s="2" t="str">
        <f t="shared" si="224"/>
        <v>35C</v>
      </c>
      <c r="AO1729" s="2"/>
      <c r="AP1729" s="2" t="str">
        <f t="shared" si="225"/>
        <v>835C</v>
      </c>
    </row>
    <row r="1730" spans="6:42" x14ac:dyDescent="0.2">
      <c r="F1730" s="1"/>
      <c r="G1730" s="3"/>
      <c r="H1730" s="8"/>
      <c r="N1730" s="1"/>
      <c r="V1730" s="1"/>
      <c r="AD1730" s="1"/>
      <c r="AJ1730" s="6">
        <f t="shared" si="222"/>
        <v>880</v>
      </c>
      <c r="AK1730" s="4">
        <v>1713</v>
      </c>
      <c r="AM1730" s="2" t="str">
        <f t="shared" si="223"/>
        <v>8</v>
      </c>
      <c r="AN1730" s="2" t="str">
        <f t="shared" si="224"/>
        <v>370</v>
      </c>
      <c r="AO1730" s="2"/>
      <c r="AP1730" s="2" t="str">
        <f t="shared" si="225"/>
        <v>8370</v>
      </c>
    </row>
    <row r="1731" spans="6:42" x14ac:dyDescent="0.2">
      <c r="F1731" s="1"/>
      <c r="G1731" s="3"/>
      <c r="H1731" s="8"/>
      <c r="N1731" s="1"/>
      <c r="V1731" s="1"/>
      <c r="AD1731" s="1"/>
      <c r="AJ1731" s="6">
        <f t="shared" si="222"/>
        <v>900</v>
      </c>
      <c r="AK1731" s="4">
        <v>1714</v>
      </c>
      <c r="AM1731" s="2" t="str">
        <f t="shared" si="223"/>
        <v>8</v>
      </c>
      <c r="AN1731" s="2" t="str">
        <f t="shared" si="224"/>
        <v>384</v>
      </c>
      <c r="AO1731" s="2"/>
      <c r="AP1731" s="2" t="str">
        <f t="shared" si="225"/>
        <v>8384</v>
      </c>
    </row>
    <row r="1732" spans="6:42" x14ac:dyDescent="0.2">
      <c r="F1732" s="1"/>
      <c r="G1732" s="3"/>
      <c r="H1732" s="8"/>
      <c r="N1732" s="1"/>
      <c r="V1732" s="1"/>
      <c r="AD1732" s="1"/>
      <c r="AJ1732" s="6">
        <f t="shared" si="222"/>
        <v>920</v>
      </c>
      <c r="AK1732" s="4">
        <v>1715</v>
      </c>
      <c r="AM1732" s="2" t="str">
        <f t="shared" si="223"/>
        <v>8</v>
      </c>
      <c r="AN1732" s="2" t="str">
        <f t="shared" si="224"/>
        <v>398</v>
      </c>
      <c r="AO1732" s="2"/>
      <c r="AP1732" s="2" t="str">
        <f t="shared" si="225"/>
        <v>8398</v>
      </c>
    </row>
    <row r="1733" spans="6:42" x14ac:dyDescent="0.2">
      <c r="F1733" s="1"/>
      <c r="G1733" s="3"/>
      <c r="H1733" s="8"/>
      <c r="N1733" s="1"/>
      <c r="V1733" s="1"/>
      <c r="AD1733" s="1"/>
      <c r="AJ1733" s="6">
        <f t="shared" si="222"/>
        <v>940</v>
      </c>
      <c r="AK1733" s="4">
        <v>1716</v>
      </c>
      <c r="AM1733" s="2" t="str">
        <f t="shared" si="223"/>
        <v>8</v>
      </c>
      <c r="AN1733" s="2" t="str">
        <f t="shared" si="224"/>
        <v>3AC</v>
      </c>
      <c r="AO1733" s="2"/>
      <c r="AP1733" s="2" t="str">
        <f t="shared" si="225"/>
        <v>83AC</v>
      </c>
    </row>
    <row r="1734" spans="6:42" x14ac:dyDescent="0.2">
      <c r="F1734" s="1"/>
      <c r="G1734" s="3"/>
      <c r="H1734" s="8"/>
      <c r="N1734" s="1"/>
      <c r="V1734" s="1"/>
      <c r="AD1734" s="1"/>
      <c r="AJ1734" s="6">
        <f t="shared" si="222"/>
        <v>960</v>
      </c>
      <c r="AK1734" s="4">
        <v>1717</v>
      </c>
      <c r="AM1734" s="2" t="str">
        <f t="shared" si="223"/>
        <v>8</v>
      </c>
      <c r="AN1734" s="2" t="str">
        <f t="shared" si="224"/>
        <v>3C0</v>
      </c>
      <c r="AO1734" s="2"/>
      <c r="AP1734" s="2" t="str">
        <f t="shared" si="225"/>
        <v>83C0</v>
      </c>
    </row>
    <row r="1735" spans="6:42" x14ac:dyDescent="0.2">
      <c r="F1735" s="1"/>
      <c r="G1735" s="3"/>
      <c r="H1735" s="8"/>
      <c r="N1735" s="1"/>
      <c r="V1735" s="1"/>
      <c r="AD1735" s="1"/>
      <c r="AJ1735" s="6">
        <f t="shared" si="222"/>
        <v>980</v>
      </c>
      <c r="AK1735" s="4">
        <v>1718</v>
      </c>
      <c r="AM1735" s="2" t="str">
        <f t="shared" si="223"/>
        <v>8</v>
      </c>
      <c r="AN1735" s="2" t="str">
        <f t="shared" si="224"/>
        <v>3D4</v>
      </c>
      <c r="AO1735" s="2"/>
      <c r="AP1735" s="2" t="str">
        <f t="shared" si="225"/>
        <v>83D4</v>
      </c>
    </row>
    <row r="1736" spans="6:42" x14ac:dyDescent="0.2">
      <c r="F1736" s="1"/>
      <c r="G1736" s="3"/>
      <c r="H1736" s="8"/>
      <c r="N1736" s="1"/>
      <c r="V1736" s="1"/>
      <c r="AD1736" s="1"/>
      <c r="AJ1736" s="6">
        <f t="shared" si="222"/>
        <v>1000</v>
      </c>
      <c r="AK1736" s="4">
        <v>1719</v>
      </c>
      <c r="AM1736" s="2" t="str">
        <f t="shared" si="223"/>
        <v>8</v>
      </c>
      <c r="AN1736" s="2" t="str">
        <f t="shared" si="224"/>
        <v>3E8</v>
      </c>
      <c r="AO1736" s="2"/>
      <c r="AP1736" s="2" t="str">
        <f t="shared" si="225"/>
        <v>83E8</v>
      </c>
    </row>
    <row r="1737" spans="6:42" x14ac:dyDescent="0.2">
      <c r="F1737" s="1"/>
      <c r="G1737" s="3"/>
      <c r="H1737" s="8"/>
      <c r="N1737" s="1"/>
      <c r="V1737" s="1"/>
      <c r="AD1737" s="1"/>
      <c r="AJ1737" s="6">
        <f t="shared" si="222"/>
        <v>1020</v>
      </c>
      <c r="AK1737" s="4">
        <v>1720</v>
      </c>
      <c r="AM1737" s="2" t="str">
        <f t="shared" si="223"/>
        <v>8</v>
      </c>
      <c r="AN1737" s="2" t="str">
        <f t="shared" si="224"/>
        <v>3FC</v>
      </c>
      <c r="AO1737" s="2"/>
      <c r="AP1737" s="2" t="str">
        <f t="shared" si="225"/>
        <v>83FC</v>
      </c>
    </row>
    <row r="1738" spans="6:42" x14ac:dyDescent="0.2">
      <c r="F1738" s="1"/>
      <c r="G1738" s="3"/>
      <c r="H1738" s="8"/>
      <c r="N1738" s="1"/>
      <c r="V1738" s="1"/>
      <c r="AD1738" s="1"/>
      <c r="AJ1738" s="6">
        <f t="shared" si="222"/>
        <v>1040</v>
      </c>
      <c r="AK1738" s="4">
        <v>1721</v>
      </c>
      <c r="AM1738" s="2" t="str">
        <f t="shared" si="223"/>
        <v>8</v>
      </c>
      <c r="AN1738" s="2" t="str">
        <f t="shared" si="224"/>
        <v>410</v>
      </c>
      <c r="AO1738" s="2"/>
      <c r="AP1738" s="2" t="str">
        <f t="shared" si="225"/>
        <v>8410</v>
      </c>
    </row>
    <row r="1739" spans="6:42" x14ac:dyDescent="0.2">
      <c r="F1739" s="1"/>
      <c r="G1739" s="3"/>
      <c r="H1739" s="8"/>
      <c r="N1739" s="1"/>
      <c r="V1739" s="1"/>
      <c r="AD1739" s="1"/>
      <c r="AJ1739" s="6">
        <f t="shared" si="222"/>
        <v>1060</v>
      </c>
      <c r="AK1739" s="4">
        <v>1722</v>
      </c>
      <c r="AM1739" s="2" t="str">
        <f t="shared" si="223"/>
        <v>8</v>
      </c>
      <c r="AN1739" s="2" t="str">
        <f t="shared" si="224"/>
        <v>424</v>
      </c>
      <c r="AO1739" s="2"/>
      <c r="AP1739" s="2" t="str">
        <f t="shared" si="225"/>
        <v>8424</v>
      </c>
    </row>
    <row r="1740" spans="6:42" x14ac:dyDescent="0.2">
      <c r="F1740" s="1"/>
      <c r="G1740" s="3"/>
      <c r="H1740" s="8"/>
      <c r="N1740" s="1"/>
      <c r="V1740" s="1"/>
      <c r="AD1740" s="1"/>
      <c r="AJ1740" s="6">
        <f t="shared" si="222"/>
        <v>1080</v>
      </c>
      <c r="AK1740" s="4">
        <v>1723</v>
      </c>
      <c r="AM1740" s="2" t="str">
        <f t="shared" si="223"/>
        <v>8</v>
      </c>
      <c r="AN1740" s="2" t="str">
        <f t="shared" si="224"/>
        <v>438</v>
      </c>
      <c r="AO1740" s="2"/>
      <c r="AP1740" s="2" t="str">
        <f t="shared" si="225"/>
        <v>8438</v>
      </c>
    </row>
    <row r="1741" spans="6:42" x14ac:dyDescent="0.2">
      <c r="F1741" s="1"/>
      <c r="G1741" s="3"/>
      <c r="H1741" s="8"/>
      <c r="N1741" s="1"/>
      <c r="V1741" s="1"/>
      <c r="AD1741" s="1"/>
      <c r="AJ1741" s="6">
        <f t="shared" si="222"/>
        <v>1100</v>
      </c>
      <c r="AK1741" s="4">
        <v>1724</v>
      </c>
      <c r="AM1741" s="2" t="str">
        <f t="shared" si="223"/>
        <v>8</v>
      </c>
      <c r="AN1741" s="2" t="str">
        <f t="shared" si="224"/>
        <v>44C</v>
      </c>
      <c r="AO1741" s="2"/>
      <c r="AP1741" s="2" t="str">
        <f t="shared" si="225"/>
        <v>844C</v>
      </c>
    </row>
    <row r="1742" spans="6:42" x14ac:dyDescent="0.2">
      <c r="F1742" s="1"/>
      <c r="G1742" s="3"/>
      <c r="H1742" s="8"/>
      <c r="N1742" s="1"/>
      <c r="V1742" s="1"/>
      <c r="AD1742" s="1"/>
      <c r="AJ1742" s="6">
        <f t="shared" si="222"/>
        <v>1120</v>
      </c>
      <c r="AK1742" s="4">
        <v>1725</v>
      </c>
      <c r="AM1742" s="2" t="str">
        <f t="shared" si="223"/>
        <v>8</v>
      </c>
      <c r="AN1742" s="2" t="str">
        <f t="shared" si="224"/>
        <v>460</v>
      </c>
      <c r="AO1742" s="2"/>
      <c r="AP1742" s="2" t="str">
        <f t="shared" si="225"/>
        <v>8460</v>
      </c>
    </row>
    <row r="1743" spans="6:42" x14ac:dyDescent="0.2">
      <c r="F1743" s="1"/>
      <c r="G1743" s="3"/>
      <c r="H1743" s="8"/>
      <c r="N1743" s="1"/>
      <c r="V1743" s="1"/>
      <c r="AD1743" s="1"/>
      <c r="AJ1743" s="6">
        <f t="shared" si="222"/>
        <v>1140</v>
      </c>
      <c r="AK1743" s="4">
        <v>1726</v>
      </c>
      <c r="AM1743" s="2" t="str">
        <f t="shared" si="223"/>
        <v>8</v>
      </c>
      <c r="AN1743" s="2" t="str">
        <f t="shared" si="224"/>
        <v>474</v>
      </c>
      <c r="AO1743" s="2"/>
      <c r="AP1743" s="2" t="str">
        <f t="shared" si="225"/>
        <v>8474</v>
      </c>
    </row>
    <row r="1744" spans="6:42" x14ac:dyDescent="0.2">
      <c r="F1744" s="1"/>
      <c r="G1744" s="3"/>
      <c r="H1744" s="8"/>
      <c r="N1744" s="1"/>
      <c r="V1744" s="1"/>
      <c r="AD1744" s="1"/>
      <c r="AJ1744" s="6">
        <f t="shared" si="222"/>
        <v>1160</v>
      </c>
      <c r="AK1744" s="4">
        <v>1727</v>
      </c>
      <c r="AM1744" s="2" t="str">
        <f t="shared" si="223"/>
        <v>8</v>
      </c>
      <c r="AN1744" s="2" t="str">
        <f t="shared" si="224"/>
        <v>488</v>
      </c>
      <c r="AO1744" s="2"/>
      <c r="AP1744" s="2" t="str">
        <f t="shared" si="225"/>
        <v>8488</v>
      </c>
    </row>
    <row r="1745" spans="6:42" x14ac:dyDescent="0.2">
      <c r="F1745" s="1"/>
      <c r="G1745" s="3"/>
      <c r="H1745" s="8"/>
      <c r="N1745" s="1"/>
      <c r="V1745" s="1"/>
      <c r="AD1745" s="1"/>
      <c r="AJ1745" s="6">
        <f t="shared" si="222"/>
        <v>1180</v>
      </c>
      <c r="AK1745" s="4">
        <v>1728</v>
      </c>
      <c r="AM1745" s="2" t="str">
        <f t="shared" si="223"/>
        <v>8</v>
      </c>
      <c r="AN1745" s="2" t="str">
        <f t="shared" si="224"/>
        <v>49C</v>
      </c>
      <c r="AO1745" s="2"/>
      <c r="AP1745" s="2" t="str">
        <f t="shared" si="225"/>
        <v>849C</v>
      </c>
    </row>
    <row r="1746" spans="6:42" x14ac:dyDescent="0.2">
      <c r="F1746" s="1"/>
      <c r="G1746" s="3"/>
      <c r="H1746" s="8"/>
      <c r="N1746" s="1"/>
      <c r="V1746" s="1"/>
      <c r="AD1746" s="1"/>
      <c r="AJ1746" s="6">
        <f t="shared" si="222"/>
        <v>1200</v>
      </c>
      <c r="AK1746" s="4">
        <v>1729</v>
      </c>
      <c r="AM1746" s="2" t="str">
        <f t="shared" si="223"/>
        <v>8</v>
      </c>
      <c r="AN1746" s="2" t="str">
        <f t="shared" si="224"/>
        <v>4B0</v>
      </c>
      <c r="AO1746" s="2"/>
      <c r="AP1746" s="2" t="str">
        <f t="shared" si="225"/>
        <v>84B0</v>
      </c>
    </row>
    <row r="1747" spans="6:42" x14ac:dyDescent="0.2">
      <c r="F1747" s="1"/>
      <c r="G1747" s="3"/>
      <c r="H1747" s="8"/>
      <c r="N1747" s="1"/>
      <c r="V1747" s="1"/>
      <c r="AD1747" s="1"/>
      <c r="AJ1747" s="6">
        <f t="shared" ref="AJ1747:AJ1810" si="226">ROUNDDOWN(($AE211*$AE$16+$I$6*100)*10,0)</f>
        <v>1200</v>
      </c>
      <c r="AK1747" s="4">
        <v>1730</v>
      </c>
      <c r="AM1747" s="2" t="str">
        <f t="shared" ref="AM1747:AM1810" si="227">BIN2HEX(AA211+10*AB211+100*AC211+1000*AD211,1)</f>
        <v>8</v>
      </c>
      <c r="AN1747" s="2" t="str">
        <f t="shared" si="224"/>
        <v>4B0</v>
      </c>
      <c r="AO1747" s="2"/>
      <c r="AP1747" s="2" t="str">
        <f t="shared" si="225"/>
        <v>84B0</v>
      </c>
    </row>
    <row r="1748" spans="6:42" x14ac:dyDescent="0.2">
      <c r="F1748" s="1"/>
      <c r="G1748" s="3"/>
      <c r="H1748" s="8"/>
      <c r="N1748" s="1"/>
      <c r="V1748" s="1"/>
      <c r="AD1748" s="1"/>
      <c r="AJ1748" s="6">
        <f t="shared" si="226"/>
        <v>1200</v>
      </c>
      <c r="AK1748" s="4">
        <v>1731</v>
      </c>
      <c r="AM1748" s="2" t="str">
        <f t="shared" si="227"/>
        <v>8</v>
      </c>
      <c r="AN1748" s="2" t="str">
        <f t="shared" si="224"/>
        <v>4B0</v>
      </c>
      <c r="AO1748" s="2"/>
      <c r="AP1748" s="2" t="str">
        <f t="shared" si="225"/>
        <v>84B0</v>
      </c>
    </row>
    <row r="1749" spans="6:42" x14ac:dyDescent="0.2">
      <c r="F1749" s="1"/>
      <c r="G1749" s="3"/>
      <c r="H1749" s="8"/>
      <c r="N1749" s="1"/>
      <c r="V1749" s="1"/>
      <c r="AD1749" s="1"/>
      <c r="AJ1749" s="6">
        <f t="shared" si="226"/>
        <v>1200</v>
      </c>
      <c r="AK1749" s="4">
        <v>1732</v>
      </c>
      <c r="AM1749" s="2" t="str">
        <f t="shared" si="227"/>
        <v>8</v>
      </c>
      <c r="AN1749" s="2" t="str">
        <f t="shared" si="224"/>
        <v>4B0</v>
      </c>
      <c r="AO1749" s="2"/>
      <c r="AP1749" s="2" t="str">
        <f t="shared" si="225"/>
        <v>84B0</v>
      </c>
    </row>
    <row r="1750" spans="6:42" x14ac:dyDescent="0.2">
      <c r="F1750" s="1"/>
      <c r="G1750" s="3"/>
      <c r="H1750" s="8"/>
      <c r="N1750" s="1"/>
      <c r="V1750" s="1"/>
      <c r="AD1750" s="1"/>
      <c r="AJ1750" s="6">
        <f t="shared" si="226"/>
        <v>1200</v>
      </c>
      <c r="AK1750" s="4">
        <v>1733</v>
      </c>
      <c r="AM1750" s="2" t="str">
        <f t="shared" si="227"/>
        <v>8</v>
      </c>
      <c r="AN1750" s="2" t="str">
        <f t="shared" si="224"/>
        <v>4B0</v>
      </c>
      <c r="AO1750" s="2"/>
      <c r="AP1750" s="2" t="str">
        <f t="shared" si="225"/>
        <v>84B0</v>
      </c>
    </row>
    <row r="1751" spans="6:42" x14ac:dyDescent="0.2">
      <c r="F1751" s="1"/>
      <c r="G1751" s="3"/>
      <c r="H1751" s="8"/>
      <c r="N1751" s="1"/>
      <c r="V1751" s="1"/>
      <c r="AD1751" s="1"/>
      <c r="AJ1751" s="6">
        <f t="shared" si="226"/>
        <v>1200</v>
      </c>
      <c r="AK1751" s="4">
        <v>1734</v>
      </c>
      <c r="AM1751" s="2" t="str">
        <f t="shared" si="227"/>
        <v>8</v>
      </c>
      <c r="AN1751" s="2" t="str">
        <f t="shared" si="224"/>
        <v>4B0</v>
      </c>
      <c r="AO1751" s="2"/>
      <c r="AP1751" s="2" t="str">
        <f t="shared" si="225"/>
        <v>84B0</v>
      </c>
    </row>
    <row r="1752" spans="6:42" x14ac:dyDescent="0.2">
      <c r="F1752" s="1"/>
      <c r="G1752" s="3"/>
      <c r="H1752" s="8"/>
      <c r="N1752" s="1"/>
      <c r="V1752" s="1"/>
      <c r="AD1752" s="1"/>
      <c r="AJ1752" s="6">
        <f t="shared" si="226"/>
        <v>1200</v>
      </c>
      <c r="AK1752" s="4">
        <v>1735</v>
      </c>
      <c r="AM1752" s="2" t="str">
        <f t="shared" si="227"/>
        <v>8</v>
      </c>
      <c r="AN1752" s="2" t="str">
        <f t="shared" si="224"/>
        <v>4B0</v>
      </c>
      <c r="AO1752" s="2"/>
      <c r="AP1752" s="2" t="str">
        <f t="shared" si="225"/>
        <v>84B0</v>
      </c>
    </row>
    <row r="1753" spans="6:42" x14ac:dyDescent="0.2">
      <c r="F1753" s="1"/>
      <c r="G1753" s="3"/>
      <c r="H1753" s="8"/>
      <c r="N1753" s="1"/>
      <c r="V1753" s="1"/>
      <c r="AD1753" s="1"/>
      <c r="AJ1753" s="6">
        <f t="shared" si="226"/>
        <v>1200</v>
      </c>
      <c r="AK1753" s="4">
        <v>1736</v>
      </c>
      <c r="AM1753" s="2" t="str">
        <f t="shared" si="227"/>
        <v>8</v>
      </c>
      <c r="AN1753" s="2" t="str">
        <f t="shared" si="224"/>
        <v>4B0</v>
      </c>
      <c r="AO1753" s="2"/>
      <c r="AP1753" s="2" t="str">
        <f t="shared" si="225"/>
        <v>84B0</v>
      </c>
    </row>
    <row r="1754" spans="6:42" x14ac:dyDescent="0.2">
      <c r="F1754" s="1"/>
      <c r="G1754" s="3"/>
      <c r="H1754" s="8"/>
      <c r="N1754" s="1"/>
      <c r="V1754" s="1"/>
      <c r="AD1754" s="1"/>
      <c r="AJ1754" s="6">
        <f t="shared" si="226"/>
        <v>1200</v>
      </c>
      <c r="AK1754" s="4">
        <v>1737</v>
      </c>
      <c r="AM1754" s="2" t="str">
        <f t="shared" si="227"/>
        <v>8</v>
      </c>
      <c r="AN1754" s="2" t="str">
        <f t="shared" si="224"/>
        <v>4B0</v>
      </c>
      <c r="AO1754" s="2"/>
      <c r="AP1754" s="2" t="str">
        <f t="shared" si="225"/>
        <v>84B0</v>
      </c>
    </row>
    <row r="1755" spans="6:42" x14ac:dyDescent="0.2">
      <c r="F1755" s="1"/>
      <c r="G1755" s="3"/>
      <c r="H1755" s="8"/>
      <c r="N1755" s="1"/>
      <c r="V1755" s="1"/>
      <c r="AD1755" s="1"/>
      <c r="AJ1755" s="6">
        <f t="shared" si="226"/>
        <v>1200</v>
      </c>
      <c r="AK1755" s="4">
        <v>1738</v>
      </c>
      <c r="AM1755" s="2" t="str">
        <f t="shared" si="227"/>
        <v>8</v>
      </c>
      <c r="AN1755" s="2" t="str">
        <f t="shared" si="224"/>
        <v>4B0</v>
      </c>
      <c r="AO1755" s="2"/>
      <c r="AP1755" s="2" t="str">
        <f t="shared" si="225"/>
        <v>84B0</v>
      </c>
    </row>
    <row r="1756" spans="6:42" x14ac:dyDescent="0.2">
      <c r="F1756" s="1"/>
      <c r="G1756" s="3"/>
      <c r="H1756" s="8"/>
      <c r="N1756" s="1"/>
      <c r="V1756" s="1"/>
      <c r="AD1756" s="1"/>
      <c r="AJ1756" s="6">
        <f t="shared" si="226"/>
        <v>1200</v>
      </c>
      <c r="AK1756" s="4">
        <v>1739</v>
      </c>
      <c r="AM1756" s="2" t="str">
        <f t="shared" si="227"/>
        <v>8</v>
      </c>
      <c r="AN1756" s="2" t="str">
        <f t="shared" si="224"/>
        <v>4B0</v>
      </c>
      <c r="AO1756" s="2"/>
      <c r="AP1756" s="2" t="str">
        <f t="shared" si="225"/>
        <v>84B0</v>
      </c>
    </row>
    <row r="1757" spans="6:42" x14ac:dyDescent="0.2">
      <c r="F1757" s="1"/>
      <c r="G1757" s="3"/>
      <c r="H1757" s="8"/>
      <c r="N1757" s="1"/>
      <c r="V1757" s="1"/>
      <c r="AD1757" s="1"/>
      <c r="AJ1757" s="6">
        <f t="shared" si="226"/>
        <v>1200</v>
      </c>
      <c r="AK1757" s="4">
        <v>1740</v>
      </c>
      <c r="AM1757" s="2" t="str">
        <f t="shared" si="227"/>
        <v>8</v>
      </c>
      <c r="AN1757" s="2" t="str">
        <f t="shared" si="224"/>
        <v>4B0</v>
      </c>
      <c r="AO1757" s="2"/>
      <c r="AP1757" s="2" t="str">
        <f t="shared" si="225"/>
        <v>84B0</v>
      </c>
    </row>
    <row r="1758" spans="6:42" x14ac:dyDescent="0.2">
      <c r="F1758" s="1"/>
      <c r="G1758" s="3"/>
      <c r="H1758" s="8"/>
      <c r="N1758" s="1"/>
      <c r="V1758" s="1"/>
      <c r="AD1758" s="1"/>
      <c r="AJ1758" s="6">
        <f t="shared" si="226"/>
        <v>1200</v>
      </c>
      <c r="AK1758" s="4">
        <v>1741</v>
      </c>
      <c r="AM1758" s="2" t="str">
        <f t="shared" si="227"/>
        <v>8</v>
      </c>
      <c r="AN1758" s="2" t="str">
        <f t="shared" si="224"/>
        <v>4B0</v>
      </c>
      <c r="AO1758" s="2"/>
      <c r="AP1758" s="2" t="str">
        <f t="shared" si="225"/>
        <v>84B0</v>
      </c>
    </row>
    <row r="1759" spans="6:42" x14ac:dyDescent="0.2">
      <c r="F1759" s="1"/>
      <c r="G1759" s="3"/>
      <c r="H1759" s="8"/>
      <c r="N1759" s="1"/>
      <c r="V1759" s="1"/>
      <c r="AD1759" s="1"/>
      <c r="AJ1759" s="6">
        <f t="shared" si="226"/>
        <v>1200</v>
      </c>
      <c r="AK1759" s="4">
        <v>1742</v>
      </c>
      <c r="AM1759" s="2" t="str">
        <f t="shared" si="227"/>
        <v>8</v>
      </c>
      <c r="AN1759" s="2" t="str">
        <f t="shared" si="224"/>
        <v>4B0</v>
      </c>
      <c r="AO1759" s="2"/>
      <c r="AP1759" s="2" t="str">
        <f t="shared" si="225"/>
        <v>84B0</v>
      </c>
    </row>
    <row r="1760" spans="6:42" x14ac:dyDescent="0.2">
      <c r="F1760" s="1"/>
      <c r="G1760" s="3"/>
      <c r="H1760" s="8"/>
      <c r="N1760" s="1"/>
      <c r="V1760" s="1"/>
      <c r="AD1760" s="1"/>
      <c r="AJ1760" s="6">
        <f t="shared" si="226"/>
        <v>1200</v>
      </c>
      <c r="AK1760" s="4">
        <v>1743</v>
      </c>
      <c r="AM1760" s="2" t="str">
        <f t="shared" si="227"/>
        <v>8</v>
      </c>
      <c r="AN1760" s="2" t="str">
        <f t="shared" ref="AN1760:AN1823" si="228">DEC2HEX(AJ1760,3)</f>
        <v>4B0</v>
      </c>
      <c r="AO1760" s="2"/>
      <c r="AP1760" s="2" t="str">
        <f t="shared" ref="AP1760:AP1823" si="229">CONCATENATE(AM1760,AN1760)</f>
        <v>84B0</v>
      </c>
    </row>
    <row r="1761" spans="6:42" x14ac:dyDescent="0.2">
      <c r="F1761" s="1"/>
      <c r="G1761" s="3"/>
      <c r="H1761" s="8"/>
      <c r="N1761" s="1"/>
      <c r="V1761" s="1"/>
      <c r="AD1761" s="1"/>
      <c r="AJ1761" s="6">
        <f t="shared" si="226"/>
        <v>1200</v>
      </c>
      <c r="AK1761" s="4">
        <v>1744</v>
      </c>
      <c r="AM1761" s="2" t="str">
        <f t="shared" si="227"/>
        <v>8</v>
      </c>
      <c r="AN1761" s="2" t="str">
        <f t="shared" si="228"/>
        <v>4B0</v>
      </c>
      <c r="AO1761" s="2"/>
      <c r="AP1761" s="2" t="str">
        <f t="shared" si="229"/>
        <v>84B0</v>
      </c>
    </row>
    <row r="1762" spans="6:42" x14ac:dyDescent="0.2">
      <c r="F1762" s="1"/>
      <c r="G1762" s="3"/>
      <c r="H1762" s="8"/>
      <c r="N1762" s="1"/>
      <c r="V1762" s="1"/>
      <c r="AD1762" s="1"/>
      <c r="AJ1762" s="6">
        <f t="shared" si="226"/>
        <v>1200</v>
      </c>
      <c r="AK1762" s="4">
        <v>1745</v>
      </c>
      <c r="AM1762" s="2" t="str">
        <f t="shared" si="227"/>
        <v>8</v>
      </c>
      <c r="AN1762" s="2" t="str">
        <f t="shared" si="228"/>
        <v>4B0</v>
      </c>
      <c r="AO1762" s="2"/>
      <c r="AP1762" s="2" t="str">
        <f t="shared" si="229"/>
        <v>84B0</v>
      </c>
    </row>
    <row r="1763" spans="6:42" x14ac:dyDescent="0.2">
      <c r="F1763" s="1"/>
      <c r="G1763" s="3"/>
      <c r="H1763" s="8"/>
      <c r="N1763" s="1"/>
      <c r="V1763" s="1"/>
      <c r="AD1763" s="1"/>
      <c r="AJ1763" s="6">
        <f t="shared" si="226"/>
        <v>1200</v>
      </c>
      <c r="AK1763" s="4">
        <v>1746</v>
      </c>
      <c r="AM1763" s="2" t="str">
        <f t="shared" si="227"/>
        <v>8</v>
      </c>
      <c r="AN1763" s="2" t="str">
        <f t="shared" si="228"/>
        <v>4B0</v>
      </c>
      <c r="AO1763" s="2"/>
      <c r="AP1763" s="2" t="str">
        <f t="shared" si="229"/>
        <v>84B0</v>
      </c>
    </row>
    <row r="1764" spans="6:42" x14ac:dyDescent="0.2">
      <c r="F1764" s="1"/>
      <c r="G1764" s="3"/>
      <c r="H1764" s="8"/>
      <c r="N1764" s="1"/>
      <c r="V1764" s="1"/>
      <c r="AD1764" s="1"/>
      <c r="AJ1764" s="6">
        <f t="shared" si="226"/>
        <v>1200</v>
      </c>
      <c r="AK1764" s="4">
        <v>1747</v>
      </c>
      <c r="AM1764" s="2" t="str">
        <f t="shared" si="227"/>
        <v>8</v>
      </c>
      <c r="AN1764" s="2" t="str">
        <f t="shared" si="228"/>
        <v>4B0</v>
      </c>
      <c r="AO1764" s="2"/>
      <c r="AP1764" s="2" t="str">
        <f t="shared" si="229"/>
        <v>84B0</v>
      </c>
    </row>
    <row r="1765" spans="6:42" x14ac:dyDescent="0.2">
      <c r="F1765" s="1"/>
      <c r="G1765" s="3"/>
      <c r="H1765" s="8"/>
      <c r="N1765" s="1"/>
      <c r="V1765" s="1"/>
      <c r="AD1765" s="1"/>
      <c r="AJ1765" s="6">
        <f t="shared" si="226"/>
        <v>1200</v>
      </c>
      <c r="AK1765" s="4">
        <v>1748</v>
      </c>
      <c r="AM1765" s="2" t="str">
        <f t="shared" si="227"/>
        <v>8</v>
      </c>
      <c r="AN1765" s="2" t="str">
        <f t="shared" si="228"/>
        <v>4B0</v>
      </c>
      <c r="AO1765" s="2"/>
      <c r="AP1765" s="2" t="str">
        <f t="shared" si="229"/>
        <v>84B0</v>
      </c>
    </row>
    <row r="1766" spans="6:42" x14ac:dyDescent="0.2">
      <c r="F1766" s="1"/>
      <c r="G1766" s="3"/>
      <c r="H1766" s="8"/>
      <c r="N1766" s="1"/>
      <c r="V1766" s="1"/>
      <c r="AD1766" s="1"/>
      <c r="AJ1766" s="6">
        <f t="shared" si="226"/>
        <v>1200</v>
      </c>
      <c r="AK1766" s="4">
        <v>1749</v>
      </c>
      <c r="AM1766" s="2" t="str">
        <f t="shared" si="227"/>
        <v>8</v>
      </c>
      <c r="AN1766" s="2" t="str">
        <f t="shared" si="228"/>
        <v>4B0</v>
      </c>
      <c r="AO1766" s="2"/>
      <c r="AP1766" s="2" t="str">
        <f t="shared" si="229"/>
        <v>84B0</v>
      </c>
    </row>
    <row r="1767" spans="6:42" x14ac:dyDescent="0.2">
      <c r="F1767" s="1"/>
      <c r="G1767" s="3"/>
      <c r="H1767" s="8"/>
      <c r="N1767" s="1"/>
      <c r="V1767" s="1"/>
      <c r="AD1767" s="1"/>
      <c r="AJ1767" s="6">
        <f t="shared" si="226"/>
        <v>1200</v>
      </c>
      <c r="AK1767" s="4">
        <v>1750</v>
      </c>
      <c r="AM1767" s="2" t="str">
        <f t="shared" si="227"/>
        <v>8</v>
      </c>
      <c r="AN1767" s="2" t="str">
        <f t="shared" si="228"/>
        <v>4B0</v>
      </c>
      <c r="AO1767" s="2"/>
      <c r="AP1767" s="2" t="str">
        <f t="shared" si="229"/>
        <v>84B0</v>
      </c>
    </row>
    <row r="1768" spans="6:42" x14ac:dyDescent="0.2">
      <c r="F1768" s="1"/>
      <c r="G1768" s="3"/>
      <c r="H1768" s="8"/>
      <c r="N1768" s="1"/>
      <c r="V1768" s="1"/>
      <c r="AD1768" s="1"/>
      <c r="AJ1768" s="6">
        <f t="shared" si="226"/>
        <v>1200</v>
      </c>
      <c r="AK1768" s="4">
        <v>1751</v>
      </c>
      <c r="AM1768" s="2" t="str">
        <f t="shared" si="227"/>
        <v>8</v>
      </c>
      <c r="AN1768" s="2" t="str">
        <f t="shared" si="228"/>
        <v>4B0</v>
      </c>
      <c r="AO1768" s="2"/>
      <c r="AP1768" s="2" t="str">
        <f t="shared" si="229"/>
        <v>84B0</v>
      </c>
    </row>
    <row r="1769" spans="6:42" x14ac:dyDescent="0.2">
      <c r="F1769" s="1"/>
      <c r="G1769" s="3"/>
      <c r="H1769" s="8"/>
      <c r="N1769" s="1"/>
      <c r="V1769" s="1"/>
      <c r="AD1769" s="1"/>
      <c r="AJ1769" s="6">
        <f t="shared" si="226"/>
        <v>1190</v>
      </c>
      <c r="AK1769" s="4">
        <v>1752</v>
      </c>
      <c r="AM1769" s="2" t="str">
        <f t="shared" si="227"/>
        <v>8</v>
      </c>
      <c r="AN1769" s="2" t="str">
        <f t="shared" si="228"/>
        <v>4A6</v>
      </c>
      <c r="AO1769" s="2"/>
      <c r="AP1769" s="2" t="str">
        <f t="shared" si="229"/>
        <v>84A6</v>
      </c>
    </row>
    <row r="1770" spans="6:42" x14ac:dyDescent="0.2">
      <c r="F1770" s="1"/>
      <c r="G1770" s="3"/>
      <c r="H1770" s="8"/>
      <c r="N1770" s="1"/>
      <c r="V1770" s="1"/>
      <c r="AD1770" s="1"/>
      <c r="AJ1770" s="6">
        <f t="shared" si="226"/>
        <v>1180</v>
      </c>
      <c r="AK1770" s="4">
        <v>1753</v>
      </c>
      <c r="AM1770" s="2" t="str">
        <f t="shared" si="227"/>
        <v>8</v>
      </c>
      <c r="AN1770" s="2" t="str">
        <f t="shared" si="228"/>
        <v>49C</v>
      </c>
      <c r="AO1770" s="2"/>
      <c r="AP1770" s="2" t="str">
        <f t="shared" si="229"/>
        <v>849C</v>
      </c>
    </row>
    <row r="1771" spans="6:42" x14ac:dyDescent="0.2">
      <c r="F1771" s="1"/>
      <c r="G1771" s="3"/>
      <c r="H1771" s="8"/>
      <c r="N1771" s="1"/>
      <c r="V1771" s="1"/>
      <c r="AD1771" s="1"/>
      <c r="AJ1771" s="6">
        <f t="shared" si="226"/>
        <v>1170</v>
      </c>
      <c r="AK1771" s="4">
        <v>1754</v>
      </c>
      <c r="AM1771" s="2" t="str">
        <f t="shared" si="227"/>
        <v>8</v>
      </c>
      <c r="AN1771" s="2" t="str">
        <f t="shared" si="228"/>
        <v>492</v>
      </c>
      <c r="AO1771" s="2"/>
      <c r="AP1771" s="2" t="str">
        <f t="shared" si="229"/>
        <v>8492</v>
      </c>
    </row>
    <row r="1772" spans="6:42" x14ac:dyDescent="0.2">
      <c r="F1772" s="1"/>
      <c r="G1772" s="3"/>
      <c r="H1772" s="8"/>
      <c r="N1772" s="1"/>
      <c r="V1772" s="1"/>
      <c r="AD1772" s="1"/>
      <c r="AJ1772" s="6">
        <f t="shared" si="226"/>
        <v>1160</v>
      </c>
      <c r="AK1772" s="4">
        <v>1755</v>
      </c>
      <c r="AM1772" s="2" t="str">
        <f t="shared" si="227"/>
        <v>8</v>
      </c>
      <c r="AN1772" s="2" t="str">
        <f t="shared" si="228"/>
        <v>488</v>
      </c>
      <c r="AO1772" s="2"/>
      <c r="AP1772" s="2" t="str">
        <f t="shared" si="229"/>
        <v>8488</v>
      </c>
    </row>
    <row r="1773" spans="6:42" x14ac:dyDescent="0.2">
      <c r="F1773" s="1"/>
      <c r="G1773" s="3"/>
      <c r="H1773" s="8"/>
      <c r="N1773" s="1"/>
      <c r="V1773" s="1"/>
      <c r="AD1773" s="1"/>
      <c r="AJ1773" s="6">
        <f t="shared" si="226"/>
        <v>1150</v>
      </c>
      <c r="AK1773" s="4">
        <v>1756</v>
      </c>
      <c r="AM1773" s="2" t="str">
        <f t="shared" si="227"/>
        <v>8</v>
      </c>
      <c r="AN1773" s="2" t="str">
        <f t="shared" si="228"/>
        <v>47E</v>
      </c>
      <c r="AO1773" s="2"/>
      <c r="AP1773" s="2" t="str">
        <f t="shared" si="229"/>
        <v>847E</v>
      </c>
    </row>
    <row r="1774" spans="6:42" x14ac:dyDescent="0.2">
      <c r="F1774" s="1"/>
      <c r="G1774" s="3"/>
      <c r="H1774" s="8"/>
      <c r="N1774" s="1"/>
      <c r="V1774" s="1"/>
      <c r="AD1774" s="1"/>
      <c r="AJ1774" s="6">
        <f t="shared" si="226"/>
        <v>1140</v>
      </c>
      <c r="AK1774" s="4">
        <v>1757</v>
      </c>
      <c r="AM1774" s="2" t="str">
        <f t="shared" si="227"/>
        <v>8</v>
      </c>
      <c r="AN1774" s="2" t="str">
        <f t="shared" si="228"/>
        <v>474</v>
      </c>
      <c r="AO1774" s="2"/>
      <c r="AP1774" s="2" t="str">
        <f t="shared" si="229"/>
        <v>8474</v>
      </c>
    </row>
    <row r="1775" spans="6:42" x14ac:dyDescent="0.2">
      <c r="F1775" s="1"/>
      <c r="G1775" s="3"/>
      <c r="H1775" s="8"/>
      <c r="N1775" s="1"/>
      <c r="V1775" s="1"/>
      <c r="AD1775" s="1"/>
      <c r="AJ1775" s="6">
        <f t="shared" si="226"/>
        <v>1130</v>
      </c>
      <c r="AK1775" s="4">
        <v>1758</v>
      </c>
      <c r="AM1775" s="2" t="str">
        <f t="shared" si="227"/>
        <v>8</v>
      </c>
      <c r="AN1775" s="2" t="str">
        <f t="shared" si="228"/>
        <v>46A</v>
      </c>
      <c r="AO1775" s="2"/>
      <c r="AP1775" s="2" t="str">
        <f t="shared" si="229"/>
        <v>846A</v>
      </c>
    </row>
    <row r="1776" spans="6:42" x14ac:dyDescent="0.2">
      <c r="F1776" s="1"/>
      <c r="G1776" s="3"/>
      <c r="H1776" s="8"/>
      <c r="N1776" s="1"/>
      <c r="V1776" s="1"/>
      <c r="AD1776" s="1"/>
      <c r="AJ1776" s="6">
        <f t="shared" si="226"/>
        <v>1120</v>
      </c>
      <c r="AK1776" s="4">
        <v>1759</v>
      </c>
      <c r="AM1776" s="2" t="str">
        <f t="shared" si="227"/>
        <v>8</v>
      </c>
      <c r="AN1776" s="2" t="str">
        <f t="shared" si="228"/>
        <v>460</v>
      </c>
      <c r="AO1776" s="2"/>
      <c r="AP1776" s="2" t="str">
        <f t="shared" si="229"/>
        <v>8460</v>
      </c>
    </row>
    <row r="1777" spans="6:42" x14ac:dyDescent="0.2">
      <c r="F1777" s="1"/>
      <c r="G1777" s="3"/>
      <c r="H1777" s="8"/>
      <c r="N1777" s="1"/>
      <c r="V1777" s="1"/>
      <c r="AD1777" s="1"/>
      <c r="AJ1777" s="6">
        <f t="shared" si="226"/>
        <v>1110</v>
      </c>
      <c r="AK1777" s="4">
        <v>1760</v>
      </c>
      <c r="AM1777" s="2" t="str">
        <f t="shared" si="227"/>
        <v>8</v>
      </c>
      <c r="AN1777" s="2" t="str">
        <f t="shared" si="228"/>
        <v>456</v>
      </c>
      <c r="AO1777" s="2"/>
      <c r="AP1777" s="2" t="str">
        <f t="shared" si="229"/>
        <v>8456</v>
      </c>
    </row>
    <row r="1778" spans="6:42" x14ac:dyDescent="0.2">
      <c r="F1778" s="1"/>
      <c r="G1778" s="3"/>
      <c r="H1778" s="8"/>
      <c r="N1778" s="1"/>
      <c r="V1778" s="1"/>
      <c r="AD1778" s="1"/>
      <c r="AJ1778" s="6">
        <f t="shared" si="226"/>
        <v>1100</v>
      </c>
      <c r="AK1778" s="4">
        <v>1761</v>
      </c>
      <c r="AM1778" s="2" t="str">
        <f t="shared" si="227"/>
        <v>8</v>
      </c>
      <c r="AN1778" s="2" t="str">
        <f t="shared" si="228"/>
        <v>44C</v>
      </c>
      <c r="AO1778" s="2"/>
      <c r="AP1778" s="2" t="str">
        <f t="shared" si="229"/>
        <v>844C</v>
      </c>
    </row>
    <row r="1779" spans="6:42" x14ac:dyDescent="0.2">
      <c r="F1779" s="1"/>
      <c r="G1779" s="3"/>
      <c r="H1779" s="8"/>
      <c r="N1779" s="1"/>
      <c r="V1779" s="1"/>
      <c r="AD1779" s="1"/>
      <c r="AJ1779" s="6">
        <f t="shared" si="226"/>
        <v>1090</v>
      </c>
      <c r="AK1779" s="4">
        <v>1762</v>
      </c>
      <c r="AM1779" s="2" t="str">
        <f t="shared" si="227"/>
        <v>8</v>
      </c>
      <c r="AN1779" s="2" t="str">
        <f t="shared" si="228"/>
        <v>442</v>
      </c>
      <c r="AO1779" s="2"/>
      <c r="AP1779" s="2" t="str">
        <f t="shared" si="229"/>
        <v>8442</v>
      </c>
    </row>
    <row r="1780" spans="6:42" x14ac:dyDescent="0.2">
      <c r="F1780" s="1"/>
      <c r="G1780" s="3"/>
      <c r="H1780" s="8"/>
      <c r="N1780" s="1"/>
      <c r="V1780" s="1"/>
      <c r="AD1780" s="1"/>
      <c r="AJ1780" s="6">
        <f t="shared" si="226"/>
        <v>1080</v>
      </c>
      <c r="AK1780" s="4">
        <v>1763</v>
      </c>
      <c r="AM1780" s="2" t="str">
        <f t="shared" si="227"/>
        <v>8</v>
      </c>
      <c r="AN1780" s="2" t="str">
        <f t="shared" si="228"/>
        <v>438</v>
      </c>
      <c r="AO1780" s="2"/>
      <c r="AP1780" s="2" t="str">
        <f t="shared" si="229"/>
        <v>8438</v>
      </c>
    </row>
    <row r="1781" spans="6:42" x14ac:dyDescent="0.2">
      <c r="F1781" s="1"/>
      <c r="G1781" s="3"/>
      <c r="H1781" s="8"/>
      <c r="N1781" s="1"/>
      <c r="V1781" s="1"/>
      <c r="AD1781" s="1"/>
      <c r="AJ1781" s="6">
        <f t="shared" si="226"/>
        <v>1070</v>
      </c>
      <c r="AK1781" s="4">
        <v>1764</v>
      </c>
      <c r="AM1781" s="2" t="str">
        <f t="shared" si="227"/>
        <v>8</v>
      </c>
      <c r="AN1781" s="2" t="str">
        <f t="shared" si="228"/>
        <v>42E</v>
      </c>
      <c r="AO1781" s="2"/>
      <c r="AP1781" s="2" t="str">
        <f t="shared" si="229"/>
        <v>842E</v>
      </c>
    </row>
    <row r="1782" spans="6:42" x14ac:dyDescent="0.2">
      <c r="F1782" s="1"/>
      <c r="G1782" s="3"/>
      <c r="H1782" s="8"/>
      <c r="N1782" s="1"/>
      <c r="V1782" s="1"/>
      <c r="AD1782" s="1"/>
      <c r="AJ1782" s="6">
        <f t="shared" si="226"/>
        <v>1060</v>
      </c>
      <c r="AK1782" s="4">
        <v>1765</v>
      </c>
      <c r="AM1782" s="2" t="str">
        <f t="shared" si="227"/>
        <v>8</v>
      </c>
      <c r="AN1782" s="2" t="str">
        <f t="shared" si="228"/>
        <v>424</v>
      </c>
      <c r="AO1782" s="2"/>
      <c r="AP1782" s="2" t="str">
        <f t="shared" si="229"/>
        <v>8424</v>
      </c>
    </row>
    <row r="1783" spans="6:42" x14ac:dyDescent="0.2">
      <c r="F1783" s="1"/>
      <c r="G1783" s="3"/>
      <c r="H1783" s="8"/>
      <c r="N1783" s="1"/>
      <c r="V1783" s="1"/>
      <c r="AD1783" s="1"/>
      <c r="AJ1783" s="6">
        <f t="shared" si="226"/>
        <v>1050</v>
      </c>
      <c r="AK1783" s="4">
        <v>1766</v>
      </c>
      <c r="AM1783" s="2" t="str">
        <f t="shared" si="227"/>
        <v>8</v>
      </c>
      <c r="AN1783" s="2" t="str">
        <f t="shared" si="228"/>
        <v>41A</v>
      </c>
      <c r="AO1783" s="2"/>
      <c r="AP1783" s="2" t="str">
        <f t="shared" si="229"/>
        <v>841A</v>
      </c>
    </row>
    <row r="1784" spans="6:42" x14ac:dyDescent="0.2">
      <c r="F1784" s="1"/>
      <c r="G1784" s="3"/>
      <c r="H1784" s="8"/>
      <c r="N1784" s="1"/>
      <c r="V1784" s="1"/>
      <c r="AD1784" s="1"/>
      <c r="AJ1784" s="6">
        <f t="shared" si="226"/>
        <v>1040</v>
      </c>
      <c r="AK1784" s="4">
        <v>1767</v>
      </c>
      <c r="AM1784" s="2" t="str">
        <f t="shared" si="227"/>
        <v>8</v>
      </c>
      <c r="AN1784" s="2" t="str">
        <f t="shared" si="228"/>
        <v>410</v>
      </c>
      <c r="AO1784" s="2"/>
      <c r="AP1784" s="2" t="str">
        <f t="shared" si="229"/>
        <v>8410</v>
      </c>
    </row>
    <row r="1785" spans="6:42" x14ac:dyDescent="0.2">
      <c r="F1785" s="1"/>
      <c r="G1785" s="3"/>
      <c r="H1785" s="8"/>
      <c r="N1785" s="1"/>
      <c r="V1785" s="1"/>
      <c r="AD1785" s="1"/>
      <c r="AJ1785" s="6">
        <f t="shared" si="226"/>
        <v>1030</v>
      </c>
      <c r="AK1785" s="4">
        <v>1768</v>
      </c>
      <c r="AM1785" s="2" t="str">
        <f t="shared" si="227"/>
        <v>8</v>
      </c>
      <c r="AN1785" s="2" t="str">
        <f t="shared" si="228"/>
        <v>406</v>
      </c>
      <c r="AO1785" s="2"/>
      <c r="AP1785" s="2" t="str">
        <f t="shared" si="229"/>
        <v>8406</v>
      </c>
    </row>
    <row r="1786" spans="6:42" x14ac:dyDescent="0.2">
      <c r="F1786" s="1"/>
      <c r="G1786" s="3"/>
      <c r="H1786" s="8"/>
      <c r="N1786" s="1"/>
      <c r="V1786" s="1"/>
      <c r="AD1786" s="1"/>
      <c r="AJ1786" s="6">
        <f t="shared" si="226"/>
        <v>1020</v>
      </c>
      <c r="AK1786" s="4">
        <v>1769</v>
      </c>
      <c r="AM1786" s="2" t="str">
        <f t="shared" si="227"/>
        <v>8</v>
      </c>
      <c r="AN1786" s="2" t="str">
        <f t="shared" si="228"/>
        <v>3FC</v>
      </c>
      <c r="AO1786" s="2"/>
      <c r="AP1786" s="2" t="str">
        <f t="shared" si="229"/>
        <v>83FC</v>
      </c>
    </row>
    <row r="1787" spans="6:42" x14ac:dyDescent="0.2">
      <c r="F1787" s="1"/>
      <c r="G1787" s="3"/>
      <c r="H1787" s="8"/>
      <c r="N1787" s="1"/>
      <c r="V1787" s="1"/>
      <c r="AD1787" s="1"/>
      <c r="AJ1787" s="6">
        <f t="shared" si="226"/>
        <v>1010</v>
      </c>
      <c r="AK1787" s="4">
        <v>1770</v>
      </c>
      <c r="AM1787" s="2" t="str">
        <f t="shared" si="227"/>
        <v>8</v>
      </c>
      <c r="AN1787" s="2" t="str">
        <f t="shared" si="228"/>
        <v>3F2</v>
      </c>
      <c r="AO1787" s="2"/>
      <c r="AP1787" s="2" t="str">
        <f t="shared" si="229"/>
        <v>83F2</v>
      </c>
    </row>
    <row r="1788" spans="6:42" x14ac:dyDescent="0.2">
      <c r="F1788" s="1"/>
      <c r="G1788" s="3"/>
      <c r="H1788" s="8"/>
      <c r="N1788" s="1"/>
      <c r="V1788" s="1"/>
      <c r="AD1788" s="1"/>
      <c r="AJ1788" s="6">
        <f t="shared" si="226"/>
        <v>1000</v>
      </c>
      <c r="AK1788" s="4">
        <v>1771</v>
      </c>
      <c r="AM1788" s="2" t="str">
        <f t="shared" si="227"/>
        <v>8</v>
      </c>
      <c r="AN1788" s="2" t="str">
        <f t="shared" si="228"/>
        <v>3E8</v>
      </c>
      <c r="AO1788" s="2"/>
      <c r="AP1788" s="2" t="str">
        <f t="shared" si="229"/>
        <v>83E8</v>
      </c>
    </row>
    <row r="1789" spans="6:42" x14ac:dyDescent="0.2">
      <c r="F1789" s="1"/>
      <c r="G1789" s="3"/>
      <c r="H1789" s="8"/>
      <c r="N1789" s="1"/>
      <c r="V1789" s="1"/>
      <c r="AD1789" s="1"/>
      <c r="AJ1789" s="6">
        <f t="shared" si="226"/>
        <v>1000</v>
      </c>
      <c r="AK1789" s="4">
        <v>1772</v>
      </c>
      <c r="AM1789" s="2" t="str">
        <f t="shared" si="227"/>
        <v>8</v>
      </c>
      <c r="AN1789" s="2" t="str">
        <f t="shared" si="228"/>
        <v>3E8</v>
      </c>
      <c r="AO1789" s="2"/>
      <c r="AP1789" s="2" t="str">
        <f t="shared" si="229"/>
        <v>83E8</v>
      </c>
    </row>
    <row r="1790" spans="6:42" x14ac:dyDescent="0.2">
      <c r="F1790" s="1"/>
      <c r="G1790" s="3"/>
      <c r="H1790" s="8"/>
      <c r="N1790" s="1"/>
      <c r="V1790" s="1"/>
      <c r="AD1790" s="1"/>
      <c r="AJ1790" s="6">
        <f t="shared" si="226"/>
        <v>1000</v>
      </c>
      <c r="AK1790" s="4">
        <v>1773</v>
      </c>
      <c r="AM1790" s="2" t="str">
        <f t="shared" si="227"/>
        <v>8</v>
      </c>
      <c r="AN1790" s="2" t="str">
        <f t="shared" si="228"/>
        <v>3E8</v>
      </c>
      <c r="AO1790" s="2"/>
      <c r="AP1790" s="2" t="str">
        <f t="shared" si="229"/>
        <v>83E8</v>
      </c>
    </row>
    <row r="1791" spans="6:42" x14ac:dyDescent="0.2">
      <c r="F1791" s="1"/>
      <c r="G1791" s="3"/>
      <c r="H1791" s="8"/>
      <c r="N1791" s="1"/>
      <c r="V1791" s="1"/>
      <c r="AD1791" s="1"/>
      <c r="AJ1791" s="6">
        <f t="shared" si="226"/>
        <v>1000</v>
      </c>
      <c r="AK1791" s="4">
        <v>1774</v>
      </c>
      <c r="AM1791" s="2" t="str">
        <f t="shared" si="227"/>
        <v>8</v>
      </c>
      <c r="AN1791" s="2" t="str">
        <f t="shared" si="228"/>
        <v>3E8</v>
      </c>
      <c r="AO1791" s="2"/>
      <c r="AP1791" s="2" t="str">
        <f t="shared" si="229"/>
        <v>83E8</v>
      </c>
    </row>
    <row r="1792" spans="6:42" x14ac:dyDescent="0.2">
      <c r="F1792" s="1"/>
      <c r="G1792" s="3"/>
      <c r="H1792" s="8"/>
      <c r="N1792" s="1"/>
      <c r="V1792" s="1"/>
      <c r="AD1792" s="1"/>
      <c r="AJ1792" s="6">
        <f t="shared" si="226"/>
        <v>1000</v>
      </c>
      <c r="AK1792" s="4">
        <v>1775</v>
      </c>
      <c r="AM1792" s="2" t="str">
        <f t="shared" si="227"/>
        <v>8</v>
      </c>
      <c r="AN1792" s="2" t="str">
        <f t="shared" si="228"/>
        <v>3E8</v>
      </c>
      <c r="AO1792" s="2"/>
      <c r="AP1792" s="2" t="str">
        <f t="shared" si="229"/>
        <v>83E8</v>
      </c>
    </row>
    <row r="1793" spans="6:42" x14ac:dyDescent="0.2">
      <c r="F1793" s="1"/>
      <c r="G1793" s="3"/>
      <c r="H1793" s="8"/>
      <c r="N1793" s="1"/>
      <c r="V1793" s="1"/>
      <c r="AD1793" s="1"/>
      <c r="AJ1793" s="6">
        <f t="shared" si="226"/>
        <v>1000</v>
      </c>
      <c r="AK1793" s="4">
        <v>1776</v>
      </c>
      <c r="AM1793" s="2" t="str">
        <f t="shared" si="227"/>
        <v>8</v>
      </c>
      <c r="AN1793" s="2" t="str">
        <f t="shared" si="228"/>
        <v>3E8</v>
      </c>
      <c r="AO1793" s="2"/>
      <c r="AP1793" s="2" t="str">
        <f t="shared" si="229"/>
        <v>83E8</v>
      </c>
    </row>
    <row r="1794" spans="6:42" x14ac:dyDescent="0.2">
      <c r="F1794" s="1"/>
      <c r="G1794" s="3"/>
      <c r="H1794" s="8"/>
      <c r="N1794" s="1"/>
      <c r="V1794" s="1"/>
      <c r="AD1794" s="1"/>
      <c r="AJ1794" s="6">
        <f t="shared" si="226"/>
        <v>1000</v>
      </c>
      <c r="AK1794" s="4">
        <v>1777</v>
      </c>
      <c r="AM1794" s="2" t="str">
        <f t="shared" si="227"/>
        <v>8</v>
      </c>
      <c r="AN1794" s="2" t="str">
        <f t="shared" si="228"/>
        <v>3E8</v>
      </c>
      <c r="AO1794" s="2"/>
      <c r="AP1794" s="2" t="str">
        <f t="shared" si="229"/>
        <v>83E8</v>
      </c>
    </row>
    <row r="1795" spans="6:42" x14ac:dyDescent="0.2">
      <c r="F1795" s="1"/>
      <c r="G1795" s="3"/>
      <c r="H1795" s="8"/>
      <c r="N1795" s="1"/>
      <c r="V1795" s="1"/>
      <c r="AD1795" s="1"/>
      <c r="AJ1795" s="6">
        <f t="shared" si="226"/>
        <v>1000</v>
      </c>
      <c r="AK1795" s="4">
        <v>1778</v>
      </c>
      <c r="AM1795" s="2" t="str">
        <f t="shared" si="227"/>
        <v>8</v>
      </c>
      <c r="AN1795" s="2" t="str">
        <f t="shared" si="228"/>
        <v>3E8</v>
      </c>
      <c r="AO1795" s="2"/>
      <c r="AP1795" s="2" t="str">
        <f t="shared" si="229"/>
        <v>83E8</v>
      </c>
    </row>
    <row r="1796" spans="6:42" x14ac:dyDescent="0.2">
      <c r="F1796" s="1"/>
      <c r="G1796" s="3"/>
      <c r="H1796" s="8"/>
      <c r="N1796" s="1"/>
      <c r="V1796" s="1"/>
      <c r="AD1796" s="1"/>
      <c r="AJ1796" s="6">
        <f t="shared" si="226"/>
        <v>1000</v>
      </c>
      <c r="AK1796" s="4">
        <v>1779</v>
      </c>
      <c r="AM1796" s="2" t="str">
        <f t="shared" si="227"/>
        <v>8</v>
      </c>
      <c r="AN1796" s="2" t="str">
        <f t="shared" si="228"/>
        <v>3E8</v>
      </c>
      <c r="AO1796" s="2"/>
      <c r="AP1796" s="2" t="str">
        <f t="shared" si="229"/>
        <v>83E8</v>
      </c>
    </row>
    <row r="1797" spans="6:42" x14ac:dyDescent="0.2">
      <c r="F1797" s="1"/>
      <c r="G1797" s="3"/>
      <c r="H1797" s="8"/>
      <c r="N1797" s="1"/>
      <c r="V1797" s="1"/>
      <c r="AD1797" s="1"/>
      <c r="AJ1797" s="6">
        <f t="shared" si="226"/>
        <v>1000</v>
      </c>
      <c r="AK1797" s="4">
        <v>1780</v>
      </c>
      <c r="AM1797" s="2" t="str">
        <f t="shared" si="227"/>
        <v>8</v>
      </c>
      <c r="AN1797" s="2" t="str">
        <f t="shared" si="228"/>
        <v>3E8</v>
      </c>
      <c r="AO1797" s="2"/>
      <c r="AP1797" s="2" t="str">
        <f t="shared" si="229"/>
        <v>83E8</v>
      </c>
    </row>
    <row r="1798" spans="6:42" x14ac:dyDescent="0.2">
      <c r="F1798" s="1"/>
      <c r="G1798" s="3"/>
      <c r="H1798" s="8"/>
      <c r="N1798" s="1"/>
      <c r="V1798" s="1"/>
      <c r="AD1798" s="1"/>
      <c r="AJ1798" s="6">
        <f t="shared" si="226"/>
        <v>1000</v>
      </c>
      <c r="AK1798" s="4">
        <v>1781</v>
      </c>
      <c r="AM1798" s="2" t="str">
        <f t="shared" si="227"/>
        <v>8</v>
      </c>
      <c r="AN1798" s="2" t="str">
        <f t="shared" si="228"/>
        <v>3E8</v>
      </c>
      <c r="AO1798" s="2"/>
      <c r="AP1798" s="2" t="str">
        <f t="shared" si="229"/>
        <v>83E8</v>
      </c>
    </row>
    <row r="1799" spans="6:42" x14ac:dyDescent="0.2">
      <c r="F1799" s="1"/>
      <c r="G1799" s="3"/>
      <c r="H1799" s="8"/>
      <c r="N1799" s="1"/>
      <c r="V1799" s="1"/>
      <c r="AD1799" s="1"/>
      <c r="AJ1799" s="6">
        <f t="shared" si="226"/>
        <v>1000</v>
      </c>
      <c r="AK1799" s="4">
        <v>1782</v>
      </c>
      <c r="AM1799" s="2" t="str">
        <f t="shared" si="227"/>
        <v>8</v>
      </c>
      <c r="AN1799" s="2" t="str">
        <f t="shared" si="228"/>
        <v>3E8</v>
      </c>
      <c r="AO1799" s="2"/>
      <c r="AP1799" s="2" t="str">
        <f t="shared" si="229"/>
        <v>83E8</v>
      </c>
    </row>
    <row r="1800" spans="6:42" x14ac:dyDescent="0.2">
      <c r="F1800" s="1"/>
      <c r="G1800" s="3"/>
      <c r="H1800" s="8"/>
      <c r="N1800" s="1"/>
      <c r="V1800" s="1"/>
      <c r="AD1800" s="1"/>
      <c r="AJ1800" s="6">
        <f t="shared" si="226"/>
        <v>1000</v>
      </c>
      <c r="AK1800" s="4">
        <v>1783</v>
      </c>
      <c r="AM1800" s="2" t="str">
        <f t="shared" si="227"/>
        <v>E</v>
      </c>
      <c r="AN1800" s="2" t="str">
        <f t="shared" si="228"/>
        <v>3E8</v>
      </c>
      <c r="AO1800" s="2"/>
      <c r="AP1800" s="2" t="str">
        <f t="shared" si="229"/>
        <v>E3E8</v>
      </c>
    </row>
    <row r="1801" spans="6:42" x14ac:dyDescent="0.2">
      <c r="F1801" s="1"/>
      <c r="G1801" s="3"/>
      <c r="H1801" s="8"/>
      <c r="N1801" s="1"/>
      <c r="V1801" s="1"/>
      <c r="AD1801" s="1"/>
      <c r="AJ1801" s="6">
        <f t="shared" si="226"/>
        <v>1000</v>
      </c>
      <c r="AK1801" s="4">
        <v>1784</v>
      </c>
      <c r="AM1801" s="2" t="str">
        <f t="shared" si="227"/>
        <v>E</v>
      </c>
      <c r="AN1801" s="2" t="str">
        <f t="shared" si="228"/>
        <v>3E8</v>
      </c>
      <c r="AO1801" s="2"/>
      <c r="AP1801" s="2" t="str">
        <f t="shared" si="229"/>
        <v>E3E8</v>
      </c>
    </row>
    <row r="1802" spans="6:42" x14ac:dyDescent="0.2">
      <c r="F1802" s="1"/>
      <c r="G1802" s="3"/>
      <c r="H1802" s="8"/>
      <c r="N1802" s="1"/>
      <c r="V1802" s="1"/>
      <c r="AD1802" s="1"/>
      <c r="AJ1802" s="6">
        <f t="shared" si="226"/>
        <v>1000</v>
      </c>
      <c r="AK1802" s="4">
        <v>1785</v>
      </c>
      <c r="AM1802" s="2" t="str">
        <f t="shared" si="227"/>
        <v>E</v>
      </c>
      <c r="AN1802" s="2" t="str">
        <f t="shared" si="228"/>
        <v>3E8</v>
      </c>
      <c r="AO1802" s="2"/>
      <c r="AP1802" s="2" t="str">
        <f t="shared" si="229"/>
        <v>E3E8</v>
      </c>
    </row>
    <row r="1803" spans="6:42" x14ac:dyDescent="0.2">
      <c r="F1803" s="1"/>
      <c r="G1803" s="3"/>
      <c r="H1803" s="8"/>
      <c r="N1803" s="1"/>
      <c r="V1803" s="1"/>
      <c r="AD1803" s="1"/>
      <c r="AJ1803" s="6">
        <f t="shared" si="226"/>
        <v>950</v>
      </c>
      <c r="AK1803" s="4">
        <v>1786</v>
      </c>
      <c r="AM1803" s="2" t="str">
        <f t="shared" si="227"/>
        <v>E</v>
      </c>
      <c r="AN1803" s="2" t="str">
        <f t="shared" si="228"/>
        <v>3B6</v>
      </c>
      <c r="AO1803" s="2"/>
      <c r="AP1803" s="2" t="str">
        <f t="shared" si="229"/>
        <v>E3B6</v>
      </c>
    </row>
    <row r="1804" spans="6:42" x14ac:dyDescent="0.2">
      <c r="F1804" s="1"/>
      <c r="G1804" s="3"/>
      <c r="H1804" s="8"/>
      <c r="N1804" s="1"/>
      <c r="V1804" s="1"/>
      <c r="AD1804" s="1"/>
      <c r="AJ1804" s="6">
        <f t="shared" si="226"/>
        <v>900</v>
      </c>
      <c r="AK1804" s="4">
        <v>1787</v>
      </c>
      <c r="AM1804" s="2" t="str">
        <f t="shared" si="227"/>
        <v>E</v>
      </c>
      <c r="AN1804" s="2" t="str">
        <f t="shared" si="228"/>
        <v>384</v>
      </c>
      <c r="AO1804" s="2"/>
      <c r="AP1804" s="2" t="str">
        <f t="shared" si="229"/>
        <v>E384</v>
      </c>
    </row>
    <row r="1805" spans="6:42" x14ac:dyDescent="0.2">
      <c r="F1805" s="1"/>
      <c r="G1805" s="3"/>
      <c r="H1805" s="8"/>
      <c r="N1805" s="1"/>
      <c r="V1805" s="1"/>
      <c r="AD1805" s="1"/>
      <c r="AJ1805" s="6">
        <f t="shared" si="226"/>
        <v>850</v>
      </c>
      <c r="AK1805" s="4">
        <v>1788</v>
      </c>
      <c r="AM1805" s="2" t="str">
        <f t="shared" si="227"/>
        <v>E</v>
      </c>
      <c r="AN1805" s="2" t="str">
        <f t="shared" si="228"/>
        <v>352</v>
      </c>
      <c r="AO1805" s="2"/>
      <c r="AP1805" s="2" t="str">
        <f t="shared" si="229"/>
        <v>E352</v>
      </c>
    </row>
    <row r="1806" spans="6:42" x14ac:dyDescent="0.2">
      <c r="F1806" s="1"/>
      <c r="G1806" s="3"/>
      <c r="H1806" s="8"/>
      <c r="N1806" s="1"/>
      <c r="V1806" s="1"/>
      <c r="AD1806" s="1"/>
      <c r="AJ1806" s="6">
        <f t="shared" si="226"/>
        <v>800</v>
      </c>
      <c r="AK1806" s="4">
        <v>1789</v>
      </c>
      <c r="AM1806" s="2" t="str">
        <f t="shared" si="227"/>
        <v>E</v>
      </c>
      <c r="AN1806" s="2" t="str">
        <f t="shared" si="228"/>
        <v>320</v>
      </c>
      <c r="AO1806" s="2"/>
      <c r="AP1806" s="2" t="str">
        <f t="shared" si="229"/>
        <v>E320</v>
      </c>
    </row>
    <row r="1807" spans="6:42" x14ac:dyDescent="0.2">
      <c r="F1807" s="1"/>
      <c r="G1807" s="3"/>
      <c r="H1807" s="8"/>
      <c r="N1807" s="1"/>
      <c r="V1807" s="1"/>
      <c r="AD1807" s="1"/>
      <c r="AJ1807" s="6">
        <f t="shared" si="226"/>
        <v>750</v>
      </c>
      <c r="AK1807" s="4">
        <v>1790</v>
      </c>
      <c r="AM1807" s="2" t="str">
        <f t="shared" si="227"/>
        <v>E</v>
      </c>
      <c r="AN1807" s="2" t="str">
        <f t="shared" si="228"/>
        <v>2EE</v>
      </c>
      <c r="AO1807" s="2"/>
      <c r="AP1807" s="2" t="str">
        <f t="shared" si="229"/>
        <v>E2EE</v>
      </c>
    </row>
    <row r="1808" spans="6:42" x14ac:dyDescent="0.2">
      <c r="F1808" s="1"/>
      <c r="G1808" s="3"/>
      <c r="H1808" s="8"/>
      <c r="N1808" s="1"/>
      <c r="V1808" s="1"/>
      <c r="AD1808" s="1"/>
      <c r="AJ1808" s="6">
        <f t="shared" si="226"/>
        <v>700</v>
      </c>
      <c r="AK1808" s="4">
        <v>1791</v>
      </c>
      <c r="AM1808" s="2" t="str">
        <f t="shared" si="227"/>
        <v>E</v>
      </c>
      <c r="AN1808" s="2" t="str">
        <f t="shared" si="228"/>
        <v>2BC</v>
      </c>
      <c r="AO1808" s="2"/>
      <c r="AP1808" s="2" t="str">
        <f t="shared" si="229"/>
        <v>E2BC</v>
      </c>
    </row>
    <row r="1809" spans="6:42" x14ac:dyDescent="0.2">
      <c r="F1809" s="1"/>
      <c r="G1809" s="3"/>
      <c r="H1809" s="8"/>
      <c r="N1809" s="1"/>
      <c r="V1809" s="1"/>
      <c r="AD1809" s="1"/>
      <c r="AJ1809" s="6">
        <f t="shared" si="226"/>
        <v>650</v>
      </c>
      <c r="AK1809" s="4">
        <v>1792</v>
      </c>
      <c r="AM1809" s="2" t="str">
        <f t="shared" si="227"/>
        <v>E</v>
      </c>
      <c r="AN1809" s="2" t="str">
        <f t="shared" si="228"/>
        <v>28A</v>
      </c>
      <c r="AO1809" s="2"/>
      <c r="AP1809" s="2" t="str">
        <f t="shared" si="229"/>
        <v>E28A</v>
      </c>
    </row>
    <row r="1810" spans="6:42" x14ac:dyDescent="0.2">
      <c r="F1810" s="1"/>
      <c r="G1810" s="3"/>
      <c r="H1810" s="8"/>
      <c r="N1810" s="1"/>
      <c r="V1810" s="1"/>
      <c r="AD1810" s="1"/>
      <c r="AJ1810" s="6">
        <f t="shared" si="226"/>
        <v>600</v>
      </c>
      <c r="AK1810" s="4">
        <v>1793</v>
      </c>
      <c r="AM1810" s="2" t="str">
        <f t="shared" si="227"/>
        <v>E</v>
      </c>
      <c r="AN1810" s="2" t="str">
        <f t="shared" si="228"/>
        <v>258</v>
      </c>
      <c r="AO1810" s="2"/>
      <c r="AP1810" s="2" t="str">
        <f t="shared" si="229"/>
        <v>E258</v>
      </c>
    </row>
    <row r="1811" spans="6:42" x14ac:dyDescent="0.2">
      <c r="F1811" s="1"/>
      <c r="G1811" s="3"/>
      <c r="H1811" s="8"/>
      <c r="N1811" s="1"/>
      <c r="V1811" s="1"/>
      <c r="AD1811" s="1"/>
      <c r="AJ1811" s="6">
        <f t="shared" ref="AJ1811:AJ1874" si="230">ROUNDDOWN(($AE275*$AE$16+$I$6*100)*10,0)</f>
        <v>550</v>
      </c>
      <c r="AK1811" s="4">
        <v>1794</v>
      </c>
      <c r="AM1811" s="2" t="str">
        <f t="shared" ref="AM1811:AM1874" si="231">BIN2HEX(AA275+10*AB275+100*AC275+1000*AD275,1)</f>
        <v>E</v>
      </c>
      <c r="AN1811" s="2" t="str">
        <f t="shared" si="228"/>
        <v>226</v>
      </c>
      <c r="AO1811" s="2"/>
      <c r="AP1811" s="2" t="str">
        <f t="shared" si="229"/>
        <v>E226</v>
      </c>
    </row>
    <row r="1812" spans="6:42" x14ac:dyDescent="0.2">
      <c r="F1812" s="1"/>
      <c r="G1812" s="3"/>
      <c r="H1812" s="8"/>
      <c r="N1812" s="1"/>
      <c r="V1812" s="1"/>
      <c r="AD1812" s="1"/>
      <c r="AJ1812" s="6">
        <f t="shared" si="230"/>
        <v>500</v>
      </c>
      <c r="AK1812" s="4">
        <v>1795</v>
      </c>
      <c r="AM1812" s="2" t="str">
        <f t="shared" si="231"/>
        <v>E</v>
      </c>
      <c r="AN1812" s="2" t="str">
        <f t="shared" si="228"/>
        <v>1F4</v>
      </c>
      <c r="AO1812" s="2"/>
      <c r="AP1812" s="2" t="str">
        <f t="shared" si="229"/>
        <v>E1F4</v>
      </c>
    </row>
    <row r="1813" spans="6:42" x14ac:dyDescent="0.2">
      <c r="F1813" s="1"/>
      <c r="G1813" s="3"/>
      <c r="H1813" s="8"/>
      <c r="N1813" s="1"/>
      <c r="V1813" s="1"/>
      <c r="AD1813" s="1"/>
      <c r="AJ1813" s="6">
        <f t="shared" si="230"/>
        <v>450</v>
      </c>
      <c r="AK1813" s="4">
        <v>1796</v>
      </c>
      <c r="AM1813" s="2" t="str">
        <f t="shared" si="231"/>
        <v>E</v>
      </c>
      <c r="AN1813" s="2" t="str">
        <f t="shared" si="228"/>
        <v>1C2</v>
      </c>
      <c r="AO1813" s="2"/>
      <c r="AP1813" s="2" t="str">
        <f t="shared" si="229"/>
        <v>E1C2</v>
      </c>
    </row>
    <row r="1814" spans="6:42" x14ac:dyDescent="0.2">
      <c r="F1814" s="1"/>
      <c r="G1814" s="3"/>
      <c r="H1814" s="8"/>
      <c r="N1814" s="1"/>
      <c r="V1814" s="1"/>
      <c r="AD1814" s="1"/>
      <c r="AJ1814" s="6">
        <f t="shared" si="230"/>
        <v>400</v>
      </c>
      <c r="AK1814" s="4">
        <v>1797</v>
      </c>
      <c r="AM1814" s="2" t="str">
        <f t="shared" si="231"/>
        <v>E</v>
      </c>
      <c r="AN1814" s="2" t="str">
        <f t="shared" si="228"/>
        <v>190</v>
      </c>
      <c r="AO1814" s="2"/>
      <c r="AP1814" s="2" t="str">
        <f t="shared" si="229"/>
        <v>E190</v>
      </c>
    </row>
    <row r="1815" spans="6:42" x14ac:dyDescent="0.2">
      <c r="F1815" s="1"/>
      <c r="G1815" s="3"/>
      <c r="H1815" s="8"/>
      <c r="N1815" s="1"/>
      <c r="V1815" s="1"/>
      <c r="AD1815" s="1"/>
      <c r="AJ1815" s="6">
        <f t="shared" si="230"/>
        <v>350</v>
      </c>
      <c r="AK1815" s="4">
        <v>1798</v>
      </c>
      <c r="AM1815" s="2" t="str">
        <f t="shared" si="231"/>
        <v>E</v>
      </c>
      <c r="AN1815" s="2" t="str">
        <f t="shared" si="228"/>
        <v>15E</v>
      </c>
      <c r="AO1815" s="2"/>
      <c r="AP1815" s="2" t="str">
        <f t="shared" si="229"/>
        <v>E15E</v>
      </c>
    </row>
    <row r="1816" spans="6:42" x14ac:dyDescent="0.2">
      <c r="F1816" s="1"/>
      <c r="G1816" s="3"/>
      <c r="H1816" s="8"/>
      <c r="N1816" s="1"/>
      <c r="V1816" s="1"/>
      <c r="AD1816" s="1"/>
      <c r="AJ1816" s="6">
        <f t="shared" si="230"/>
        <v>300</v>
      </c>
      <c r="AK1816" s="4">
        <v>1799</v>
      </c>
      <c r="AM1816" s="2" t="str">
        <f t="shared" si="231"/>
        <v>E</v>
      </c>
      <c r="AN1816" s="2" t="str">
        <f t="shared" si="228"/>
        <v>12C</v>
      </c>
      <c r="AO1816" s="2"/>
      <c r="AP1816" s="2" t="str">
        <f t="shared" si="229"/>
        <v>E12C</v>
      </c>
    </row>
    <row r="1817" spans="6:42" x14ac:dyDescent="0.2">
      <c r="F1817" s="1"/>
      <c r="G1817" s="3"/>
      <c r="H1817" s="8"/>
      <c r="N1817" s="1"/>
      <c r="V1817" s="1"/>
      <c r="AD1817" s="1"/>
      <c r="AJ1817" s="6">
        <f t="shared" si="230"/>
        <v>250</v>
      </c>
      <c r="AK1817" s="4">
        <v>1800</v>
      </c>
      <c r="AM1817" s="2" t="str">
        <f t="shared" si="231"/>
        <v>E</v>
      </c>
      <c r="AN1817" s="2" t="str">
        <f t="shared" si="228"/>
        <v>0FA</v>
      </c>
      <c r="AO1817" s="2"/>
      <c r="AP1817" s="2" t="str">
        <f t="shared" si="229"/>
        <v>E0FA</v>
      </c>
    </row>
    <row r="1818" spans="6:42" x14ac:dyDescent="0.2">
      <c r="F1818" s="1"/>
      <c r="G1818" s="3"/>
      <c r="H1818" s="8"/>
      <c r="N1818" s="1"/>
      <c r="V1818" s="1"/>
      <c r="AD1818" s="1"/>
      <c r="AJ1818" s="6">
        <f t="shared" si="230"/>
        <v>200</v>
      </c>
      <c r="AK1818" s="4">
        <v>1801</v>
      </c>
      <c r="AM1818" s="2" t="str">
        <f t="shared" si="231"/>
        <v>E</v>
      </c>
      <c r="AN1818" s="2" t="str">
        <f t="shared" si="228"/>
        <v>0C8</v>
      </c>
      <c r="AO1818" s="2"/>
      <c r="AP1818" s="2" t="str">
        <f t="shared" si="229"/>
        <v>E0C8</v>
      </c>
    </row>
    <row r="1819" spans="6:42" x14ac:dyDescent="0.2">
      <c r="F1819" s="1"/>
      <c r="G1819" s="3"/>
      <c r="H1819" s="8"/>
      <c r="N1819" s="1"/>
      <c r="V1819" s="1"/>
      <c r="AD1819" s="1"/>
      <c r="AJ1819" s="6">
        <f t="shared" si="230"/>
        <v>150</v>
      </c>
      <c r="AK1819" s="4">
        <v>1802</v>
      </c>
      <c r="AM1819" s="2" t="str">
        <f t="shared" si="231"/>
        <v>E</v>
      </c>
      <c r="AN1819" s="2" t="str">
        <f t="shared" si="228"/>
        <v>096</v>
      </c>
      <c r="AO1819" s="2"/>
      <c r="AP1819" s="2" t="str">
        <f t="shared" si="229"/>
        <v>E096</v>
      </c>
    </row>
    <row r="1820" spans="6:42" x14ac:dyDescent="0.2">
      <c r="F1820" s="1"/>
      <c r="G1820" s="3"/>
      <c r="H1820" s="8"/>
      <c r="N1820" s="1"/>
      <c r="V1820" s="1"/>
      <c r="AD1820" s="1"/>
      <c r="AJ1820" s="6">
        <f t="shared" si="230"/>
        <v>100</v>
      </c>
      <c r="AK1820" s="4">
        <v>1803</v>
      </c>
      <c r="AM1820" s="2" t="str">
        <f t="shared" si="231"/>
        <v>E</v>
      </c>
      <c r="AN1820" s="2" t="str">
        <f t="shared" si="228"/>
        <v>064</v>
      </c>
      <c r="AO1820" s="2"/>
      <c r="AP1820" s="2" t="str">
        <f t="shared" si="229"/>
        <v>E064</v>
      </c>
    </row>
    <row r="1821" spans="6:42" x14ac:dyDescent="0.2">
      <c r="F1821" s="1"/>
      <c r="G1821" s="3"/>
      <c r="H1821" s="8"/>
      <c r="N1821" s="1"/>
      <c r="V1821" s="1"/>
      <c r="AD1821" s="1"/>
      <c r="AJ1821" s="6">
        <f t="shared" si="230"/>
        <v>50</v>
      </c>
      <c r="AK1821" s="4">
        <v>1804</v>
      </c>
      <c r="AM1821" s="2" t="str">
        <f t="shared" si="231"/>
        <v>E</v>
      </c>
      <c r="AN1821" s="2" t="str">
        <f t="shared" si="228"/>
        <v>032</v>
      </c>
      <c r="AO1821" s="2"/>
      <c r="AP1821" s="2" t="str">
        <f t="shared" si="229"/>
        <v>E032</v>
      </c>
    </row>
    <row r="1822" spans="6:42" x14ac:dyDescent="0.2">
      <c r="F1822" s="1"/>
      <c r="G1822" s="3"/>
      <c r="H1822" s="8"/>
      <c r="N1822" s="1"/>
      <c r="V1822" s="1"/>
      <c r="AD1822" s="1"/>
      <c r="AJ1822" s="6">
        <f t="shared" si="230"/>
        <v>0</v>
      </c>
      <c r="AK1822" s="4">
        <v>1805</v>
      </c>
      <c r="AM1822" s="2" t="str">
        <f t="shared" si="231"/>
        <v>E</v>
      </c>
      <c r="AN1822" s="2" t="str">
        <f t="shared" si="228"/>
        <v>000</v>
      </c>
      <c r="AO1822" s="2"/>
      <c r="AP1822" s="2" t="str">
        <f t="shared" si="229"/>
        <v>E000</v>
      </c>
    </row>
    <row r="1823" spans="6:42" x14ac:dyDescent="0.2">
      <c r="F1823" s="1"/>
      <c r="G1823" s="3"/>
      <c r="H1823" s="8"/>
      <c r="N1823" s="1"/>
      <c r="V1823" s="1"/>
      <c r="AD1823" s="1"/>
      <c r="AJ1823" s="6">
        <f t="shared" si="230"/>
        <v>0</v>
      </c>
      <c r="AK1823" s="4">
        <v>1806</v>
      </c>
      <c r="AM1823" s="2" t="str">
        <f t="shared" si="231"/>
        <v>E</v>
      </c>
      <c r="AN1823" s="2" t="str">
        <f t="shared" si="228"/>
        <v>000</v>
      </c>
      <c r="AO1823" s="2"/>
      <c r="AP1823" s="2" t="str">
        <f t="shared" si="229"/>
        <v>E000</v>
      </c>
    </row>
    <row r="1824" spans="6:42" x14ac:dyDescent="0.2">
      <c r="F1824" s="1"/>
      <c r="G1824" s="3"/>
      <c r="H1824" s="8"/>
      <c r="N1824" s="1"/>
      <c r="V1824" s="1"/>
      <c r="AD1824" s="1"/>
      <c r="AJ1824" s="6">
        <f t="shared" si="230"/>
        <v>0</v>
      </c>
      <c r="AK1824" s="4">
        <v>1807</v>
      </c>
      <c r="AM1824" s="2" t="str">
        <f t="shared" si="231"/>
        <v>E</v>
      </c>
      <c r="AN1824" s="2" t="str">
        <f t="shared" ref="AN1824:AN1887" si="232">DEC2HEX(AJ1824,3)</f>
        <v>000</v>
      </c>
      <c r="AO1824" s="2"/>
      <c r="AP1824" s="2" t="str">
        <f t="shared" ref="AP1824:AP1887" si="233">CONCATENATE(AM1824,AN1824)</f>
        <v>E000</v>
      </c>
    </row>
    <row r="1825" spans="6:42" x14ac:dyDescent="0.2">
      <c r="F1825" s="1"/>
      <c r="G1825" s="3"/>
      <c r="H1825" s="8"/>
      <c r="N1825" s="1"/>
      <c r="V1825" s="1"/>
      <c r="AD1825" s="1"/>
      <c r="AJ1825" s="6">
        <f t="shared" si="230"/>
        <v>0</v>
      </c>
      <c r="AK1825" s="4">
        <v>1808</v>
      </c>
      <c r="AM1825" s="2" t="str">
        <f t="shared" si="231"/>
        <v>E</v>
      </c>
      <c r="AN1825" s="2" t="str">
        <f t="shared" si="232"/>
        <v>000</v>
      </c>
      <c r="AO1825" s="2"/>
      <c r="AP1825" s="2" t="str">
        <f t="shared" si="233"/>
        <v>E000</v>
      </c>
    </row>
    <row r="1826" spans="6:42" x14ac:dyDescent="0.2">
      <c r="F1826" s="1"/>
      <c r="G1826" s="3"/>
      <c r="H1826" s="8"/>
      <c r="N1826" s="1"/>
      <c r="V1826" s="1"/>
      <c r="AD1826" s="1"/>
      <c r="AJ1826" s="6">
        <f t="shared" si="230"/>
        <v>0</v>
      </c>
      <c r="AK1826" s="4">
        <v>1809</v>
      </c>
      <c r="AM1826" s="2" t="str">
        <f t="shared" si="231"/>
        <v>E</v>
      </c>
      <c r="AN1826" s="2" t="str">
        <f t="shared" si="232"/>
        <v>000</v>
      </c>
      <c r="AO1826" s="2"/>
      <c r="AP1826" s="2" t="str">
        <f t="shared" si="233"/>
        <v>E000</v>
      </c>
    </row>
    <row r="1827" spans="6:42" x14ac:dyDescent="0.2">
      <c r="F1827" s="1"/>
      <c r="G1827" s="3"/>
      <c r="H1827" s="8"/>
      <c r="N1827" s="1"/>
      <c r="V1827" s="1"/>
      <c r="AD1827" s="1"/>
      <c r="AJ1827" s="6">
        <f t="shared" si="230"/>
        <v>0</v>
      </c>
      <c r="AK1827" s="4">
        <v>1810</v>
      </c>
      <c r="AM1827" s="2" t="str">
        <f t="shared" si="231"/>
        <v>E</v>
      </c>
      <c r="AN1827" s="2" t="str">
        <f t="shared" si="232"/>
        <v>000</v>
      </c>
      <c r="AO1827" s="2"/>
      <c r="AP1827" s="2" t="str">
        <f t="shared" si="233"/>
        <v>E000</v>
      </c>
    </row>
    <row r="1828" spans="6:42" x14ac:dyDescent="0.2">
      <c r="F1828" s="1"/>
      <c r="G1828" s="3"/>
      <c r="H1828" s="8"/>
      <c r="N1828" s="1"/>
      <c r="V1828" s="1"/>
      <c r="AD1828" s="1"/>
      <c r="AJ1828" s="6">
        <f t="shared" si="230"/>
        <v>0</v>
      </c>
      <c r="AK1828" s="4">
        <v>1811</v>
      </c>
      <c r="AM1828" s="2" t="str">
        <f t="shared" si="231"/>
        <v>E</v>
      </c>
      <c r="AN1828" s="2" t="str">
        <f t="shared" si="232"/>
        <v>000</v>
      </c>
      <c r="AO1828" s="2"/>
      <c r="AP1828" s="2" t="str">
        <f t="shared" si="233"/>
        <v>E000</v>
      </c>
    </row>
    <row r="1829" spans="6:42" x14ac:dyDescent="0.2">
      <c r="F1829" s="1"/>
      <c r="G1829" s="3"/>
      <c r="H1829" s="8"/>
      <c r="N1829" s="1"/>
      <c r="V1829" s="1"/>
      <c r="AD1829" s="1"/>
      <c r="AJ1829" s="6">
        <f t="shared" si="230"/>
        <v>0</v>
      </c>
      <c r="AK1829" s="4">
        <v>1812</v>
      </c>
      <c r="AM1829" s="2" t="str">
        <f t="shared" si="231"/>
        <v>E</v>
      </c>
      <c r="AN1829" s="2" t="str">
        <f t="shared" si="232"/>
        <v>000</v>
      </c>
      <c r="AO1829" s="2"/>
      <c r="AP1829" s="2" t="str">
        <f t="shared" si="233"/>
        <v>E000</v>
      </c>
    </row>
    <row r="1830" spans="6:42" x14ac:dyDescent="0.2">
      <c r="F1830" s="1"/>
      <c r="G1830" s="3"/>
      <c r="H1830" s="8"/>
      <c r="N1830" s="1"/>
      <c r="V1830" s="1"/>
      <c r="AD1830" s="1"/>
      <c r="AJ1830" s="6">
        <f t="shared" si="230"/>
        <v>0</v>
      </c>
      <c r="AK1830" s="4">
        <v>1813</v>
      </c>
      <c r="AM1830" s="2" t="str">
        <f t="shared" si="231"/>
        <v>E</v>
      </c>
      <c r="AN1830" s="2" t="str">
        <f t="shared" si="232"/>
        <v>000</v>
      </c>
      <c r="AO1830" s="2"/>
      <c r="AP1830" s="2" t="str">
        <f t="shared" si="233"/>
        <v>E000</v>
      </c>
    </row>
    <row r="1831" spans="6:42" x14ac:dyDescent="0.2">
      <c r="F1831" s="1"/>
      <c r="G1831" s="3"/>
      <c r="H1831" s="8"/>
      <c r="N1831" s="1"/>
      <c r="V1831" s="1"/>
      <c r="AD1831" s="1"/>
      <c r="AJ1831" s="6">
        <f t="shared" si="230"/>
        <v>0</v>
      </c>
      <c r="AK1831" s="4">
        <v>1814</v>
      </c>
      <c r="AM1831" s="2" t="str">
        <f t="shared" si="231"/>
        <v>E</v>
      </c>
      <c r="AN1831" s="2" t="str">
        <f t="shared" si="232"/>
        <v>000</v>
      </c>
      <c r="AO1831" s="2"/>
      <c r="AP1831" s="2" t="str">
        <f t="shared" si="233"/>
        <v>E000</v>
      </c>
    </row>
    <row r="1832" spans="6:42" x14ac:dyDescent="0.2">
      <c r="F1832" s="1"/>
      <c r="G1832" s="3"/>
      <c r="H1832" s="8"/>
      <c r="N1832" s="1"/>
      <c r="V1832" s="1"/>
      <c r="AD1832" s="1"/>
      <c r="AJ1832" s="6">
        <f t="shared" si="230"/>
        <v>0</v>
      </c>
      <c r="AK1832" s="4">
        <v>1815</v>
      </c>
      <c r="AM1832" s="2" t="str">
        <f t="shared" si="231"/>
        <v>E</v>
      </c>
      <c r="AN1832" s="2" t="str">
        <f t="shared" si="232"/>
        <v>000</v>
      </c>
      <c r="AO1832" s="2"/>
      <c r="AP1832" s="2" t="str">
        <f t="shared" si="233"/>
        <v>E000</v>
      </c>
    </row>
    <row r="1833" spans="6:42" x14ac:dyDescent="0.2">
      <c r="F1833" s="1"/>
      <c r="G1833" s="3"/>
      <c r="H1833" s="8"/>
      <c r="N1833" s="1"/>
      <c r="V1833" s="1"/>
      <c r="AD1833" s="1"/>
      <c r="AJ1833" s="6">
        <f t="shared" si="230"/>
        <v>0</v>
      </c>
      <c r="AK1833" s="4">
        <v>1816</v>
      </c>
      <c r="AM1833" s="2" t="str">
        <f t="shared" si="231"/>
        <v>E</v>
      </c>
      <c r="AN1833" s="2" t="str">
        <f t="shared" si="232"/>
        <v>000</v>
      </c>
      <c r="AO1833" s="2"/>
      <c r="AP1833" s="2" t="str">
        <f t="shared" si="233"/>
        <v>E000</v>
      </c>
    </row>
    <row r="1834" spans="6:42" x14ac:dyDescent="0.2">
      <c r="F1834" s="1"/>
      <c r="G1834" s="3"/>
      <c r="H1834" s="8"/>
      <c r="N1834" s="1"/>
      <c r="V1834" s="1"/>
      <c r="AD1834" s="1"/>
      <c r="AJ1834" s="6">
        <f t="shared" si="230"/>
        <v>0</v>
      </c>
      <c r="AK1834" s="4">
        <v>1817</v>
      </c>
      <c r="AM1834" s="2" t="str">
        <f t="shared" si="231"/>
        <v>E</v>
      </c>
      <c r="AN1834" s="2" t="str">
        <f t="shared" si="232"/>
        <v>000</v>
      </c>
      <c r="AO1834" s="2"/>
      <c r="AP1834" s="2" t="str">
        <f t="shared" si="233"/>
        <v>E000</v>
      </c>
    </row>
    <row r="1835" spans="6:42" x14ac:dyDescent="0.2">
      <c r="F1835" s="1"/>
      <c r="G1835" s="3"/>
      <c r="H1835" s="8"/>
      <c r="N1835" s="1"/>
      <c r="V1835" s="1"/>
      <c r="AD1835" s="1"/>
      <c r="AJ1835" s="6">
        <f t="shared" si="230"/>
        <v>0</v>
      </c>
      <c r="AK1835" s="4">
        <v>1818</v>
      </c>
      <c r="AM1835" s="2" t="str">
        <f t="shared" si="231"/>
        <v>E</v>
      </c>
      <c r="AN1835" s="2" t="str">
        <f t="shared" si="232"/>
        <v>000</v>
      </c>
      <c r="AO1835" s="2"/>
      <c r="AP1835" s="2" t="str">
        <f t="shared" si="233"/>
        <v>E000</v>
      </c>
    </row>
    <row r="1836" spans="6:42" x14ac:dyDescent="0.2">
      <c r="F1836" s="1"/>
      <c r="G1836" s="3"/>
      <c r="H1836" s="8"/>
      <c r="N1836" s="1"/>
      <c r="V1836" s="1"/>
      <c r="AD1836" s="1"/>
      <c r="AJ1836" s="6">
        <f t="shared" si="230"/>
        <v>0</v>
      </c>
      <c r="AK1836" s="4">
        <v>1819</v>
      </c>
      <c r="AM1836" s="2" t="str">
        <f t="shared" si="231"/>
        <v>E</v>
      </c>
      <c r="AN1836" s="2" t="str">
        <f t="shared" si="232"/>
        <v>000</v>
      </c>
      <c r="AO1836" s="2"/>
      <c r="AP1836" s="2" t="str">
        <f t="shared" si="233"/>
        <v>E000</v>
      </c>
    </row>
    <row r="1837" spans="6:42" x14ac:dyDescent="0.2">
      <c r="F1837" s="1"/>
      <c r="G1837" s="3"/>
      <c r="H1837" s="8"/>
      <c r="N1837" s="1"/>
      <c r="V1837" s="1"/>
      <c r="AD1837" s="1"/>
      <c r="AJ1837" s="6">
        <f t="shared" si="230"/>
        <v>0</v>
      </c>
      <c r="AK1837" s="4">
        <v>1820</v>
      </c>
      <c r="AM1837" s="2" t="str">
        <f t="shared" si="231"/>
        <v>E</v>
      </c>
      <c r="AN1837" s="2" t="str">
        <f t="shared" si="232"/>
        <v>000</v>
      </c>
      <c r="AO1837" s="2"/>
      <c r="AP1837" s="2" t="str">
        <f t="shared" si="233"/>
        <v>E000</v>
      </c>
    </row>
    <row r="1838" spans="6:42" x14ac:dyDescent="0.2">
      <c r="F1838" s="1"/>
      <c r="G1838" s="3"/>
      <c r="H1838" s="8"/>
      <c r="N1838" s="1"/>
      <c r="V1838" s="1"/>
      <c r="AD1838" s="1"/>
      <c r="AJ1838" s="6">
        <f t="shared" si="230"/>
        <v>0</v>
      </c>
      <c r="AK1838" s="4">
        <v>1821</v>
      </c>
      <c r="AM1838" s="2" t="str">
        <f t="shared" si="231"/>
        <v>E</v>
      </c>
      <c r="AN1838" s="2" t="str">
        <f t="shared" si="232"/>
        <v>000</v>
      </c>
      <c r="AO1838" s="2"/>
      <c r="AP1838" s="2" t="str">
        <f t="shared" si="233"/>
        <v>E000</v>
      </c>
    </row>
    <row r="1839" spans="6:42" x14ac:dyDescent="0.2">
      <c r="F1839" s="1"/>
      <c r="G1839" s="3"/>
      <c r="H1839" s="8"/>
      <c r="N1839" s="1"/>
      <c r="V1839" s="1"/>
      <c r="AD1839" s="1"/>
      <c r="AJ1839" s="6">
        <f t="shared" si="230"/>
        <v>0</v>
      </c>
      <c r="AK1839" s="4">
        <v>1822</v>
      </c>
      <c r="AM1839" s="2" t="str">
        <f t="shared" si="231"/>
        <v>E</v>
      </c>
      <c r="AN1839" s="2" t="str">
        <f t="shared" si="232"/>
        <v>000</v>
      </c>
      <c r="AO1839" s="2"/>
      <c r="AP1839" s="2" t="str">
        <f t="shared" si="233"/>
        <v>E000</v>
      </c>
    </row>
    <row r="1840" spans="6:42" x14ac:dyDescent="0.2">
      <c r="F1840" s="1"/>
      <c r="G1840" s="3"/>
      <c r="H1840" s="8"/>
      <c r="N1840" s="1"/>
      <c r="V1840" s="1"/>
      <c r="AD1840" s="1"/>
      <c r="AJ1840" s="6">
        <f t="shared" si="230"/>
        <v>0</v>
      </c>
      <c r="AK1840" s="4">
        <v>1823</v>
      </c>
      <c r="AM1840" s="2" t="str">
        <f t="shared" si="231"/>
        <v>E</v>
      </c>
      <c r="AN1840" s="2" t="str">
        <f t="shared" si="232"/>
        <v>000</v>
      </c>
      <c r="AO1840" s="2"/>
      <c r="AP1840" s="2" t="str">
        <f t="shared" si="233"/>
        <v>E000</v>
      </c>
    </row>
    <row r="1841" spans="6:42" x14ac:dyDescent="0.2">
      <c r="F1841" s="1"/>
      <c r="G1841" s="3"/>
      <c r="H1841" s="8"/>
      <c r="N1841" s="1"/>
      <c r="V1841" s="1"/>
      <c r="AD1841" s="1"/>
      <c r="AJ1841" s="6">
        <f t="shared" si="230"/>
        <v>0</v>
      </c>
      <c r="AK1841" s="4">
        <v>1824</v>
      </c>
      <c r="AM1841" s="2" t="str">
        <f t="shared" si="231"/>
        <v>E</v>
      </c>
      <c r="AN1841" s="2" t="str">
        <f t="shared" si="232"/>
        <v>000</v>
      </c>
      <c r="AO1841" s="2"/>
      <c r="AP1841" s="2" t="str">
        <f t="shared" si="233"/>
        <v>E000</v>
      </c>
    </row>
    <row r="1842" spans="6:42" x14ac:dyDescent="0.2">
      <c r="F1842" s="1"/>
      <c r="G1842" s="3"/>
      <c r="H1842" s="8"/>
      <c r="N1842" s="1"/>
      <c r="V1842" s="1"/>
      <c r="AD1842" s="1"/>
      <c r="AJ1842" s="6">
        <f t="shared" si="230"/>
        <v>0</v>
      </c>
      <c r="AK1842" s="4">
        <v>1825</v>
      </c>
      <c r="AM1842" s="2" t="str">
        <f t="shared" si="231"/>
        <v>E</v>
      </c>
      <c r="AN1842" s="2" t="str">
        <f t="shared" si="232"/>
        <v>000</v>
      </c>
      <c r="AO1842" s="2"/>
      <c r="AP1842" s="2" t="str">
        <f t="shared" si="233"/>
        <v>E000</v>
      </c>
    </row>
    <row r="1843" spans="6:42" x14ac:dyDescent="0.2">
      <c r="F1843" s="1"/>
      <c r="G1843" s="3"/>
      <c r="H1843" s="8"/>
      <c r="N1843" s="1"/>
      <c r="V1843" s="1"/>
      <c r="AD1843" s="1"/>
      <c r="AJ1843" s="6">
        <f t="shared" si="230"/>
        <v>0</v>
      </c>
      <c r="AK1843" s="4">
        <v>1826</v>
      </c>
      <c r="AM1843" s="2" t="str">
        <f t="shared" si="231"/>
        <v>E</v>
      </c>
      <c r="AN1843" s="2" t="str">
        <f t="shared" si="232"/>
        <v>000</v>
      </c>
      <c r="AO1843" s="2"/>
      <c r="AP1843" s="2" t="str">
        <f t="shared" si="233"/>
        <v>E000</v>
      </c>
    </row>
    <row r="1844" spans="6:42" x14ac:dyDescent="0.2">
      <c r="F1844" s="1"/>
      <c r="G1844" s="3"/>
      <c r="H1844" s="8"/>
      <c r="N1844" s="1"/>
      <c r="V1844" s="1"/>
      <c r="AD1844" s="1"/>
      <c r="AJ1844" s="6">
        <f t="shared" si="230"/>
        <v>0</v>
      </c>
      <c r="AK1844" s="4">
        <v>1827</v>
      </c>
      <c r="AM1844" s="2" t="str">
        <f t="shared" si="231"/>
        <v>E</v>
      </c>
      <c r="AN1844" s="2" t="str">
        <f t="shared" si="232"/>
        <v>000</v>
      </c>
      <c r="AO1844" s="2"/>
      <c r="AP1844" s="2" t="str">
        <f t="shared" si="233"/>
        <v>E000</v>
      </c>
    </row>
    <row r="1845" spans="6:42" x14ac:dyDescent="0.2">
      <c r="F1845" s="1"/>
      <c r="G1845" s="3"/>
      <c r="H1845" s="8"/>
      <c r="N1845" s="1"/>
      <c r="V1845" s="1"/>
      <c r="AD1845" s="1"/>
      <c r="AJ1845" s="6">
        <f t="shared" si="230"/>
        <v>50</v>
      </c>
      <c r="AK1845" s="4">
        <v>1828</v>
      </c>
      <c r="AM1845" s="2" t="str">
        <f t="shared" si="231"/>
        <v>E</v>
      </c>
      <c r="AN1845" s="2" t="str">
        <f t="shared" si="232"/>
        <v>032</v>
      </c>
      <c r="AO1845" s="2"/>
      <c r="AP1845" s="2" t="str">
        <f t="shared" si="233"/>
        <v>E032</v>
      </c>
    </row>
    <row r="1846" spans="6:42" x14ac:dyDescent="0.2">
      <c r="F1846" s="1"/>
      <c r="G1846" s="3"/>
      <c r="H1846" s="8"/>
      <c r="N1846" s="1"/>
      <c r="V1846" s="1"/>
      <c r="AD1846" s="1"/>
      <c r="AJ1846" s="6">
        <f t="shared" si="230"/>
        <v>100</v>
      </c>
      <c r="AK1846" s="4">
        <v>1829</v>
      </c>
      <c r="AM1846" s="2" t="str">
        <f t="shared" si="231"/>
        <v>E</v>
      </c>
      <c r="AN1846" s="2" t="str">
        <f t="shared" si="232"/>
        <v>064</v>
      </c>
      <c r="AO1846" s="2"/>
      <c r="AP1846" s="2" t="str">
        <f t="shared" si="233"/>
        <v>E064</v>
      </c>
    </row>
    <row r="1847" spans="6:42" x14ac:dyDescent="0.2">
      <c r="F1847" s="1"/>
      <c r="G1847" s="3"/>
      <c r="H1847" s="8"/>
      <c r="N1847" s="1"/>
      <c r="V1847" s="1"/>
      <c r="AD1847" s="1"/>
      <c r="AJ1847" s="6">
        <f t="shared" si="230"/>
        <v>150</v>
      </c>
      <c r="AK1847" s="4">
        <v>1830</v>
      </c>
      <c r="AM1847" s="2" t="str">
        <f t="shared" si="231"/>
        <v>E</v>
      </c>
      <c r="AN1847" s="2" t="str">
        <f t="shared" si="232"/>
        <v>096</v>
      </c>
      <c r="AO1847" s="2"/>
      <c r="AP1847" s="2" t="str">
        <f t="shared" si="233"/>
        <v>E096</v>
      </c>
    </row>
    <row r="1848" spans="6:42" x14ac:dyDescent="0.2">
      <c r="F1848" s="1"/>
      <c r="G1848" s="3"/>
      <c r="H1848" s="8"/>
      <c r="N1848" s="1"/>
      <c r="V1848" s="1"/>
      <c r="AD1848" s="1"/>
      <c r="AJ1848" s="6">
        <f t="shared" si="230"/>
        <v>200</v>
      </c>
      <c r="AK1848" s="4">
        <v>1831</v>
      </c>
      <c r="AM1848" s="2" t="str">
        <f t="shared" si="231"/>
        <v>E</v>
      </c>
      <c r="AN1848" s="2" t="str">
        <f t="shared" si="232"/>
        <v>0C8</v>
      </c>
      <c r="AO1848" s="2"/>
      <c r="AP1848" s="2" t="str">
        <f t="shared" si="233"/>
        <v>E0C8</v>
      </c>
    </row>
    <row r="1849" spans="6:42" x14ac:dyDescent="0.2">
      <c r="F1849" s="1"/>
      <c r="G1849" s="3"/>
      <c r="H1849" s="8"/>
      <c r="N1849" s="1"/>
      <c r="V1849" s="1"/>
      <c r="AD1849" s="1"/>
      <c r="AJ1849" s="6">
        <f t="shared" si="230"/>
        <v>250</v>
      </c>
      <c r="AK1849" s="4">
        <v>1832</v>
      </c>
      <c r="AM1849" s="2" t="str">
        <f t="shared" si="231"/>
        <v>E</v>
      </c>
      <c r="AN1849" s="2" t="str">
        <f t="shared" si="232"/>
        <v>0FA</v>
      </c>
      <c r="AO1849" s="2"/>
      <c r="AP1849" s="2" t="str">
        <f t="shared" si="233"/>
        <v>E0FA</v>
      </c>
    </row>
    <row r="1850" spans="6:42" x14ac:dyDescent="0.2">
      <c r="F1850" s="1"/>
      <c r="G1850" s="3"/>
      <c r="H1850" s="8"/>
      <c r="N1850" s="1"/>
      <c r="V1850" s="1"/>
      <c r="AD1850" s="1"/>
      <c r="AJ1850" s="6">
        <f t="shared" si="230"/>
        <v>300</v>
      </c>
      <c r="AK1850" s="4">
        <v>1833</v>
      </c>
      <c r="AM1850" s="2" t="str">
        <f t="shared" si="231"/>
        <v>E</v>
      </c>
      <c r="AN1850" s="2" t="str">
        <f t="shared" si="232"/>
        <v>12C</v>
      </c>
      <c r="AO1850" s="2"/>
      <c r="AP1850" s="2" t="str">
        <f t="shared" si="233"/>
        <v>E12C</v>
      </c>
    </row>
    <row r="1851" spans="6:42" x14ac:dyDescent="0.2">
      <c r="F1851" s="1"/>
      <c r="G1851" s="3"/>
      <c r="H1851" s="8"/>
      <c r="N1851" s="1"/>
      <c r="V1851" s="1"/>
      <c r="AD1851" s="1"/>
      <c r="AJ1851" s="6">
        <f t="shared" si="230"/>
        <v>350</v>
      </c>
      <c r="AK1851" s="4">
        <v>1834</v>
      </c>
      <c r="AM1851" s="2" t="str">
        <f t="shared" si="231"/>
        <v>E</v>
      </c>
      <c r="AN1851" s="2" t="str">
        <f t="shared" si="232"/>
        <v>15E</v>
      </c>
      <c r="AO1851" s="2"/>
      <c r="AP1851" s="2" t="str">
        <f t="shared" si="233"/>
        <v>E15E</v>
      </c>
    </row>
    <row r="1852" spans="6:42" x14ac:dyDescent="0.2">
      <c r="F1852" s="1"/>
      <c r="G1852" s="3"/>
      <c r="H1852" s="8"/>
      <c r="N1852" s="1"/>
      <c r="V1852" s="1"/>
      <c r="AD1852" s="1"/>
      <c r="AJ1852" s="6">
        <f t="shared" si="230"/>
        <v>400</v>
      </c>
      <c r="AK1852" s="4">
        <v>1835</v>
      </c>
      <c r="AM1852" s="2" t="str">
        <f t="shared" si="231"/>
        <v>E</v>
      </c>
      <c r="AN1852" s="2" t="str">
        <f t="shared" si="232"/>
        <v>190</v>
      </c>
      <c r="AO1852" s="2"/>
      <c r="AP1852" s="2" t="str">
        <f t="shared" si="233"/>
        <v>E190</v>
      </c>
    </row>
    <row r="1853" spans="6:42" x14ac:dyDescent="0.2">
      <c r="F1853" s="1"/>
      <c r="G1853" s="3"/>
      <c r="H1853" s="8"/>
      <c r="N1853" s="1"/>
      <c r="V1853" s="1"/>
      <c r="AD1853" s="1"/>
      <c r="AJ1853" s="6">
        <f t="shared" si="230"/>
        <v>450</v>
      </c>
      <c r="AK1853" s="4">
        <v>1836</v>
      </c>
      <c r="AM1853" s="2" t="str">
        <f t="shared" si="231"/>
        <v>E</v>
      </c>
      <c r="AN1853" s="2" t="str">
        <f t="shared" si="232"/>
        <v>1C2</v>
      </c>
      <c r="AO1853" s="2"/>
      <c r="AP1853" s="2" t="str">
        <f t="shared" si="233"/>
        <v>E1C2</v>
      </c>
    </row>
    <row r="1854" spans="6:42" x14ac:dyDescent="0.2">
      <c r="F1854" s="1"/>
      <c r="G1854" s="3"/>
      <c r="H1854" s="8"/>
      <c r="N1854" s="1"/>
      <c r="V1854" s="1"/>
      <c r="AD1854" s="1"/>
      <c r="AJ1854" s="6">
        <f t="shared" si="230"/>
        <v>500</v>
      </c>
      <c r="AK1854" s="4">
        <v>1837</v>
      </c>
      <c r="AM1854" s="2" t="str">
        <f t="shared" si="231"/>
        <v>E</v>
      </c>
      <c r="AN1854" s="2" t="str">
        <f t="shared" si="232"/>
        <v>1F4</v>
      </c>
      <c r="AO1854" s="2"/>
      <c r="AP1854" s="2" t="str">
        <f t="shared" si="233"/>
        <v>E1F4</v>
      </c>
    </row>
    <row r="1855" spans="6:42" x14ac:dyDescent="0.2">
      <c r="F1855" s="1"/>
      <c r="G1855" s="3"/>
      <c r="H1855" s="8"/>
      <c r="N1855" s="1"/>
      <c r="V1855" s="1"/>
      <c r="AD1855" s="1"/>
      <c r="AJ1855" s="6">
        <f t="shared" si="230"/>
        <v>550</v>
      </c>
      <c r="AK1855" s="4">
        <v>1838</v>
      </c>
      <c r="AM1855" s="2" t="str">
        <f t="shared" si="231"/>
        <v>E</v>
      </c>
      <c r="AN1855" s="2" t="str">
        <f t="shared" si="232"/>
        <v>226</v>
      </c>
      <c r="AO1855" s="2"/>
      <c r="AP1855" s="2" t="str">
        <f t="shared" si="233"/>
        <v>E226</v>
      </c>
    </row>
    <row r="1856" spans="6:42" x14ac:dyDescent="0.2">
      <c r="F1856" s="1"/>
      <c r="G1856" s="3"/>
      <c r="H1856" s="8"/>
      <c r="N1856" s="1"/>
      <c r="V1856" s="1"/>
      <c r="AD1856" s="1"/>
      <c r="AJ1856" s="6">
        <f t="shared" si="230"/>
        <v>600</v>
      </c>
      <c r="AK1856" s="4">
        <v>1839</v>
      </c>
      <c r="AM1856" s="2" t="str">
        <f t="shared" si="231"/>
        <v>E</v>
      </c>
      <c r="AN1856" s="2" t="str">
        <f t="shared" si="232"/>
        <v>258</v>
      </c>
      <c r="AO1856" s="2"/>
      <c r="AP1856" s="2" t="str">
        <f t="shared" si="233"/>
        <v>E258</v>
      </c>
    </row>
    <row r="1857" spans="6:42" x14ac:dyDescent="0.2">
      <c r="F1857" s="1"/>
      <c r="G1857" s="3"/>
      <c r="H1857" s="8"/>
      <c r="N1857" s="1"/>
      <c r="V1857" s="1"/>
      <c r="AD1857" s="1"/>
      <c r="AJ1857" s="6">
        <f t="shared" si="230"/>
        <v>650</v>
      </c>
      <c r="AK1857" s="4">
        <v>1840</v>
      </c>
      <c r="AM1857" s="2" t="str">
        <f t="shared" si="231"/>
        <v>E</v>
      </c>
      <c r="AN1857" s="2" t="str">
        <f t="shared" si="232"/>
        <v>28A</v>
      </c>
      <c r="AO1857" s="2"/>
      <c r="AP1857" s="2" t="str">
        <f t="shared" si="233"/>
        <v>E28A</v>
      </c>
    </row>
    <row r="1858" spans="6:42" x14ac:dyDescent="0.2">
      <c r="F1858" s="1"/>
      <c r="G1858" s="3"/>
      <c r="H1858" s="8"/>
      <c r="N1858" s="1"/>
      <c r="V1858" s="1"/>
      <c r="AD1858" s="1"/>
      <c r="AJ1858" s="6">
        <f t="shared" si="230"/>
        <v>700</v>
      </c>
      <c r="AK1858" s="4">
        <v>1841</v>
      </c>
      <c r="AM1858" s="2" t="str">
        <f t="shared" si="231"/>
        <v>E</v>
      </c>
      <c r="AN1858" s="2" t="str">
        <f t="shared" si="232"/>
        <v>2BC</v>
      </c>
      <c r="AO1858" s="2"/>
      <c r="AP1858" s="2" t="str">
        <f t="shared" si="233"/>
        <v>E2BC</v>
      </c>
    </row>
    <row r="1859" spans="6:42" x14ac:dyDescent="0.2">
      <c r="F1859" s="1"/>
      <c r="G1859" s="3"/>
      <c r="H1859" s="8"/>
      <c r="N1859" s="1"/>
      <c r="V1859" s="1"/>
      <c r="AD1859" s="1"/>
      <c r="AJ1859" s="6">
        <f t="shared" si="230"/>
        <v>750</v>
      </c>
      <c r="AK1859" s="4">
        <v>1842</v>
      </c>
      <c r="AM1859" s="2" t="str">
        <f t="shared" si="231"/>
        <v>E</v>
      </c>
      <c r="AN1859" s="2" t="str">
        <f t="shared" si="232"/>
        <v>2EE</v>
      </c>
      <c r="AO1859" s="2"/>
      <c r="AP1859" s="2" t="str">
        <f t="shared" si="233"/>
        <v>E2EE</v>
      </c>
    </row>
    <row r="1860" spans="6:42" x14ac:dyDescent="0.2">
      <c r="F1860" s="1"/>
      <c r="G1860" s="3"/>
      <c r="H1860" s="8"/>
      <c r="N1860" s="1"/>
      <c r="V1860" s="1"/>
      <c r="AD1860" s="1"/>
      <c r="AJ1860" s="6">
        <f t="shared" si="230"/>
        <v>800</v>
      </c>
      <c r="AK1860" s="4">
        <v>1843</v>
      </c>
      <c r="AM1860" s="2" t="str">
        <f t="shared" si="231"/>
        <v>E</v>
      </c>
      <c r="AN1860" s="2" t="str">
        <f t="shared" si="232"/>
        <v>320</v>
      </c>
      <c r="AO1860" s="2"/>
      <c r="AP1860" s="2" t="str">
        <f t="shared" si="233"/>
        <v>E320</v>
      </c>
    </row>
    <row r="1861" spans="6:42" x14ac:dyDescent="0.2">
      <c r="F1861" s="1"/>
      <c r="G1861" s="3"/>
      <c r="H1861" s="8"/>
      <c r="N1861" s="1"/>
      <c r="V1861" s="1"/>
      <c r="AD1861" s="1"/>
      <c r="AJ1861" s="6">
        <f t="shared" si="230"/>
        <v>850</v>
      </c>
      <c r="AK1861" s="4">
        <v>1844</v>
      </c>
      <c r="AM1861" s="2" t="str">
        <f t="shared" si="231"/>
        <v>E</v>
      </c>
      <c r="AN1861" s="2" t="str">
        <f t="shared" si="232"/>
        <v>352</v>
      </c>
      <c r="AO1861" s="2"/>
      <c r="AP1861" s="2" t="str">
        <f t="shared" si="233"/>
        <v>E352</v>
      </c>
    </row>
    <row r="1862" spans="6:42" x14ac:dyDescent="0.2">
      <c r="F1862" s="1"/>
      <c r="G1862" s="3"/>
      <c r="H1862" s="8"/>
      <c r="N1862" s="1"/>
      <c r="V1862" s="1"/>
      <c r="AD1862" s="1"/>
      <c r="AJ1862" s="6">
        <f t="shared" si="230"/>
        <v>900</v>
      </c>
      <c r="AK1862" s="4">
        <v>1845</v>
      </c>
      <c r="AM1862" s="2" t="str">
        <f t="shared" si="231"/>
        <v>E</v>
      </c>
      <c r="AN1862" s="2" t="str">
        <f t="shared" si="232"/>
        <v>384</v>
      </c>
      <c r="AO1862" s="2"/>
      <c r="AP1862" s="2" t="str">
        <f t="shared" si="233"/>
        <v>E384</v>
      </c>
    </row>
    <row r="1863" spans="6:42" x14ac:dyDescent="0.2">
      <c r="F1863" s="1"/>
      <c r="G1863" s="3"/>
      <c r="H1863" s="8"/>
      <c r="N1863" s="1"/>
      <c r="V1863" s="1"/>
      <c r="AD1863" s="1"/>
      <c r="AJ1863" s="6">
        <f t="shared" si="230"/>
        <v>950</v>
      </c>
      <c r="AK1863" s="4">
        <v>1846</v>
      </c>
      <c r="AM1863" s="2" t="str">
        <f t="shared" si="231"/>
        <v>E</v>
      </c>
      <c r="AN1863" s="2" t="str">
        <f t="shared" si="232"/>
        <v>3B6</v>
      </c>
      <c r="AO1863" s="2"/>
      <c r="AP1863" s="2" t="str">
        <f t="shared" si="233"/>
        <v>E3B6</v>
      </c>
    </row>
    <row r="1864" spans="6:42" x14ac:dyDescent="0.2">
      <c r="F1864" s="1"/>
      <c r="G1864" s="3"/>
      <c r="H1864" s="8"/>
      <c r="N1864" s="1"/>
      <c r="V1864" s="1"/>
      <c r="AD1864" s="1"/>
      <c r="AJ1864" s="6">
        <f t="shared" si="230"/>
        <v>1000</v>
      </c>
      <c r="AK1864" s="4">
        <v>1847</v>
      </c>
      <c r="AM1864" s="2" t="str">
        <f t="shared" si="231"/>
        <v>E</v>
      </c>
      <c r="AN1864" s="2" t="str">
        <f t="shared" si="232"/>
        <v>3E8</v>
      </c>
      <c r="AO1864" s="2"/>
      <c r="AP1864" s="2" t="str">
        <f t="shared" si="233"/>
        <v>E3E8</v>
      </c>
    </row>
    <row r="1865" spans="6:42" x14ac:dyDescent="0.2">
      <c r="F1865" s="1"/>
      <c r="G1865" s="3"/>
      <c r="H1865" s="8"/>
      <c r="N1865" s="1"/>
      <c r="V1865" s="1"/>
      <c r="AD1865" s="1"/>
      <c r="AJ1865" s="6">
        <f t="shared" si="230"/>
        <v>1000</v>
      </c>
      <c r="AK1865" s="4">
        <v>1848</v>
      </c>
      <c r="AM1865" s="2" t="str">
        <f t="shared" si="231"/>
        <v>E</v>
      </c>
      <c r="AN1865" s="2" t="str">
        <f t="shared" si="232"/>
        <v>3E8</v>
      </c>
      <c r="AO1865" s="2"/>
      <c r="AP1865" s="2" t="str">
        <f t="shared" si="233"/>
        <v>E3E8</v>
      </c>
    </row>
    <row r="1866" spans="6:42" x14ac:dyDescent="0.2">
      <c r="F1866" s="1"/>
      <c r="G1866" s="3"/>
      <c r="H1866" s="8"/>
      <c r="N1866" s="1"/>
      <c r="V1866" s="1"/>
      <c r="AD1866" s="1"/>
      <c r="AJ1866" s="6">
        <f t="shared" si="230"/>
        <v>1000</v>
      </c>
      <c r="AK1866" s="4">
        <v>1849</v>
      </c>
      <c r="AM1866" s="2" t="str">
        <f t="shared" si="231"/>
        <v>E</v>
      </c>
      <c r="AN1866" s="2" t="str">
        <f t="shared" si="232"/>
        <v>3E8</v>
      </c>
      <c r="AO1866" s="2"/>
      <c r="AP1866" s="2" t="str">
        <f t="shared" si="233"/>
        <v>E3E8</v>
      </c>
    </row>
    <row r="1867" spans="6:42" x14ac:dyDescent="0.2">
      <c r="F1867" s="1"/>
      <c r="G1867" s="3"/>
      <c r="H1867" s="8"/>
      <c r="N1867" s="1"/>
      <c r="V1867" s="1"/>
      <c r="AD1867" s="1"/>
      <c r="AJ1867" s="6">
        <f t="shared" si="230"/>
        <v>1000</v>
      </c>
      <c r="AK1867" s="4">
        <v>1850</v>
      </c>
      <c r="AM1867" s="2" t="str">
        <f t="shared" si="231"/>
        <v>E</v>
      </c>
      <c r="AN1867" s="2" t="str">
        <f t="shared" si="232"/>
        <v>3E8</v>
      </c>
      <c r="AO1867" s="2"/>
      <c r="AP1867" s="2" t="str">
        <f t="shared" si="233"/>
        <v>E3E8</v>
      </c>
    </row>
    <row r="1868" spans="6:42" x14ac:dyDescent="0.2">
      <c r="F1868" s="1"/>
      <c r="G1868" s="3"/>
      <c r="H1868" s="8"/>
      <c r="N1868" s="1"/>
      <c r="V1868" s="1"/>
      <c r="AD1868" s="1"/>
      <c r="AJ1868" s="6">
        <f t="shared" si="230"/>
        <v>1000</v>
      </c>
      <c r="AK1868" s="4">
        <v>1851</v>
      </c>
      <c r="AM1868" s="2" t="str">
        <f t="shared" si="231"/>
        <v>E</v>
      </c>
      <c r="AN1868" s="2" t="str">
        <f t="shared" si="232"/>
        <v>3E8</v>
      </c>
      <c r="AO1868" s="2"/>
      <c r="AP1868" s="2" t="str">
        <f t="shared" si="233"/>
        <v>E3E8</v>
      </c>
    </row>
    <row r="1869" spans="6:42" x14ac:dyDescent="0.2">
      <c r="F1869" s="1"/>
      <c r="G1869" s="3"/>
      <c r="H1869" s="8"/>
      <c r="N1869" s="1"/>
      <c r="V1869" s="1"/>
      <c r="AD1869" s="1"/>
      <c r="AJ1869" s="6">
        <f t="shared" si="230"/>
        <v>1000</v>
      </c>
      <c r="AK1869" s="4">
        <v>1852</v>
      </c>
      <c r="AM1869" s="2" t="str">
        <f t="shared" si="231"/>
        <v>E</v>
      </c>
      <c r="AN1869" s="2" t="str">
        <f t="shared" si="232"/>
        <v>3E8</v>
      </c>
      <c r="AO1869" s="2"/>
      <c r="AP1869" s="2" t="str">
        <f t="shared" si="233"/>
        <v>E3E8</v>
      </c>
    </row>
    <row r="1870" spans="6:42" x14ac:dyDescent="0.2">
      <c r="F1870" s="1"/>
      <c r="G1870" s="3"/>
      <c r="H1870" s="8"/>
      <c r="N1870" s="1"/>
      <c r="V1870" s="1"/>
      <c r="AD1870" s="1"/>
      <c r="AJ1870" s="6">
        <f t="shared" si="230"/>
        <v>1000</v>
      </c>
      <c r="AK1870" s="4">
        <v>1853</v>
      </c>
      <c r="AM1870" s="2" t="str">
        <f t="shared" si="231"/>
        <v>E</v>
      </c>
      <c r="AN1870" s="2" t="str">
        <f t="shared" si="232"/>
        <v>3E8</v>
      </c>
      <c r="AO1870" s="2"/>
      <c r="AP1870" s="2" t="str">
        <f t="shared" si="233"/>
        <v>E3E8</v>
      </c>
    </row>
    <row r="1871" spans="6:42" x14ac:dyDescent="0.2">
      <c r="F1871" s="1"/>
      <c r="G1871" s="3"/>
      <c r="H1871" s="8"/>
      <c r="N1871" s="1"/>
      <c r="V1871" s="1"/>
      <c r="AD1871" s="1"/>
      <c r="AJ1871" s="6">
        <f t="shared" si="230"/>
        <v>1000</v>
      </c>
      <c r="AK1871" s="4">
        <v>1854</v>
      </c>
      <c r="AM1871" s="2" t="str">
        <f t="shared" si="231"/>
        <v>E</v>
      </c>
      <c r="AN1871" s="2" t="str">
        <f t="shared" si="232"/>
        <v>3E8</v>
      </c>
      <c r="AO1871" s="2"/>
      <c r="AP1871" s="2" t="str">
        <f t="shared" si="233"/>
        <v>E3E8</v>
      </c>
    </row>
    <row r="1872" spans="6:42" x14ac:dyDescent="0.2">
      <c r="F1872" s="1"/>
      <c r="G1872" s="3"/>
      <c r="H1872" s="8"/>
      <c r="N1872" s="1"/>
      <c r="V1872" s="1"/>
      <c r="AD1872" s="1"/>
      <c r="AJ1872" s="6">
        <f t="shared" si="230"/>
        <v>1000</v>
      </c>
      <c r="AK1872" s="4">
        <v>1855</v>
      </c>
      <c r="AM1872" s="2" t="str">
        <f t="shared" si="231"/>
        <v>E</v>
      </c>
      <c r="AN1872" s="2" t="str">
        <f t="shared" si="232"/>
        <v>3E8</v>
      </c>
      <c r="AO1872" s="2"/>
      <c r="AP1872" s="2" t="str">
        <f t="shared" si="233"/>
        <v>E3E8</v>
      </c>
    </row>
    <row r="1873" spans="6:42" x14ac:dyDescent="0.2">
      <c r="F1873" s="1"/>
      <c r="G1873" s="3"/>
      <c r="H1873" s="8"/>
      <c r="N1873" s="1"/>
      <c r="V1873" s="1"/>
      <c r="AD1873" s="1"/>
      <c r="AJ1873" s="6">
        <f t="shared" si="230"/>
        <v>1000</v>
      </c>
      <c r="AK1873" s="4">
        <v>1856</v>
      </c>
      <c r="AM1873" s="2" t="str">
        <f t="shared" si="231"/>
        <v>E</v>
      </c>
      <c r="AN1873" s="2" t="str">
        <f t="shared" si="232"/>
        <v>3E8</v>
      </c>
      <c r="AO1873" s="2"/>
      <c r="AP1873" s="2" t="str">
        <f t="shared" si="233"/>
        <v>E3E8</v>
      </c>
    </row>
    <row r="1874" spans="6:42" x14ac:dyDescent="0.2">
      <c r="F1874" s="1"/>
      <c r="G1874" s="3"/>
      <c r="H1874" s="8"/>
      <c r="N1874" s="1"/>
      <c r="V1874" s="1"/>
      <c r="AD1874" s="1"/>
      <c r="AJ1874" s="6">
        <f t="shared" si="230"/>
        <v>1000</v>
      </c>
      <c r="AK1874" s="4">
        <v>1857</v>
      </c>
      <c r="AM1874" s="2" t="str">
        <f t="shared" si="231"/>
        <v>E</v>
      </c>
      <c r="AN1874" s="2" t="str">
        <f t="shared" si="232"/>
        <v>3E8</v>
      </c>
      <c r="AO1874" s="2"/>
      <c r="AP1874" s="2" t="str">
        <f t="shared" si="233"/>
        <v>E3E8</v>
      </c>
    </row>
    <row r="1875" spans="6:42" x14ac:dyDescent="0.2">
      <c r="F1875" s="1"/>
      <c r="G1875" s="3"/>
      <c r="H1875" s="8"/>
      <c r="N1875" s="1"/>
      <c r="V1875" s="1"/>
      <c r="AD1875" s="1"/>
      <c r="AJ1875" s="6">
        <f t="shared" ref="AJ1875:AJ1938" si="234">ROUNDDOWN(($AE339*$AE$16+$I$6*100)*10,0)</f>
        <v>1000</v>
      </c>
      <c r="AK1875" s="4">
        <v>1858</v>
      </c>
      <c r="AM1875" s="2" t="str">
        <f t="shared" ref="AM1875:AM1938" si="235">BIN2HEX(AA339+10*AB339+100*AC339+1000*AD339,1)</f>
        <v>E</v>
      </c>
      <c r="AN1875" s="2" t="str">
        <f t="shared" si="232"/>
        <v>3E8</v>
      </c>
      <c r="AO1875" s="2"/>
      <c r="AP1875" s="2" t="str">
        <f t="shared" si="233"/>
        <v>E3E8</v>
      </c>
    </row>
    <row r="1876" spans="6:42" x14ac:dyDescent="0.2">
      <c r="F1876" s="1"/>
      <c r="G1876" s="3"/>
      <c r="H1876" s="8"/>
      <c r="N1876" s="1"/>
      <c r="V1876" s="1"/>
      <c r="AD1876" s="1"/>
      <c r="AJ1876" s="6">
        <f t="shared" si="234"/>
        <v>1000</v>
      </c>
      <c r="AK1876" s="4">
        <v>1859</v>
      </c>
      <c r="AM1876" s="2" t="str">
        <f t="shared" si="235"/>
        <v>E</v>
      </c>
      <c r="AN1876" s="2" t="str">
        <f t="shared" si="232"/>
        <v>3E8</v>
      </c>
      <c r="AO1876" s="2"/>
      <c r="AP1876" s="2" t="str">
        <f t="shared" si="233"/>
        <v>E3E8</v>
      </c>
    </row>
    <row r="1877" spans="6:42" x14ac:dyDescent="0.2">
      <c r="F1877" s="1"/>
      <c r="G1877" s="3"/>
      <c r="H1877" s="8"/>
      <c r="N1877" s="1"/>
      <c r="V1877" s="1"/>
      <c r="AD1877" s="1"/>
      <c r="AJ1877" s="6">
        <f t="shared" si="234"/>
        <v>1000</v>
      </c>
      <c r="AK1877" s="4">
        <v>1860</v>
      </c>
      <c r="AM1877" s="2" t="str">
        <f t="shared" si="235"/>
        <v>E</v>
      </c>
      <c r="AN1877" s="2" t="str">
        <f t="shared" si="232"/>
        <v>3E8</v>
      </c>
      <c r="AO1877" s="2"/>
      <c r="AP1877" s="2" t="str">
        <f t="shared" si="233"/>
        <v>E3E8</v>
      </c>
    </row>
    <row r="1878" spans="6:42" x14ac:dyDescent="0.2">
      <c r="F1878" s="1"/>
      <c r="G1878" s="3"/>
      <c r="H1878" s="8"/>
      <c r="N1878" s="1"/>
      <c r="V1878" s="1"/>
      <c r="AD1878" s="1"/>
      <c r="AJ1878" s="6">
        <f t="shared" si="234"/>
        <v>1000</v>
      </c>
      <c r="AK1878" s="4">
        <v>1861</v>
      </c>
      <c r="AM1878" s="2" t="str">
        <f t="shared" si="235"/>
        <v>E</v>
      </c>
      <c r="AN1878" s="2" t="str">
        <f t="shared" si="232"/>
        <v>3E8</v>
      </c>
      <c r="AO1878" s="2"/>
      <c r="AP1878" s="2" t="str">
        <f t="shared" si="233"/>
        <v>E3E8</v>
      </c>
    </row>
    <row r="1879" spans="6:42" x14ac:dyDescent="0.2">
      <c r="F1879" s="1"/>
      <c r="G1879" s="3"/>
      <c r="H1879" s="8"/>
      <c r="N1879" s="1"/>
      <c r="V1879" s="1"/>
      <c r="AD1879" s="1"/>
      <c r="AJ1879" s="6">
        <f t="shared" si="234"/>
        <v>985</v>
      </c>
      <c r="AK1879" s="4">
        <v>1862</v>
      </c>
      <c r="AM1879" s="2" t="str">
        <f t="shared" si="235"/>
        <v>E</v>
      </c>
      <c r="AN1879" s="2" t="str">
        <f t="shared" si="232"/>
        <v>3D9</v>
      </c>
      <c r="AO1879" s="2"/>
      <c r="AP1879" s="2" t="str">
        <f t="shared" si="233"/>
        <v>E3D9</v>
      </c>
    </row>
    <row r="1880" spans="6:42" x14ac:dyDescent="0.2">
      <c r="F1880" s="1"/>
      <c r="G1880" s="3"/>
      <c r="H1880" s="8"/>
      <c r="N1880" s="1"/>
      <c r="V1880" s="1"/>
      <c r="AD1880" s="1"/>
      <c r="AJ1880" s="6">
        <f t="shared" si="234"/>
        <v>970</v>
      </c>
      <c r="AK1880" s="4">
        <v>1863</v>
      </c>
      <c r="AM1880" s="2" t="str">
        <f t="shared" si="235"/>
        <v>E</v>
      </c>
      <c r="AN1880" s="2" t="str">
        <f t="shared" si="232"/>
        <v>3CA</v>
      </c>
      <c r="AO1880" s="2"/>
      <c r="AP1880" s="2" t="str">
        <f t="shared" si="233"/>
        <v>E3CA</v>
      </c>
    </row>
    <row r="1881" spans="6:42" x14ac:dyDescent="0.2">
      <c r="F1881" s="1"/>
      <c r="G1881" s="3"/>
      <c r="H1881" s="8"/>
      <c r="N1881" s="1"/>
      <c r="V1881" s="1"/>
      <c r="AD1881" s="1"/>
      <c r="AJ1881" s="6">
        <f t="shared" si="234"/>
        <v>955</v>
      </c>
      <c r="AK1881" s="4">
        <v>1864</v>
      </c>
      <c r="AM1881" s="2" t="str">
        <f t="shared" si="235"/>
        <v>E</v>
      </c>
      <c r="AN1881" s="2" t="str">
        <f t="shared" si="232"/>
        <v>3BB</v>
      </c>
      <c r="AO1881" s="2"/>
      <c r="AP1881" s="2" t="str">
        <f t="shared" si="233"/>
        <v>E3BB</v>
      </c>
    </row>
    <row r="1882" spans="6:42" x14ac:dyDescent="0.2">
      <c r="F1882" s="1"/>
      <c r="G1882" s="3"/>
      <c r="H1882" s="8"/>
      <c r="N1882" s="1"/>
      <c r="V1882" s="1"/>
      <c r="AD1882" s="1"/>
      <c r="AJ1882" s="6">
        <f t="shared" si="234"/>
        <v>940</v>
      </c>
      <c r="AK1882" s="4">
        <v>1865</v>
      </c>
      <c r="AM1882" s="2" t="str">
        <f t="shared" si="235"/>
        <v>E</v>
      </c>
      <c r="AN1882" s="2" t="str">
        <f t="shared" si="232"/>
        <v>3AC</v>
      </c>
      <c r="AO1882" s="2"/>
      <c r="AP1882" s="2" t="str">
        <f t="shared" si="233"/>
        <v>E3AC</v>
      </c>
    </row>
    <row r="1883" spans="6:42" x14ac:dyDescent="0.2">
      <c r="F1883" s="1"/>
      <c r="G1883" s="3"/>
      <c r="H1883" s="8"/>
      <c r="N1883" s="1"/>
      <c r="V1883" s="1"/>
      <c r="AD1883" s="1"/>
      <c r="AJ1883" s="6">
        <f t="shared" si="234"/>
        <v>925</v>
      </c>
      <c r="AK1883" s="4">
        <v>1866</v>
      </c>
      <c r="AM1883" s="2" t="str">
        <f t="shared" si="235"/>
        <v>E</v>
      </c>
      <c r="AN1883" s="2" t="str">
        <f t="shared" si="232"/>
        <v>39D</v>
      </c>
      <c r="AO1883" s="2"/>
      <c r="AP1883" s="2" t="str">
        <f t="shared" si="233"/>
        <v>E39D</v>
      </c>
    </row>
    <row r="1884" spans="6:42" x14ac:dyDescent="0.2">
      <c r="F1884" s="1"/>
      <c r="G1884" s="3"/>
      <c r="H1884" s="8"/>
      <c r="N1884" s="1"/>
      <c r="V1884" s="1"/>
      <c r="AD1884" s="1"/>
      <c r="AJ1884" s="6">
        <f t="shared" si="234"/>
        <v>910</v>
      </c>
      <c r="AK1884" s="4">
        <v>1867</v>
      </c>
      <c r="AM1884" s="2" t="str">
        <f t="shared" si="235"/>
        <v>E</v>
      </c>
      <c r="AN1884" s="2" t="str">
        <f t="shared" si="232"/>
        <v>38E</v>
      </c>
      <c r="AO1884" s="2"/>
      <c r="AP1884" s="2" t="str">
        <f t="shared" si="233"/>
        <v>E38E</v>
      </c>
    </row>
    <row r="1885" spans="6:42" x14ac:dyDescent="0.2">
      <c r="F1885" s="1"/>
      <c r="G1885" s="3"/>
      <c r="H1885" s="8"/>
      <c r="N1885" s="1"/>
      <c r="V1885" s="1"/>
      <c r="AD1885" s="1"/>
      <c r="AJ1885" s="6">
        <f t="shared" si="234"/>
        <v>895</v>
      </c>
      <c r="AK1885" s="4">
        <v>1868</v>
      </c>
      <c r="AM1885" s="2" t="str">
        <f t="shared" si="235"/>
        <v>E</v>
      </c>
      <c r="AN1885" s="2" t="str">
        <f t="shared" si="232"/>
        <v>37F</v>
      </c>
      <c r="AO1885" s="2"/>
      <c r="AP1885" s="2" t="str">
        <f t="shared" si="233"/>
        <v>E37F</v>
      </c>
    </row>
    <row r="1886" spans="6:42" x14ac:dyDescent="0.2">
      <c r="F1886" s="1"/>
      <c r="G1886" s="3"/>
      <c r="H1886" s="8"/>
      <c r="N1886" s="1"/>
      <c r="V1886" s="1"/>
      <c r="AD1886" s="1"/>
      <c r="AJ1886" s="6">
        <f t="shared" si="234"/>
        <v>880</v>
      </c>
      <c r="AK1886" s="4">
        <v>1869</v>
      </c>
      <c r="AM1886" s="2" t="str">
        <f t="shared" si="235"/>
        <v>E</v>
      </c>
      <c r="AN1886" s="2" t="str">
        <f t="shared" si="232"/>
        <v>370</v>
      </c>
      <c r="AO1886" s="2"/>
      <c r="AP1886" s="2" t="str">
        <f t="shared" si="233"/>
        <v>E370</v>
      </c>
    </row>
    <row r="1887" spans="6:42" x14ac:dyDescent="0.2">
      <c r="F1887" s="1"/>
      <c r="G1887" s="3"/>
      <c r="H1887" s="8"/>
      <c r="N1887" s="1"/>
      <c r="V1887" s="1"/>
      <c r="AD1887" s="1"/>
      <c r="AJ1887" s="6">
        <f t="shared" si="234"/>
        <v>865</v>
      </c>
      <c r="AK1887" s="4">
        <v>1870</v>
      </c>
      <c r="AM1887" s="2" t="str">
        <f t="shared" si="235"/>
        <v>E</v>
      </c>
      <c r="AN1887" s="2" t="str">
        <f t="shared" si="232"/>
        <v>361</v>
      </c>
      <c r="AO1887" s="2"/>
      <c r="AP1887" s="2" t="str">
        <f t="shared" si="233"/>
        <v>E361</v>
      </c>
    </row>
    <row r="1888" spans="6:42" x14ac:dyDescent="0.2">
      <c r="F1888" s="1"/>
      <c r="G1888" s="3"/>
      <c r="H1888" s="8"/>
      <c r="N1888" s="1"/>
      <c r="V1888" s="1"/>
      <c r="AD1888" s="1"/>
      <c r="AJ1888" s="6">
        <f t="shared" si="234"/>
        <v>850</v>
      </c>
      <c r="AK1888" s="4">
        <v>1871</v>
      </c>
      <c r="AM1888" s="2" t="str">
        <f t="shared" si="235"/>
        <v>E</v>
      </c>
      <c r="AN1888" s="2" t="str">
        <f t="shared" ref="AN1888:AN1951" si="236">DEC2HEX(AJ1888,3)</f>
        <v>352</v>
      </c>
      <c r="AO1888" s="2"/>
      <c r="AP1888" s="2" t="str">
        <f t="shared" ref="AP1888:AP1951" si="237">CONCATENATE(AM1888,AN1888)</f>
        <v>E352</v>
      </c>
    </row>
    <row r="1889" spans="6:42" x14ac:dyDescent="0.2">
      <c r="F1889" s="1"/>
      <c r="G1889" s="3"/>
      <c r="H1889" s="8"/>
      <c r="N1889" s="1"/>
      <c r="V1889" s="1"/>
      <c r="AD1889" s="1"/>
      <c r="AJ1889" s="6">
        <f t="shared" si="234"/>
        <v>835</v>
      </c>
      <c r="AK1889" s="4">
        <v>1872</v>
      </c>
      <c r="AM1889" s="2" t="str">
        <f t="shared" si="235"/>
        <v>E</v>
      </c>
      <c r="AN1889" s="2" t="str">
        <f t="shared" si="236"/>
        <v>343</v>
      </c>
      <c r="AO1889" s="2"/>
      <c r="AP1889" s="2" t="str">
        <f t="shared" si="237"/>
        <v>E343</v>
      </c>
    </row>
    <row r="1890" spans="6:42" x14ac:dyDescent="0.2">
      <c r="F1890" s="1"/>
      <c r="G1890" s="3"/>
      <c r="H1890" s="8"/>
      <c r="N1890" s="1"/>
      <c r="V1890" s="1"/>
      <c r="AD1890" s="1"/>
      <c r="AJ1890" s="6">
        <f t="shared" si="234"/>
        <v>820</v>
      </c>
      <c r="AK1890" s="4">
        <v>1873</v>
      </c>
      <c r="AM1890" s="2" t="str">
        <f t="shared" si="235"/>
        <v>E</v>
      </c>
      <c r="AN1890" s="2" t="str">
        <f t="shared" si="236"/>
        <v>334</v>
      </c>
      <c r="AO1890" s="2"/>
      <c r="AP1890" s="2" t="str">
        <f t="shared" si="237"/>
        <v>E334</v>
      </c>
    </row>
    <row r="1891" spans="6:42" x14ac:dyDescent="0.2">
      <c r="F1891" s="1"/>
      <c r="G1891" s="3"/>
      <c r="H1891" s="8"/>
      <c r="N1891" s="1"/>
      <c r="V1891" s="1"/>
      <c r="AD1891" s="1"/>
      <c r="AJ1891" s="6">
        <f t="shared" si="234"/>
        <v>805</v>
      </c>
      <c r="AK1891" s="4">
        <v>1874</v>
      </c>
      <c r="AM1891" s="2" t="str">
        <f t="shared" si="235"/>
        <v>E</v>
      </c>
      <c r="AN1891" s="2" t="str">
        <f t="shared" si="236"/>
        <v>325</v>
      </c>
      <c r="AO1891" s="2"/>
      <c r="AP1891" s="2" t="str">
        <f t="shared" si="237"/>
        <v>E325</v>
      </c>
    </row>
    <row r="1892" spans="6:42" x14ac:dyDescent="0.2">
      <c r="F1892" s="1"/>
      <c r="G1892" s="3"/>
      <c r="H1892" s="8"/>
      <c r="N1892" s="1"/>
      <c r="V1892" s="1"/>
      <c r="AD1892" s="1"/>
      <c r="AJ1892" s="6">
        <f t="shared" si="234"/>
        <v>790</v>
      </c>
      <c r="AK1892" s="4">
        <v>1875</v>
      </c>
      <c r="AM1892" s="2" t="str">
        <f t="shared" si="235"/>
        <v>E</v>
      </c>
      <c r="AN1892" s="2" t="str">
        <f t="shared" si="236"/>
        <v>316</v>
      </c>
      <c r="AO1892" s="2"/>
      <c r="AP1892" s="2" t="str">
        <f t="shared" si="237"/>
        <v>E316</v>
      </c>
    </row>
    <row r="1893" spans="6:42" x14ac:dyDescent="0.2">
      <c r="F1893" s="1"/>
      <c r="G1893" s="3"/>
      <c r="H1893" s="8"/>
      <c r="N1893" s="1"/>
      <c r="V1893" s="1"/>
      <c r="AD1893" s="1"/>
      <c r="AJ1893" s="6">
        <f t="shared" si="234"/>
        <v>775</v>
      </c>
      <c r="AK1893" s="4">
        <v>1876</v>
      </c>
      <c r="AM1893" s="2" t="str">
        <f t="shared" si="235"/>
        <v>E</v>
      </c>
      <c r="AN1893" s="2" t="str">
        <f t="shared" si="236"/>
        <v>307</v>
      </c>
      <c r="AO1893" s="2"/>
      <c r="AP1893" s="2" t="str">
        <f t="shared" si="237"/>
        <v>E307</v>
      </c>
    </row>
    <row r="1894" spans="6:42" x14ac:dyDescent="0.2">
      <c r="F1894" s="1"/>
      <c r="G1894" s="3"/>
      <c r="H1894" s="8"/>
      <c r="N1894" s="1"/>
      <c r="V1894" s="1"/>
      <c r="AD1894" s="1"/>
      <c r="AJ1894" s="6">
        <f t="shared" si="234"/>
        <v>760</v>
      </c>
      <c r="AK1894" s="4">
        <v>1877</v>
      </c>
      <c r="AM1894" s="2" t="str">
        <f t="shared" si="235"/>
        <v>E</v>
      </c>
      <c r="AN1894" s="2" t="str">
        <f t="shared" si="236"/>
        <v>2F8</v>
      </c>
      <c r="AO1894" s="2"/>
      <c r="AP1894" s="2" t="str">
        <f t="shared" si="237"/>
        <v>E2F8</v>
      </c>
    </row>
    <row r="1895" spans="6:42" x14ac:dyDescent="0.2">
      <c r="F1895" s="1"/>
      <c r="G1895" s="3"/>
      <c r="H1895" s="8"/>
      <c r="N1895" s="1"/>
      <c r="V1895" s="1"/>
      <c r="AD1895" s="1"/>
      <c r="AJ1895" s="6">
        <f t="shared" si="234"/>
        <v>745</v>
      </c>
      <c r="AK1895" s="4">
        <v>1878</v>
      </c>
      <c r="AM1895" s="2" t="str">
        <f t="shared" si="235"/>
        <v>E</v>
      </c>
      <c r="AN1895" s="2" t="str">
        <f t="shared" si="236"/>
        <v>2E9</v>
      </c>
      <c r="AO1895" s="2"/>
      <c r="AP1895" s="2" t="str">
        <f t="shared" si="237"/>
        <v>E2E9</v>
      </c>
    </row>
    <row r="1896" spans="6:42" x14ac:dyDescent="0.2">
      <c r="F1896" s="1"/>
      <c r="G1896" s="3"/>
      <c r="H1896" s="8"/>
      <c r="N1896" s="1"/>
      <c r="V1896" s="1"/>
      <c r="AD1896" s="1"/>
      <c r="AJ1896" s="6">
        <f t="shared" si="234"/>
        <v>730</v>
      </c>
      <c r="AK1896" s="4">
        <v>1879</v>
      </c>
      <c r="AM1896" s="2" t="str">
        <f t="shared" si="235"/>
        <v>E</v>
      </c>
      <c r="AN1896" s="2" t="str">
        <f t="shared" si="236"/>
        <v>2DA</v>
      </c>
      <c r="AO1896" s="2"/>
      <c r="AP1896" s="2" t="str">
        <f t="shared" si="237"/>
        <v>E2DA</v>
      </c>
    </row>
    <row r="1897" spans="6:42" x14ac:dyDescent="0.2">
      <c r="F1897" s="1"/>
      <c r="G1897" s="3"/>
      <c r="H1897" s="8"/>
      <c r="N1897" s="1"/>
      <c r="V1897" s="1"/>
      <c r="AD1897" s="1"/>
      <c r="AJ1897" s="6">
        <f t="shared" si="234"/>
        <v>715</v>
      </c>
      <c r="AK1897" s="4">
        <v>1880</v>
      </c>
      <c r="AM1897" s="2" t="str">
        <f t="shared" si="235"/>
        <v>E</v>
      </c>
      <c r="AN1897" s="2" t="str">
        <f t="shared" si="236"/>
        <v>2CB</v>
      </c>
      <c r="AO1897" s="2"/>
      <c r="AP1897" s="2" t="str">
        <f t="shared" si="237"/>
        <v>E2CB</v>
      </c>
    </row>
    <row r="1898" spans="6:42" x14ac:dyDescent="0.2">
      <c r="F1898" s="1"/>
      <c r="G1898" s="3"/>
      <c r="H1898" s="8"/>
      <c r="N1898" s="1"/>
      <c r="V1898" s="1"/>
      <c r="AD1898" s="1"/>
      <c r="AJ1898" s="6">
        <f t="shared" si="234"/>
        <v>700</v>
      </c>
      <c r="AK1898" s="4">
        <v>1881</v>
      </c>
      <c r="AM1898" s="2" t="str">
        <f t="shared" si="235"/>
        <v>E</v>
      </c>
      <c r="AN1898" s="2" t="str">
        <f t="shared" si="236"/>
        <v>2BC</v>
      </c>
      <c r="AO1898" s="2"/>
      <c r="AP1898" s="2" t="str">
        <f t="shared" si="237"/>
        <v>E2BC</v>
      </c>
    </row>
    <row r="1899" spans="6:42" x14ac:dyDescent="0.2">
      <c r="F1899" s="1"/>
      <c r="G1899" s="3"/>
      <c r="H1899" s="8"/>
      <c r="N1899" s="1"/>
      <c r="V1899" s="1"/>
      <c r="AD1899" s="1"/>
      <c r="AJ1899" s="6">
        <f t="shared" si="234"/>
        <v>700</v>
      </c>
      <c r="AK1899" s="4">
        <v>1882</v>
      </c>
      <c r="AM1899" s="2" t="str">
        <f t="shared" si="235"/>
        <v>E</v>
      </c>
      <c r="AN1899" s="2" t="str">
        <f t="shared" si="236"/>
        <v>2BC</v>
      </c>
      <c r="AO1899" s="2"/>
      <c r="AP1899" s="2" t="str">
        <f t="shared" si="237"/>
        <v>E2BC</v>
      </c>
    </row>
    <row r="1900" spans="6:42" x14ac:dyDescent="0.2">
      <c r="F1900" s="1"/>
      <c r="G1900" s="3"/>
      <c r="H1900" s="8"/>
      <c r="N1900" s="1"/>
      <c r="V1900" s="1"/>
      <c r="AD1900" s="1"/>
      <c r="AJ1900" s="6">
        <f t="shared" si="234"/>
        <v>700</v>
      </c>
      <c r="AK1900" s="4">
        <v>1883</v>
      </c>
      <c r="AM1900" s="2" t="str">
        <f t="shared" si="235"/>
        <v>E</v>
      </c>
      <c r="AN1900" s="2" t="str">
        <f t="shared" si="236"/>
        <v>2BC</v>
      </c>
      <c r="AO1900" s="2"/>
      <c r="AP1900" s="2" t="str">
        <f t="shared" si="237"/>
        <v>E2BC</v>
      </c>
    </row>
    <row r="1901" spans="6:42" x14ac:dyDescent="0.2">
      <c r="F1901" s="1"/>
      <c r="G1901" s="3"/>
      <c r="H1901" s="8"/>
      <c r="N1901" s="1"/>
      <c r="V1901" s="1"/>
      <c r="AD1901" s="1"/>
      <c r="AJ1901" s="6">
        <f t="shared" si="234"/>
        <v>700</v>
      </c>
      <c r="AK1901" s="4">
        <v>1884</v>
      </c>
      <c r="AM1901" s="2" t="str">
        <f t="shared" si="235"/>
        <v>E</v>
      </c>
      <c r="AN1901" s="2" t="str">
        <f t="shared" si="236"/>
        <v>2BC</v>
      </c>
      <c r="AO1901" s="2"/>
      <c r="AP1901" s="2" t="str">
        <f t="shared" si="237"/>
        <v>E2BC</v>
      </c>
    </row>
    <row r="1902" spans="6:42" x14ac:dyDescent="0.2">
      <c r="F1902" s="1"/>
      <c r="G1902" s="3"/>
      <c r="H1902" s="8"/>
      <c r="N1902" s="1"/>
      <c r="V1902" s="1"/>
      <c r="AD1902" s="1"/>
      <c r="AJ1902" s="6">
        <f t="shared" si="234"/>
        <v>700</v>
      </c>
      <c r="AK1902" s="4">
        <v>1885</v>
      </c>
      <c r="AM1902" s="2" t="str">
        <f t="shared" si="235"/>
        <v>E</v>
      </c>
      <c r="AN1902" s="2" t="str">
        <f t="shared" si="236"/>
        <v>2BC</v>
      </c>
      <c r="AO1902" s="2"/>
      <c r="AP1902" s="2" t="str">
        <f t="shared" si="237"/>
        <v>E2BC</v>
      </c>
    </row>
    <row r="1903" spans="6:42" x14ac:dyDescent="0.2">
      <c r="F1903" s="1"/>
      <c r="G1903" s="3"/>
      <c r="H1903" s="8"/>
      <c r="N1903" s="1"/>
      <c r="V1903" s="1"/>
      <c r="AD1903" s="1"/>
      <c r="AJ1903" s="6">
        <f t="shared" si="234"/>
        <v>700</v>
      </c>
      <c r="AK1903" s="4">
        <v>1886</v>
      </c>
      <c r="AM1903" s="2" t="str">
        <f t="shared" si="235"/>
        <v>E</v>
      </c>
      <c r="AN1903" s="2" t="str">
        <f t="shared" si="236"/>
        <v>2BC</v>
      </c>
      <c r="AO1903" s="2"/>
      <c r="AP1903" s="2" t="str">
        <f t="shared" si="237"/>
        <v>E2BC</v>
      </c>
    </row>
    <row r="1904" spans="6:42" x14ac:dyDescent="0.2">
      <c r="F1904" s="1"/>
      <c r="G1904" s="3"/>
      <c r="H1904" s="8"/>
      <c r="N1904" s="1"/>
      <c r="V1904" s="1"/>
      <c r="AD1904" s="1"/>
      <c r="AJ1904" s="6">
        <f t="shared" si="234"/>
        <v>700</v>
      </c>
      <c r="AK1904" s="4">
        <v>1887</v>
      </c>
      <c r="AM1904" s="2" t="str">
        <f t="shared" si="235"/>
        <v>E</v>
      </c>
      <c r="AN1904" s="2" t="str">
        <f t="shared" si="236"/>
        <v>2BC</v>
      </c>
      <c r="AO1904" s="2"/>
      <c r="AP1904" s="2" t="str">
        <f t="shared" si="237"/>
        <v>E2BC</v>
      </c>
    </row>
    <row r="1905" spans="6:42" x14ac:dyDescent="0.2">
      <c r="F1905" s="1"/>
      <c r="G1905" s="3"/>
      <c r="H1905" s="8"/>
      <c r="N1905" s="1"/>
      <c r="V1905" s="1"/>
      <c r="AD1905" s="1"/>
      <c r="AJ1905" s="6">
        <f t="shared" si="234"/>
        <v>700</v>
      </c>
      <c r="AK1905" s="4">
        <v>1888</v>
      </c>
      <c r="AM1905" s="2" t="str">
        <f t="shared" si="235"/>
        <v>E</v>
      </c>
      <c r="AN1905" s="2" t="str">
        <f t="shared" si="236"/>
        <v>2BC</v>
      </c>
      <c r="AO1905" s="2"/>
      <c r="AP1905" s="2" t="str">
        <f t="shared" si="237"/>
        <v>E2BC</v>
      </c>
    </row>
    <row r="1906" spans="6:42" x14ac:dyDescent="0.2">
      <c r="F1906" s="1"/>
      <c r="G1906" s="3"/>
      <c r="H1906" s="8"/>
      <c r="N1906" s="1"/>
      <c r="V1906" s="1"/>
      <c r="AD1906" s="1"/>
      <c r="AJ1906" s="6">
        <f t="shared" si="234"/>
        <v>700</v>
      </c>
      <c r="AK1906" s="4">
        <v>1889</v>
      </c>
      <c r="AM1906" s="2" t="str">
        <f t="shared" si="235"/>
        <v>E</v>
      </c>
      <c r="AN1906" s="2" t="str">
        <f t="shared" si="236"/>
        <v>2BC</v>
      </c>
      <c r="AO1906" s="2"/>
      <c r="AP1906" s="2" t="str">
        <f t="shared" si="237"/>
        <v>E2BC</v>
      </c>
    </row>
    <row r="1907" spans="6:42" x14ac:dyDescent="0.2">
      <c r="F1907" s="1"/>
      <c r="G1907" s="3"/>
      <c r="H1907" s="8"/>
      <c r="N1907" s="1"/>
      <c r="V1907" s="1"/>
      <c r="AD1907" s="1"/>
      <c r="AJ1907" s="6">
        <f t="shared" si="234"/>
        <v>700</v>
      </c>
      <c r="AK1907" s="4">
        <v>1890</v>
      </c>
      <c r="AM1907" s="2" t="str">
        <f t="shared" si="235"/>
        <v>E</v>
      </c>
      <c r="AN1907" s="2" t="str">
        <f t="shared" si="236"/>
        <v>2BC</v>
      </c>
      <c r="AO1907" s="2"/>
      <c r="AP1907" s="2" t="str">
        <f t="shared" si="237"/>
        <v>E2BC</v>
      </c>
    </row>
    <row r="1908" spans="6:42" x14ac:dyDescent="0.2">
      <c r="F1908" s="1"/>
      <c r="G1908" s="3"/>
      <c r="H1908" s="8"/>
      <c r="N1908" s="1"/>
      <c r="V1908" s="1"/>
      <c r="AD1908" s="1"/>
      <c r="AJ1908" s="6">
        <f t="shared" si="234"/>
        <v>700</v>
      </c>
      <c r="AK1908" s="4">
        <v>1891</v>
      </c>
      <c r="AM1908" s="2" t="str">
        <f t="shared" si="235"/>
        <v>E</v>
      </c>
      <c r="AN1908" s="2" t="str">
        <f t="shared" si="236"/>
        <v>2BC</v>
      </c>
      <c r="AO1908" s="2"/>
      <c r="AP1908" s="2" t="str">
        <f t="shared" si="237"/>
        <v>E2BC</v>
      </c>
    </row>
    <row r="1909" spans="6:42" x14ac:dyDescent="0.2">
      <c r="F1909" s="1"/>
      <c r="G1909" s="3"/>
      <c r="H1909" s="8"/>
      <c r="N1909" s="1"/>
      <c r="V1909" s="1"/>
      <c r="AD1909" s="1"/>
      <c r="AJ1909" s="6">
        <f t="shared" si="234"/>
        <v>700</v>
      </c>
      <c r="AK1909" s="4">
        <v>1892</v>
      </c>
      <c r="AM1909" s="2" t="str">
        <f t="shared" si="235"/>
        <v>E</v>
      </c>
      <c r="AN1909" s="2" t="str">
        <f t="shared" si="236"/>
        <v>2BC</v>
      </c>
      <c r="AO1909" s="2"/>
      <c r="AP1909" s="2" t="str">
        <f t="shared" si="237"/>
        <v>E2BC</v>
      </c>
    </row>
    <row r="1910" spans="6:42" x14ac:dyDescent="0.2">
      <c r="F1910" s="1"/>
      <c r="G1910" s="3"/>
      <c r="H1910" s="8"/>
      <c r="N1910" s="1"/>
      <c r="V1910" s="1"/>
      <c r="AD1910" s="1"/>
      <c r="AJ1910" s="6">
        <f t="shared" si="234"/>
        <v>700</v>
      </c>
      <c r="AK1910" s="4">
        <v>1893</v>
      </c>
      <c r="AM1910" s="2" t="str">
        <f t="shared" si="235"/>
        <v>E</v>
      </c>
      <c r="AN1910" s="2" t="str">
        <f t="shared" si="236"/>
        <v>2BC</v>
      </c>
      <c r="AO1910" s="2"/>
      <c r="AP1910" s="2" t="str">
        <f t="shared" si="237"/>
        <v>E2BC</v>
      </c>
    </row>
    <row r="1911" spans="6:42" x14ac:dyDescent="0.2">
      <c r="F1911" s="1"/>
      <c r="G1911" s="3"/>
      <c r="H1911" s="8"/>
      <c r="N1911" s="1"/>
      <c r="V1911" s="1"/>
      <c r="AD1911" s="1"/>
      <c r="AJ1911" s="6">
        <f t="shared" si="234"/>
        <v>700</v>
      </c>
      <c r="AK1911" s="4">
        <v>1894</v>
      </c>
      <c r="AM1911" s="2" t="str">
        <f t="shared" si="235"/>
        <v>E</v>
      </c>
      <c r="AN1911" s="2" t="str">
        <f t="shared" si="236"/>
        <v>2BC</v>
      </c>
      <c r="AO1911" s="2"/>
      <c r="AP1911" s="2" t="str">
        <f t="shared" si="237"/>
        <v>E2BC</v>
      </c>
    </row>
    <row r="1912" spans="6:42" x14ac:dyDescent="0.2">
      <c r="F1912" s="1"/>
      <c r="G1912" s="3"/>
      <c r="H1912" s="8"/>
      <c r="N1912" s="1"/>
      <c r="V1912" s="1"/>
      <c r="AD1912" s="1"/>
      <c r="AJ1912" s="6">
        <f t="shared" si="234"/>
        <v>700</v>
      </c>
      <c r="AK1912" s="4">
        <v>1895</v>
      </c>
      <c r="AM1912" s="2" t="str">
        <f t="shared" si="235"/>
        <v>E</v>
      </c>
      <c r="AN1912" s="2" t="str">
        <f t="shared" si="236"/>
        <v>2BC</v>
      </c>
      <c r="AO1912" s="2"/>
      <c r="AP1912" s="2" t="str">
        <f t="shared" si="237"/>
        <v>E2BC</v>
      </c>
    </row>
    <row r="1913" spans="6:42" x14ac:dyDescent="0.2">
      <c r="F1913" s="1"/>
      <c r="G1913" s="3"/>
      <c r="H1913" s="8"/>
      <c r="N1913" s="1"/>
      <c r="V1913" s="1"/>
      <c r="AD1913" s="1"/>
      <c r="AJ1913" s="6">
        <f t="shared" si="234"/>
        <v>700</v>
      </c>
      <c r="AK1913" s="4">
        <v>1896</v>
      </c>
      <c r="AM1913" s="2" t="str">
        <f t="shared" si="235"/>
        <v>E</v>
      </c>
      <c r="AN1913" s="2" t="str">
        <f t="shared" si="236"/>
        <v>2BC</v>
      </c>
      <c r="AO1913" s="2"/>
      <c r="AP1913" s="2" t="str">
        <f t="shared" si="237"/>
        <v>E2BC</v>
      </c>
    </row>
    <row r="1914" spans="6:42" x14ac:dyDescent="0.2">
      <c r="F1914" s="1"/>
      <c r="G1914" s="3"/>
      <c r="H1914" s="8"/>
      <c r="N1914" s="1"/>
      <c r="V1914" s="1"/>
      <c r="AD1914" s="1"/>
      <c r="AJ1914" s="6">
        <f t="shared" si="234"/>
        <v>700</v>
      </c>
      <c r="AK1914" s="4">
        <v>1897</v>
      </c>
      <c r="AM1914" s="2" t="str">
        <f t="shared" si="235"/>
        <v>E</v>
      </c>
      <c r="AN1914" s="2" t="str">
        <f t="shared" si="236"/>
        <v>2BC</v>
      </c>
      <c r="AO1914" s="2"/>
      <c r="AP1914" s="2" t="str">
        <f t="shared" si="237"/>
        <v>E2BC</v>
      </c>
    </row>
    <row r="1915" spans="6:42" x14ac:dyDescent="0.2">
      <c r="F1915" s="1"/>
      <c r="G1915" s="3"/>
      <c r="H1915" s="8"/>
      <c r="N1915" s="1"/>
      <c r="V1915" s="1"/>
      <c r="AD1915" s="1"/>
      <c r="AJ1915" s="6">
        <f t="shared" si="234"/>
        <v>700</v>
      </c>
      <c r="AK1915" s="4">
        <v>1898</v>
      </c>
      <c r="AM1915" s="2" t="str">
        <f t="shared" si="235"/>
        <v>E</v>
      </c>
      <c r="AN1915" s="2" t="str">
        <f t="shared" si="236"/>
        <v>2BC</v>
      </c>
      <c r="AO1915" s="2"/>
      <c r="AP1915" s="2" t="str">
        <f t="shared" si="237"/>
        <v>E2BC</v>
      </c>
    </row>
    <row r="1916" spans="6:42" x14ac:dyDescent="0.2">
      <c r="F1916" s="1"/>
      <c r="G1916" s="3"/>
      <c r="H1916" s="8"/>
      <c r="N1916" s="1"/>
      <c r="V1916" s="1"/>
      <c r="AD1916" s="1"/>
      <c r="AJ1916" s="6">
        <f t="shared" si="234"/>
        <v>700</v>
      </c>
      <c r="AK1916" s="4">
        <v>1899</v>
      </c>
      <c r="AM1916" s="2" t="str">
        <f t="shared" si="235"/>
        <v>E</v>
      </c>
      <c r="AN1916" s="2" t="str">
        <f t="shared" si="236"/>
        <v>2BC</v>
      </c>
      <c r="AO1916" s="2"/>
      <c r="AP1916" s="2" t="str">
        <f t="shared" si="237"/>
        <v>E2BC</v>
      </c>
    </row>
    <row r="1917" spans="6:42" x14ac:dyDescent="0.2">
      <c r="F1917" s="1"/>
      <c r="G1917" s="3"/>
      <c r="H1917" s="8"/>
      <c r="N1917" s="1"/>
      <c r="V1917" s="1"/>
      <c r="AD1917" s="1"/>
      <c r="AJ1917" s="6">
        <f t="shared" si="234"/>
        <v>700</v>
      </c>
      <c r="AK1917" s="4">
        <v>1900</v>
      </c>
      <c r="AM1917" s="2" t="str">
        <f t="shared" si="235"/>
        <v>E</v>
      </c>
      <c r="AN1917" s="2" t="str">
        <f t="shared" si="236"/>
        <v>2BC</v>
      </c>
      <c r="AO1917" s="2"/>
      <c r="AP1917" s="2" t="str">
        <f t="shared" si="237"/>
        <v>E2BC</v>
      </c>
    </row>
    <row r="1918" spans="6:42" x14ac:dyDescent="0.2">
      <c r="F1918" s="1"/>
      <c r="G1918" s="3"/>
      <c r="H1918" s="8"/>
      <c r="N1918" s="1"/>
      <c r="V1918" s="1"/>
      <c r="AD1918" s="1"/>
      <c r="AJ1918" s="6">
        <f t="shared" si="234"/>
        <v>700</v>
      </c>
      <c r="AK1918" s="4">
        <v>1901</v>
      </c>
      <c r="AM1918" s="2" t="str">
        <f t="shared" si="235"/>
        <v>E</v>
      </c>
      <c r="AN1918" s="2" t="str">
        <f t="shared" si="236"/>
        <v>2BC</v>
      </c>
      <c r="AO1918" s="2"/>
      <c r="AP1918" s="2" t="str">
        <f t="shared" si="237"/>
        <v>E2BC</v>
      </c>
    </row>
    <row r="1919" spans="6:42" x14ac:dyDescent="0.2">
      <c r="F1919" s="1"/>
      <c r="G1919" s="3"/>
      <c r="H1919" s="8"/>
      <c r="N1919" s="1"/>
      <c r="V1919" s="1"/>
      <c r="AD1919" s="1"/>
      <c r="AJ1919" s="6">
        <f t="shared" si="234"/>
        <v>700</v>
      </c>
      <c r="AK1919" s="4">
        <v>1902</v>
      </c>
      <c r="AM1919" s="2" t="str">
        <f t="shared" si="235"/>
        <v>E</v>
      </c>
      <c r="AN1919" s="2" t="str">
        <f t="shared" si="236"/>
        <v>2BC</v>
      </c>
      <c r="AO1919" s="2"/>
      <c r="AP1919" s="2" t="str">
        <f t="shared" si="237"/>
        <v>E2BC</v>
      </c>
    </row>
    <row r="1920" spans="6:42" x14ac:dyDescent="0.2">
      <c r="F1920" s="1"/>
      <c r="G1920" s="3"/>
      <c r="H1920" s="8"/>
      <c r="N1920" s="1"/>
      <c r="V1920" s="1"/>
      <c r="AD1920" s="1"/>
      <c r="AJ1920" s="6">
        <f t="shared" si="234"/>
        <v>700</v>
      </c>
      <c r="AK1920" s="4">
        <v>1903</v>
      </c>
      <c r="AM1920" s="2" t="str">
        <f t="shared" si="235"/>
        <v>E</v>
      </c>
      <c r="AN1920" s="2" t="str">
        <f t="shared" si="236"/>
        <v>2BC</v>
      </c>
      <c r="AO1920" s="2"/>
      <c r="AP1920" s="2" t="str">
        <f t="shared" si="237"/>
        <v>E2BC</v>
      </c>
    </row>
    <row r="1921" spans="6:42" x14ac:dyDescent="0.2">
      <c r="F1921" s="1"/>
      <c r="G1921" s="3"/>
      <c r="H1921" s="8"/>
      <c r="N1921" s="1"/>
      <c r="V1921" s="1"/>
      <c r="AD1921" s="1"/>
      <c r="AJ1921" s="6">
        <f t="shared" si="234"/>
        <v>715</v>
      </c>
      <c r="AK1921" s="4">
        <v>1904</v>
      </c>
      <c r="AM1921" s="2" t="str">
        <f t="shared" si="235"/>
        <v>E</v>
      </c>
      <c r="AN1921" s="2" t="str">
        <f t="shared" si="236"/>
        <v>2CB</v>
      </c>
      <c r="AO1921" s="2"/>
      <c r="AP1921" s="2" t="str">
        <f t="shared" si="237"/>
        <v>E2CB</v>
      </c>
    </row>
    <row r="1922" spans="6:42" x14ac:dyDescent="0.2">
      <c r="F1922" s="1"/>
      <c r="G1922" s="3"/>
      <c r="H1922" s="8"/>
      <c r="N1922" s="1"/>
      <c r="V1922" s="1"/>
      <c r="AD1922" s="1"/>
      <c r="AJ1922" s="6">
        <f t="shared" si="234"/>
        <v>730</v>
      </c>
      <c r="AK1922" s="4">
        <v>1905</v>
      </c>
      <c r="AM1922" s="2" t="str">
        <f t="shared" si="235"/>
        <v>E</v>
      </c>
      <c r="AN1922" s="2" t="str">
        <f t="shared" si="236"/>
        <v>2DA</v>
      </c>
      <c r="AO1922" s="2"/>
      <c r="AP1922" s="2" t="str">
        <f t="shared" si="237"/>
        <v>E2DA</v>
      </c>
    </row>
    <row r="1923" spans="6:42" x14ac:dyDescent="0.2">
      <c r="F1923" s="1"/>
      <c r="G1923" s="3"/>
      <c r="H1923" s="8"/>
      <c r="N1923" s="1"/>
      <c r="V1923" s="1"/>
      <c r="AD1923" s="1"/>
      <c r="AJ1923" s="6">
        <f t="shared" si="234"/>
        <v>745</v>
      </c>
      <c r="AK1923" s="4">
        <v>1906</v>
      </c>
      <c r="AM1923" s="2" t="str">
        <f t="shared" si="235"/>
        <v>E</v>
      </c>
      <c r="AN1923" s="2" t="str">
        <f t="shared" si="236"/>
        <v>2E9</v>
      </c>
      <c r="AO1923" s="2"/>
      <c r="AP1923" s="2" t="str">
        <f t="shared" si="237"/>
        <v>E2E9</v>
      </c>
    </row>
    <row r="1924" spans="6:42" x14ac:dyDescent="0.2">
      <c r="F1924" s="1"/>
      <c r="G1924" s="3"/>
      <c r="H1924" s="8"/>
      <c r="N1924" s="1"/>
      <c r="V1924" s="1"/>
      <c r="AD1924" s="1"/>
      <c r="AJ1924" s="6">
        <f t="shared" si="234"/>
        <v>760</v>
      </c>
      <c r="AK1924" s="4">
        <v>1907</v>
      </c>
      <c r="AM1924" s="2" t="str">
        <f t="shared" si="235"/>
        <v>E</v>
      </c>
      <c r="AN1924" s="2" t="str">
        <f t="shared" si="236"/>
        <v>2F8</v>
      </c>
      <c r="AO1924" s="2"/>
      <c r="AP1924" s="2" t="str">
        <f t="shared" si="237"/>
        <v>E2F8</v>
      </c>
    </row>
    <row r="1925" spans="6:42" x14ac:dyDescent="0.2">
      <c r="F1925" s="1"/>
      <c r="G1925" s="3"/>
      <c r="H1925" s="8"/>
      <c r="N1925" s="1"/>
      <c r="V1925" s="1"/>
      <c r="AD1925" s="1"/>
      <c r="AJ1925" s="6">
        <f t="shared" si="234"/>
        <v>775</v>
      </c>
      <c r="AK1925" s="4">
        <v>1908</v>
      </c>
      <c r="AM1925" s="2" t="str">
        <f t="shared" si="235"/>
        <v>E</v>
      </c>
      <c r="AN1925" s="2" t="str">
        <f t="shared" si="236"/>
        <v>307</v>
      </c>
      <c r="AO1925" s="2"/>
      <c r="AP1925" s="2" t="str">
        <f t="shared" si="237"/>
        <v>E307</v>
      </c>
    </row>
    <row r="1926" spans="6:42" x14ac:dyDescent="0.2">
      <c r="F1926" s="1"/>
      <c r="G1926" s="3"/>
      <c r="H1926" s="8"/>
      <c r="N1926" s="1"/>
      <c r="V1926" s="1"/>
      <c r="AD1926" s="1"/>
      <c r="AJ1926" s="6">
        <f t="shared" si="234"/>
        <v>790</v>
      </c>
      <c r="AK1926" s="4">
        <v>1909</v>
      </c>
      <c r="AM1926" s="2" t="str">
        <f t="shared" si="235"/>
        <v>E</v>
      </c>
      <c r="AN1926" s="2" t="str">
        <f t="shared" si="236"/>
        <v>316</v>
      </c>
      <c r="AO1926" s="2"/>
      <c r="AP1926" s="2" t="str">
        <f t="shared" si="237"/>
        <v>E316</v>
      </c>
    </row>
    <row r="1927" spans="6:42" x14ac:dyDescent="0.2">
      <c r="F1927" s="1"/>
      <c r="G1927" s="3"/>
      <c r="H1927" s="8"/>
      <c r="N1927" s="1"/>
      <c r="V1927" s="1"/>
      <c r="AD1927" s="1"/>
      <c r="AJ1927" s="6">
        <f t="shared" si="234"/>
        <v>805</v>
      </c>
      <c r="AK1927" s="4">
        <v>1910</v>
      </c>
      <c r="AM1927" s="2" t="str">
        <f t="shared" si="235"/>
        <v>E</v>
      </c>
      <c r="AN1927" s="2" t="str">
        <f t="shared" si="236"/>
        <v>325</v>
      </c>
      <c r="AO1927" s="2"/>
      <c r="AP1927" s="2" t="str">
        <f t="shared" si="237"/>
        <v>E325</v>
      </c>
    </row>
    <row r="1928" spans="6:42" x14ac:dyDescent="0.2">
      <c r="F1928" s="1"/>
      <c r="G1928" s="3"/>
      <c r="H1928" s="8"/>
      <c r="N1928" s="1"/>
      <c r="V1928" s="1"/>
      <c r="AD1928" s="1"/>
      <c r="AJ1928" s="6">
        <f t="shared" si="234"/>
        <v>820</v>
      </c>
      <c r="AK1928" s="4">
        <v>1911</v>
      </c>
      <c r="AM1928" s="2" t="str">
        <f t="shared" si="235"/>
        <v>E</v>
      </c>
      <c r="AN1928" s="2" t="str">
        <f t="shared" si="236"/>
        <v>334</v>
      </c>
      <c r="AO1928" s="2"/>
      <c r="AP1928" s="2" t="str">
        <f t="shared" si="237"/>
        <v>E334</v>
      </c>
    </row>
    <row r="1929" spans="6:42" x14ac:dyDescent="0.2">
      <c r="F1929" s="1"/>
      <c r="G1929" s="3"/>
      <c r="H1929" s="8"/>
      <c r="N1929" s="1"/>
      <c r="V1929" s="1"/>
      <c r="AD1929" s="1"/>
      <c r="AJ1929" s="6">
        <f t="shared" si="234"/>
        <v>835</v>
      </c>
      <c r="AK1929" s="4">
        <v>1912</v>
      </c>
      <c r="AM1929" s="2" t="str">
        <f t="shared" si="235"/>
        <v>E</v>
      </c>
      <c r="AN1929" s="2" t="str">
        <f t="shared" si="236"/>
        <v>343</v>
      </c>
      <c r="AO1929" s="2"/>
      <c r="AP1929" s="2" t="str">
        <f t="shared" si="237"/>
        <v>E343</v>
      </c>
    </row>
    <row r="1930" spans="6:42" x14ac:dyDescent="0.2">
      <c r="F1930" s="1"/>
      <c r="G1930" s="3"/>
      <c r="H1930" s="8"/>
      <c r="N1930" s="1"/>
      <c r="V1930" s="1"/>
      <c r="AD1930" s="1"/>
      <c r="AJ1930" s="6">
        <f t="shared" si="234"/>
        <v>850</v>
      </c>
      <c r="AK1930" s="4">
        <v>1913</v>
      </c>
      <c r="AM1930" s="2" t="str">
        <f t="shared" si="235"/>
        <v>E</v>
      </c>
      <c r="AN1930" s="2" t="str">
        <f t="shared" si="236"/>
        <v>352</v>
      </c>
      <c r="AO1930" s="2"/>
      <c r="AP1930" s="2" t="str">
        <f t="shared" si="237"/>
        <v>E352</v>
      </c>
    </row>
    <row r="1931" spans="6:42" x14ac:dyDescent="0.2">
      <c r="F1931" s="1"/>
      <c r="G1931" s="3"/>
      <c r="H1931" s="8"/>
      <c r="N1931" s="1"/>
      <c r="V1931" s="1"/>
      <c r="AD1931" s="1"/>
      <c r="AJ1931" s="6">
        <f t="shared" si="234"/>
        <v>865</v>
      </c>
      <c r="AK1931" s="4">
        <v>1914</v>
      </c>
      <c r="AM1931" s="2" t="str">
        <f t="shared" si="235"/>
        <v>E</v>
      </c>
      <c r="AN1931" s="2" t="str">
        <f t="shared" si="236"/>
        <v>361</v>
      </c>
      <c r="AO1931" s="2"/>
      <c r="AP1931" s="2" t="str">
        <f t="shared" si="237"/>
        <v>E361</v>
      </c>
    </row>
    <row r="1932" spans="6:42" x14ac:dyDescent="0.2">
      <c r="F1932" s="1"/>
      <c r="G1932" s="3"/>
      <c r="H1932" s="8"/>
      <c r="N1932" s="1"/>
      <c r="V1932" s="1"/>
      <c r="AD1932" s="1"/>
      <c r="AJ1932" s="6">
        <f t="shared" si="234"/>
        <v>880</v>
      </c>
      <c r="AK1932" s="4">
        <v>1915</v>
      </c>
      <c r="AM1932" s="2" t="str">
        <f t="shared" si="235"/>
        <v>E</v>
      </c>
      <c r="AN1932" s="2" t="str">
        <f t="shared" si="236"/>
        <v>370</v>
      </c>
      <c r="AO1932" s="2"/>
      <c r="AP1932" s="2" t="str">
        <f t="shared" si="237"/>
        <v>E370</v>
      </c>
    </row>
    <row r="1933" spans="6:42" x14ac:dyDescent="0.2">
      <c r="F1933" s="1"/>
      <c r="G1933" s="3"/>
      <c r="H1933" s="8"/>
      <c r="N1933" s="1"/>
      <c r="V1933" s="1"/>
      <c r="AD1933" s="1"/>
      <c r="AJ1933" s="6">
        <f t="shared" si="234"/>
        <v>895</v>
      </c>
      <c r="AK1933" s="4">
        <v>1916</v>
      </c>
      <c r="AM1933" s="2" t="str">
        <f t="shared" si="235"/>
        <v>E</v>
      </c>
      <c r="AN1933" s="2" t="str">
        <f t="shared" si="236"/>
        <v>37F</v>
      </c>
      <c r="AO1933" s="2"/>
      <c r="AP1933" s="2" t="str">
        <f t="shared" si="237"/>
        <v>E37F</v>
      </c>
    </row>
    <row r="1934" spans="6:42" x14ac:dyDescent="0.2">
      <c r="F1934" s="1"/>
      <c r="G1934" s="3"/>
      <c r="H1934" s="8"/>
      <c r="N1934" s="1"/>
      <c r="V1934" s="1"/>
      <c r="AD1934" s="1"/>
      <c r="AJ1934" s="6">
        <f t="shared" si="234"/>
        <v>910</v>
      </c>
      <c r="AK1934" s="4">
        <v>1917</v>
      </c>
      <c r="AM1934" s="2" t="str">
        <f t="shared" si="235"/>
        <v>E</v>
      </c>
      <c r="AN1934" s="2" t="str">
        <f t="shared" si="236"/>
        <v>38E</v>
      </c>
      <c r="AO1934" s="2"/>
      <c r="AP1934" s="2" t="str">
        <f t="shared" si="237"/>
        <v>E38E</v>
      </c>
    </row>
    <row r="1935" spans="6:42" x14ac:dyDescent="0.2">
      <c r="F1935" s="1"/>
      <c r="G1935" s="3"/>
      <c r="H1935" s="8"/>
      <c r="N1935" s="1"/>
      <c r="V1935" s="1"/>
      <c r="AD1935" s="1"/>
      <c r="AJ1935" s="6">
        <f t="shared" si="234"/>
        <v>925</v>
      </c>
      <c r="AK1935" s="4">
        <v>1918</v>
      </c>
      <c r="AM1935" s="2" t="str">
        <f t="shared" si="235"/>
        <v>E</v>
      </c>
      <c r="AN1935" s="2" t="str">
        <f t="shared" si="236"/>
        <v>39D</v>
      </c>
      <c r="AO1935" s="2"/>
      <c r="AP1935" s="2" t="str">
        <f t="shared" si="237"/>
        <v>E39D</v>
      </c>
    </row>
    <row r="1936" spans="6:42" x14ac:dyDescent="0.2">
      <c r="F1936" s="1"/>
      <c r="G1936" s="3"/>
      <c r="H1936" s="8"/>
      <c r="N1936" s="1"/>
      <c r="V1936" s="1"/>
      <c r="AD1936" s="1"/>
      <c r="AJ1936" s="6">
        <f t="shared" si="234"/>
        <v>940</v>
      </c>
      <c r="AK1936" s="4">
        <v>1919</v>
      </c>
      <c r="AM1936" s="2" t="str">
        <f t="shared" si="235"/>
        <v>E</v>
      </c>
      <c r="AN1936" s="2" t="str">
        <f t="shared" si="236"/>
        <v>3AC</v>
      </c>
      <c r="AO1936" s="2"/>
      <c r="AP1936" s="2" t="str">
        <f t="shared" si="237"/>
        <v>E3AC</v>
      </c>
    </row>
    <row r="1937" spans="6:42" x14ac:dyDescent="0.2">
      <c r="F1937" s="1"/>
      <c r="G1937" s="3"/>
      <c r="H1937" s="8"/>
      <c r="N1937" s="1"/>
      <c r="V1937" s="1"/>
      <c r="AD1937" s="1"/>
      <c r="AJ1937" s="6">
        <f t="shared" si="234"/>
        <v>955</v>
      </c>
      <c r="AK1937" s="4">
        <v>1920</v>
      </c>
      <c r="AM1937" s="2" t="str">
        <f t="shared" si="235"/>
        <v>E</v>
      </c>
      <c r="AN1937" s="2" t="str">
        <f t="shared" si="236"/>
        <v>3BB</v>
      </c>
      <c r="AO1937" s="2"/>
      <c r="AP1937" s="2" t="str">
        <f t="shared" si="237"/>
        <v>E3BB</v>
      </c>
    </row>
    <row r="1938" spans="6:42" x14ac:dyDescent="0.2">
      <c r="F1938" s="1"/>
      <c r="G1938" s="3"/>
      <c r="H1938" s="8"/>
      <c r="N1938" s="1"/>
      <c r="V1938" s="1"/>
      <c r="AD1938" s="1"/>
      <c r="AJ1938" s="6">
        <f t="shared" si="234"/>
        <v>970</v>
      </c>
      <c r="AK1938" s="4">
        <v>1921</v>
      </c>
      <c r="AM1938" s="2" t="str">
        <f t="shared" si="235"/>
        <v>E</v>
      </c>
      <c r="AN1938" s="2" t="str">
        <f t="shared" si="236"/>
        <v>3CA</v>
      </c>
      <c r="AO1938" s="2"/>
      <c r="AP1938" s="2" t="str">
        <f t="shared" si="237"/>
        <v>E3CA</v>
      </c>
    </row>
    <row r="1939" spans="6:42" x14ac:dyDescent="0.2">
      <c r="F1939" s="1"/>
      <c r="G1939" s="3"/>
      <c r="H1939" s="8"/>
      <c r="N1939" s="1"/>
      <c r="V1939" s="1"/>
      <c r="AD1939" s="1"/>
      <c r="AJ1939" s="6">
        <f t="shared" ref="AJ1939:AJ2002" si="238">ROUNDDOWN(($AE403*$AE$16+$I$6*100)*10,0)</f>
        <v>985</v>
      </c>
      <c r="AK1939" s="4">
        <v>1922</v>
      </c>
      <c r="AM1939" s="2" t="str">
        <f t="shared" ref="AM1939:AM2002" si="239">BIN2HEX(AA403+10*AB403+100*AC403+1000*AD403,1)</f>
        <v>E</v>
      </c>
      <c r="AN1939" s="2" t="str">
        <f t="shared" si="236"/>
        <v>3D9</v>
      </c>
      <c r="AO1939" s="2"/>
      <c r="AP1939" s="2" t="str">
        <f t="shared" si="237"/>
        <v>E3D9</v>
      </c>
    </row>
    <row r="1940" spans="6:42" x14ac:dyDescent="0.2">
      <c r="F1940" s="1"/>
      <c r="G1940" s="3"/>
      <c r="H1940" s="8"/>
      <c r="N1940" s="1"/>
      <c r="V1940" s="1"/>
      <c r="AD1940" s="1"/>
      <c r="AJ1940" s="6">
        <f t="shared" si="238"/>
        <v>1000</v>
      </c>
      <c r="AK1940" s="4">
        <v>1923</v>
      </c>
      <c r="AM1940" s="2" t="str">
        <f t="shared" si="239"/>
        <v>E</v>
      </c>
      <c r="AN1940" s="2" t="str">
        <f t="shared" si="236"/>
        <v>3E8</v>
      </c>
      <c r="AO1940" s="2"/>
      <c r="AP1940" s="2" t="str">
        <f t="shared" si="237"/>
        <v>E3E8</v>
      </c>
    </row>
    <row r="1941" spans="6:42" x14ac:dyDescent="0.2">
      <c r="F1941" s="1"/>
      <c r="G1941" s="3"/>
      <c r="H1941" s="8"/>
      <c r="N1941" s="1"/>
      <c r="V1941" s="1"/>
      <c r="AD1941" s="1"/>
      <c r="AJ1941" s="6">
        <f t="shared" si="238"/>
        <v>1000</v>
      </c>
      <c r="AK1941" s="4">
        <v>1924</v>
      </c>
      <c r="AM1941" s="2" t="str">
        <f t="shared" si="239"/>
        <v>E</v>
      </c>
      <c r="AN1941" s="2" t="str">
        <f t="shared" si="236"/>
        <v>3E8</v>
      </c>
      <c r="AO1941" s="2"/>
      <c r="AP1941" s="2" t="str">
        <f t="shared" si="237"/>
        <v>E3E8</v>
      </c>
    </row>
    <row r="1942" spans="6:42" x14ac:dyDescent="0.2">
      <c r="F1942" s="1"/>
      <c r="G1942" s="3"/>
      <c r="H1942" s="8"/>
      <c r="N1942" s="1"/>
      <c r="V1942" s="1"/>
      <c r="AD1942" s="1"/>
      <c r="AJ1942" s="6">
        <f t="shared" si="238"/>
        <v>1000</v>
      </c>
      <c r="AK1942" s="4">
        <v>1925</v>
      </c>
      <c r="AM1942" s="2" t="str">
        <f t="shared" si="239"/>
        <v>E</v>
      </c>
      <c r="AN1942" s="2" t="str">
        <f t="shared" si="236"/>
        <v>3E8</v>
      </c>
      <c r="AO1942" s="2"/>
      <c r="AP1942" s="2" t="str">
        <f t="shared" si="237"/>
        <v>E3E8</v>
      </c>
    </row>
    <row r="1943" spans="6:42" x14ac:dyDescent="0.2">
      <c r="F1943" s="1"/>
      <c r="G1943" s="3"/>
      <c r="H1943" s="8"/>
      <c r="N1943" s="1"/>
      <c r="V1943" s="1"/>
      <c r="AD1943" s="1"/>
      <c r="AJ1943" s="6">
        <f t="shared" si="238"/>
        <v>1000</v>
      </c>
      <c r="AK1943" s="4">
        <v>1926</v>
      </c>
      <c r="AM1943" s="2" t="str">
        <f t="shared" si="239"/>
        <v>E</v>
      </c>
      <c r="AN1943" s="2" t="str">
        <f t="shared" si="236"/>
        <v>3E8</v>
      </c>
      <c r="AO1943" s="2"/>
      <c r="AP1943" s="2" t="str">
        <f t="shared" si="237"/>
        <v>E3E8</v>
      </c>
    </row>
    <row r="1944" spans="6:42" x14ac:dyDescent="0.2">
      <c r="F1944" s="1"/>
      <c r="G1944" s="3"/>
      <c r="H1944" s="8"/>
      <c r="N1944" s="1"/>
      <c r="V1944" s="1"/>
      <c r="AD1944" s="1"/>
      <c r="AJ1944" s="6">
        <f t="shared" si="238"/>
        <v>1000</v>
      </c>
      <c r="AK1944" s="4">
        <v>1927</v>
      </c>
      <c r="AM1944" s="2" t="str">
        <f t="shared" si="239"/>
        <v>E</v>
      </c>
      <c r="AN1944" s="2" t="str">
        <f t="shared" si="236"/>
        <v>3E8</v>
      </c>
      <c r="AO1944" s="2"/>
      <c r="AP1944" s="2" t="str">
        <f t="shared" si="237"/>
        <v>E3E8</v>
      </c>
    </row>
    <row r="1945" spans="6:42" x14ac:dyDescent="0.2">
      <c r="F1945" s="1"/>
      <c r="G1945" s="3"/>
      <c r="H1945" s="8"/>
      <c r="N1945" s="1"/>
      <c r="V1945" s="1"/>
      <c r="AD1945" s="1"/>
      <c r="AJ1945" s="6">
        <f t="shared" si="238"/>
        <v>1000</v>
      </c>
      <c r="AK1945" s="4">
        <v>1928</v>
      </c>
      <c r="AM1945" s="2" t="str">
        <f t="shared" si="239"/>
        <v>E</v>
      </c>
      <c r="AN1945" s="2" t="str">
        <f t="shared" si="236"/>
        <v>3E8</v>
      </c>
      <c r="AO1945" s="2"/>
      <c r="AP1945" s="2" t="str">
        <f t="shared" si="237"/>
        <v>E3E8</v>
      </c>
    </row>
    <row r="1946" spans="6:42" x14ac:dyDescent="0.2">
      <c r="F1946" s="1"/>
      <c r="G1946" s="3"/>
      <c r="H1946" s="8"/>
      <c r="N1946" s="1"/>
      <c r="V1946" s="1"/>
      <c r="AD1946" s="1"/>
      <c r="AJ1946" s="6">
        <f t="shared" si="238"/>
        <v>1000</v>
      </c>
      <c r="AK1946" s="4">
        <v>1929</v>
      </c>
      <c r="AM1946" s="2" t="str">
        <f t="shared" si="239"/>
        <v>E</v>
      </c>
      <c r="AN1946" s="2" t="str">
        <f t="shared" si="236"/>
        <v>3E8</v>
      </c>
      <c r="AO1946" s="2"/>
      <c r="AP1946" s="2" t="str">
        <f t="shared" si="237"/>
        <v>E3E8</v>
      </c>
    </row>
    <row r="1947" spans="6:42" x14ac:dyDescent="0.2">
      <c r="F1947" s="1"/>
      <c r="G1947" s="3"/>
      <c r="H1947" s="8"/>
      <c r="N1947" s="1"/>
      <c r="V1947" s="1"/>
      <c r="AD1947" s="1"/>
      <c r="AJ1947" s="6">
        <f t="shared" si="238"/>
        <v>1000</v>
      </c>
      <c r="AK1947" s="4">
        <v>1930</v>
      </c>
      <c r="AM1947" s="2" t="str">
        <f t="shared" si="239"/>
        <v>E</v>
      </c>
      <c r="AN1947" s="2" t="str">
        <f t="shared" si="236"/>
        <v>3E8</v>
      </c>
      <c r="AO1947" s="2"/>
      <c r="AP1947" s="2" t="str">
        <f t="shared" si="237"/>
        <v>E3E8</v>
      </c>
    </row>
    <row r="1948" spans="6:42" x14ac:dyDescent="0.2">
      <c r="F1948" s="1"/>
      <c r="G1948" s="3"/>
      <c r="H1948" s="8"/>
      <c r="N1948" s="1"/>
      <c r="V1948" s="1"/>
      <c r="AD1948" s="1"/>
      <c r="AJ1948" s="6">
        <f t="shared" si="238"/>
        <v>1000</v>
      </c>
      <c r="AK1948" s="4">
        <v>1931</v>
      </c>
      <c r="AM1948" s="2" t="str">
        <f t="shared" si="239"/>
        <v>E</v>
      </c>
      <c r="AN1948" s="2" t="str">
        <f t="shared" si="236"/>
        <v>3E8</v>
      </c>
      <c r="AO1948" s="2"/>
      <c r="AP1948" s="2" t="str">
        <f t="shared" si="237"/>
        <v>E3E8</v>
      </c>
    </row>
    <row r="1949" spans="6:42" x14ac:dyDescent="0.2">
      <c r="F1949" s="1"/>
      <c r="G1949" s="3"/>
      <c r="H1949" s="8"/>
      <c r="N1949" s="1"/>
      <c r="V1949" s="1"/>
      <c r="AD1949" s="1"/>
      <c r="AJ1949" s="6">
        <f t="shared" si="238"/>
        <v>1000</v>
      </c>
      <c r="AK1949" s="4">
        <v>1932</v>
      </c>
      <c r="AM1949" s="2" t="str">
        <f t="shared" si="239"/>
        <v>E</v>
      </c>
      <c r="AN1949" s="2" t="str">
        <f t="shared" si="236"/>
        <v>3E8</v>
      </c>
      <c r="AO1949" s="2"/>
      <c r="AP1949" s="2" t="str">
        <f t="shared" si="237"/>
        <v>E3E8</v>
      </c>
    </row>
    <row r="1950" spans="6:42" x14ac:dyDescent="0.2">
      <c r="F1950" s="1"/>
      <c r="G1950" s="3"/>
      <c r="H1950" s="8"/>
      <c r="N1950" s="1"/>
      <c r="V1950" s="1"/>
      <c r="AD1950" s="1"/>
      <c r="AJ1950" s="6">
        <f t="shared" si="238"/>
        <v>1000</v>
      </c>
      <c r="AK1950" s="4">
        <v>1933</v>
      </c>
      <c r="AM1950" s="2" t="str">
        <f t="shared" si="239"/>
        <v>E</v>
      </c>
      <c r="AN1950" s="2" t="str">
        <f t="shared" si="236"/>
        <v>3E8</v>
      </c>
      <c r="AO1950" s="2"/>
      <c r="AP1950" s="2" t="str">
        <f t="shared" si="237"/>
        <v>E3E8</v>
      </c>
    </row>
    <row r="1951" spans="6:42" x14ac:dyDescent="0.2">
      <c r="F1951" s="1"/>
      <c r="G1951" s="3"/>
      <c r="H1951" s="8"/>
      <c r="N1951" s="1"/>
      <c r="V1951" s="1"/>
      <c r="AD1951" s="1"/>
      <c r="AJ1951" s="6">
        <f t="shared" si="238"/>
        <v>1000</v>
      </c>
      <c r="AK1951" s="4">
        <v>1934</v>
      </c>
      <c r="AM1951" s="2" t="str">
        <f t="shared" si="239"/>
        <v>E</v>
      </c>
      <c r="AN1951" s="2" t="str">
        <f t="shared" si="236"/>
        <v>3E8</v>
      </c>
      <c r="AO1951" s="2"/>
      <c r="AP1951" s="2" t="str">
        <f t="shared" si="237"/>
        <v>E3E8</v>
      </c>
    </row>
    <row r="1952" spans="6:42" x14ac:dyDescent="0.2">
      <c r="F1952" s="1"/>
      <c r="G1952" s="3"/>
      <c r="H1952" s="8"/>
      <c r="N1952" s="1"/>
      <c r="V1952" s="1"/>
      <c r="AD1952" s="1"/>
      <c r="AJ1952" s="6">
        <f t="shared" si="238"/>
        <v>1000</v>
      </c>
      <c r="AK1952" s="4">
        <v>1935</v>
      </c>
      <c r="AM1952" s="2" t="str">
        <f t="shared" si="239"/>
        <v>E</v>
      </c>
      <c r="AN1952" s="2" t="str">
        <f t="shared" ref="AN1952:AN2015" si="240">DEC2HEX(AJ1952,3)</f>
        <v>3E8</v>
      </c>
      <c r="AO1952" s="2"/>
      <c r="AP1952" s="2" t="str">
        <f t="shared" ref="AP1952:AP2015" si="241">CONCATENATE(AM1952,AN1952)</f>
        <v>E3E8</v>
      </c>
    </row>
    <row r="1953" spans="6:42" x14ac:dyDescent="0.2">
      <c r="F1953" s="1"/>
      <c r="G1953" s="3"/>
      <c r="H1953" s="8"/>
      <c r="N1953" s="1"/>
      <c r="V1953" s="1"/>
      <c r="AD1953" s="1"/>
      <c r="AJ1953" s="6">
        <f t="shared" si="238"/>
        <v>1000</v>
      </c>
      <c r="AK1953" s="4">
        <v>1936</v>
      </c>
      <c r="AM1953" s="2" t="str">
        <f t="shared" si="239"/>
        <v>E</v>
      </c>
      <c r="AN1953" s="2" t="str">
        <f t="shared" si="240"/>
        <v>3E8</v>
      </c>
      <c r="AO1953" s="2"/>
      <c r="AP1953" s="2" t="str">
        <f t="shared" si="241"/>
        <v>E3E8</v>
      </c>
    </row>
    <row r="1954" spans="6:42" x14ac:dyDescent="0.2">
      <c r="F1954" s="1"/>
      <c r="G1954" s="3"/>
      <c r="H1954" s="8"/>
      <c r="N1954" s="1"/>
      <c r="V1954" s="1"/>
      <c r="AD1954" s="1"/>
      <c r="AJ1954" s="6">
        <f t="shared" si="238"/>
        <v>1000</v>
      </c>
      <c r="AK1954" s="4">
        <v>1937</v>
      </c>
      <c r="AM1954" s="2" t="str">
        <f t="shared" si="239"/>
        <v>E</v>
      </c>
      <c r="AN1954" s="2" t="str">
        <f t="shared" si="240"/>
        <v>3E8</v>
      </c>
      <c r="AO1954" s="2"/>
      <c r="AP1954" s="2" t="str">
        <f t="shared" si="241"/>
        <v>E3E8</v>
      </c>
    </row>
    <row r="1955" spans="6:42" x14ac:dyDescent="0.2">
      <c r="F1955" s="1"/>
      <c r="G1955" s="3"/>
      <c r="H1955" s="8"/>
      <c r="N1955" s="1"/>
      <c r="V1955" s="1"/>
      <c r="AD1955" s="1"/>
      <c r="AJ1955" s="6">
        <f t="shared" si="238"/>
        <v>1000</v>
      </c>
      <c r="AK1955" s="4">
        <v>1938</v>
      </c>
      <c r="AM1955" s="2" t="str">
        <f t="shared" si="239"/>
        <v>E</v>
      </c>
      <c r="AN1955" s="2" t="str">
        <f t="shared" si="240"/>
        <v>3E8</v>
      </c>
      <c r="AO1955" s="2"/>
      <c r="AP1955" s="2" t="str">
        <f t="shared" si="241"/>
        <v>E3E8</v>
      </c>
    </row>
    <row r="1956" spans="6:42" x14ac:dyDescent="0.2">
      <c r="F1956" s="1"/>
      <c r="G1956" s="3"/>
      <c r="H1956" s="8"/>
      <c r="N1956" s="1"/>
      <c r="V1956" s="1"/>
      <c r="AD1956" s="1"/>
      <c r="AJ1956" s="6">
        <f t="shared" si="238"/>
        <v>1000</v>
      </c>
      <c r="AK1956" s="4">
        <v>1939</v>
      </c>
      <c r="AM1956" s="2" t="str">
        <f t="shared" si="239"/>
        <v>E</v>
      </c>
      <c r="AN1956" s="2" t="str">
        <f t="shared" si="240"/>
        <v>3E8</v>
      </c>
      <c r="AO1956" s="2"/>
      <c r="AP1956" s="2" t="str">
        <f t="shared" si="241"/>
        <v>E3E8</v>
      </c>
    </row>
    <row r="1957" spans="6:42" x14ac:dyDescent="0.2">
      <c r="F1957" s="1"/>
      <c r="G1957" s="3"/>
      <c r="H1957" s="8"/>
      <c r="N1957" s="1"/>
      <c r="V1957" s="1"/>
      <c r="AD1957" s="1"/>
      <c r="AJ1957" s="6">
        <f t="shared" si="238"/>
        <v>1000</v>
      </c>
      <c r="AK1957" s="4">
        <v>1940</v>
      </c>
      <c r="AM1957" s="2" t="str">
        <f t="shared" si="239"/>
        <v>E</v>
      </c>
      <c r="AN1957" s="2" t="str">
        <f t="shared" si="240"/>
        <v>3E8</v>
      </c>
      <c r="AO1957" s="2"/>
      <c r="AP1957" s="2" t="str">
        <f t="shared" si="241"/>
        <v>E3E8</v>
      </c>
    </row>
    <row r="1958" spans="6:42" x14ac:dyDescent="0.2">
      <c r="F1958" s="1"/>
      <c r="G1958" s="3"/>
      <c r="H1958" s="8"/>
      <c r="N1958" s="1"/>
      <c r="V1958" s="1"/>
      <c r="AD1958" s="1"/>
      <c r="AJ1958" s="6">
        <f t="shared" si="238"/>
        <v>1000</v>
      </c>
      <c r="AK1958" s="4">
        <v>1941</v>
      </c>
      <c r="AM1958" s="2" t="str">
        <f t="shared" si="239"/>
        <v>E</v>
      </c>
      <c r="AN1958" s="2" t="str">
        <f t="shared" si="240"/>
        <v>3E8</v>
      </c>
      <c r="AO1958" s="2"/>
      <c r="AP1958" s="2" t="str">
        <f t="shared" si="241"/>
        <v>E3E8</v>
      </c>
    </row>
    <row r="1959" spans="6:42" x14ac:dyDescent="0.2">
      <c r="F1959" s="1"/>
      <c r="G1959" s="3"/>
      <c r="H1959" s="8"/>
      <c r="N1959" s="1"/>
      <c r="V1959" s="1"/>
      <c r="AD1959" s="1"/>
      <c r="AJ1959" s="6">
        <f t="shared" si="238"/>
        <v>1000</v>
      </c>
      <c r="AK1959" s="4">
        <v>1942</v>
      </c>
      <c r="AM1959" s="2" t="str">
        <f t="shared" si="239"/>
        <v>E</v>
      </c>
      <c r="AN1959" s="2" t="str">
        <f t="shared" si="240"/>
        <v>3E8</v>
      </c>
      <c r="AO1959" s="2"/>
      <c r="AP1959" s="2" t="str">
        <f t="shared" si="241"/>
        <v>E3E8</v>
      </c>
    </row>
    <row r="1960" spans="6:42" x14ac:dyDescent="0.2">
      <c r="F1960" s="1"/>
      <c r="G1960" s="3"/>
      <c r="H1960" s="8"/>
      <c r="N1960" s="1"/>
      <c r="V1960" s="1"/>
      <c r="AD1960" s="1"/>
      <c r="AJ1960" s="6">
        <f t="shared" si="238"/>
        <v>1000</v>
      </c>
      <c r="AK1960" s="4">
        <v>1943</v>
      </c>
      <c r="AM1960" s="2" t="str">
        <f t="shared" si="239"/>
        <v>E</v>
      </c>
      <c r="AN1960" s="2" t="str">
        <f t="shared" si="240"/>
        <v>3E8</v>
      </c>
      <c r="AO1960" s="2"/>
      <c r="AP1960" s="2" t="str">
        <f t="shared" si="241"/>
        <v>E3E8</v>
      </c>
    </row>
    <row r="1961" spans="6:42" x14ac:dyDescent="0.2">
      <c r="F1961" s="1"/>
      <c r="G1961" s="3"/>
      <c r="H1961" s="8"/>
      <c r="N1961" s="1"/>
      <c r="V1961" s="1"/>
      <c r="AD1961" s="1"/>
      <c r="AJ1961" s="6">
        <f t="shared" si="238"/>
        <v>1000</v>
      </c>
      <c r="AK1961" s="4">
        <v>1944</v>
      </c>
      <c r="AM1961" s="2" t="str">
        <f t="shared" si="239"/>
        <v>0</v>
      </c>
      <c r="AN1961" s="2" t="str">
        <f t="shared" si="240"/>
        <v>3E8</v>
      </c>
      <c r="AO1961" s="2"/>
      <c r="AP1961" s="2" t="str">
        <f t="shared" si="241"/>
        <v>03E8</v>
      </c>
    </row>
    <row r="1962" spans="6:42" x14ac:dyDescent="0.2">
      <c r="F1962" s="1"/>
      <c r="G1962" s="3"/>
      <c r="H1962" s="8"/>
      <c r="N1962" s="1"/>
      <c r="V1962" s="1"/>
      <c r="AD1962" s="1"/>
      <c r="AJ1962" s="6">
        <f t="shared" si="238"/>
        <v>1000</v>
      </c>
      <c r="AK1962" s="4">
        <v>1945</v>
      </c>
      <c r="AM1962" s="2" t="str">
        <f t="shared" si="239"/>
        <v>0</v>
      </c>
      <c r="AN1962" s="2" t="str">
        <f>DEC2HEX(AJ1962,3)</f>
        <v>3E8</v>
      </c>
      <c r="AO1962" s="2"/>
      <c r="AP1962" s="2" t="str">
        <f>CONCATENATE(AM1962,AN1962)</f>
        <v>03E8</v>
      </c>
    </row>
    <row r="1963" spans="6:42" x14ac:dyDescent="0.2">
      <c r="F1963" s="1"/>
      <c r="G1963" s="3"/>
      <c r="H1963" s="8"/>
      <c r="N1963" s="1"/>
      <c r="V1963" s="1"/>
      <c r="AD1963" s="1"/>
      <c r="AJ1963" s="6">
        <f t="shared" si="238"/>
        <v>1000</v>
      </c>
      <c r="AK1963" s="4">
        <v>1946</v>
      </c>
      <c r="AM1963" s="2" t="str">
        <f t="shared" si="239"/>
        <v>0</v>
      </c>
      <c r="AN1963" s="2" t="str">
        <f t="shared" si="240"/>
        <v>3E8</v>
      </c>
      <c r="AO1963" s="2"/>
      <c r="AP1963" s="2" t="str">
        <f t="shared" si="241"/>
        <v>03E8</v>
      </c>
    </row>
    <row r="1964" spans="6:42" x14ac:dyDescent="0.2">
      <c r="F1964" s="1"/>
      <c r="G1964" s="3"/>
      <c r="H1964" s="8"/>
      <c r="N1964" s="1"/>
      <c r="V1964" s="1"/>
      <c r="AD1964" s="1"/>
      <c r="AJ1964" s="6">
        <f t="shared" si="238"/>
        <v>1000</v>
      </c>
      <c r="AK1964" s="4">
        <v>1947</v>
      </c>
      <c r="AM1964" s="2" t="str">
        <f t="shared" si="239"/>
        <v>0</v>
      </c>
      <c r="AN1964" s="2" t="str">
        <f t="shared" si="240"/>
        <v>3E8</v>
      </c>
      <c r="AO1964" s="2"/>
      <c r="AP1964" s="2" t="str">
        <f t="shared" si="241"/>
        <v>03E8</v>
      </c>
    </row>
    <row r="1965" spans="6:42" x14ac:dyDescent="0.2">
      <c r="F1965" s="1"/>
      <c r="G1965" s="3"/>
      <c r="H1965" s="8"/>
      <c r="N1965" s="1"/>
      <c r="V1965" s="1"/>
      <c r="AD1965" s="1"/>
      <c r="AJ1965" s="6">
        <f t="shared" si="238"/>
        <v>1000</v>
      </c>
      <c r="AK1965" s="4">
        <v>1948</v>
      </c>
      <c r="AM1965" s="2" t="str">
        <f t="shared" si="239"/>
        <v>0</v>
      </c>
      <c r="AN1965" s="2" t="str">
        <f t="shared" si="240"/>
        <v>3E8</v>
      </c>
      <c r="AO1965" s="2"/>
      <c r="AP1965" s="2" t="str">
        <f t="shared" si="241"/>
        <v>03E8</v>
      </c>
    </row>
    <row r="1966" spans="6:42" x14ac:dyDescent="0.2">
      <c r="F1966" s="1"/>
      <c r="G1966" s="3"/>
      <c r="H1966" s="8"/>
      <c r="N1966" s="1"/>
      <c r="V1966" s="1"/>
      <c r="AD1966" s="1"/>
      <c r="AJ1966" s="6">
        <f t="shared" si="238"/>
        <v>1000</v>
      </c>
      <c r="AK1966" s="4">
        <v>1949</v>
      </c>
      <c r="AM1966" s="2" t="str">
        <f t="shared" si="239"/>
        <v>0</v>
      </c>
      <c r="AN1966" s="2" t="str">
        <f t="shared" si="240"/>
        <v>3E8</v>
      </c>
      <c r="AO1966" s="2"/>
      <c r="AP1966" s="2" t="str">
        <f t="shared" si="241"/>
        <v>03E8</v>
      </c>
    </row>
    <row r="1967" spans="6:42" x14ac:dyDescent="0.2">
      <c r="F1967" s="1"/>
      <c r="G1967" s="3"/>
      <c r="H1967" s="8"/>
      <c r="N1967" s="1"/>
      <c r="V1967" s="1"/>
      <c r="AD1967" s="1"/>
      <c r="AJ1967" s="6">
        <f t="shared" si="238"/>
        <v>1000</v>
      </c>
      <c r="AK1967" s="4">
        <v>1950</v>
      </c>
      <c r="AM1967" s="2" t="str">
        <f t="shared" si="239"/>
        <v>0</v>
      </c>
      <c r="AN1967" s="2" t="str">
        <f t="shared" si="240"/>
        <v>3E8</v>
      </c>
      <c r="AO1967" s="2"/>
      <c r="AP1967" s="2" t="str">
        <f t="shared" si="241"/>
        <v>03E8</v>
      </c>
    </row>
    <row r="1968" spans="6:42" x14ac:dyDescent="0.2">
      <c r="F1968" s="1"/>
      <c r="G1968" s="3"/>
      <c r="H1968" s="8"/>
      <c r="N1968" s="1"/>
      <c r="V1968" s="1"/>
      <c r="AD1968" s="1"/>
      <c r="AJ1968" s="6">
        <f t="shared" si="238"/>
        <v>1000</v>
      </c>
      <c r="AK1968" s="4">
        <v>1951</v>
      </c>
      <c r="AM1968" s="2" t="str">
        <f t="shared" si="239"/>
        <v>0</v>
      </c>
      <c r="AN1968" s="2" t="str">
        <f t="shared" si="240"/>
        <v>3E8</v>
      </c>
      <c r="AO1968" s="2"/>
      <c r="AP1968" s="2" t="str">
        <f t="shared" si="241"/>
        <v>03E8</v>
      </c>
    </row>
    <row r="1969" spans="6:42" x14ac:dyDescent="0.2">
      <c r="F1969" s="1"/>
      <c r="G1969" s="3"/>
      <c r="H1969" s="8"/>
      <c r="N1969" s="1"/>
      <c r="V1969" s="1"/>
      <c r="AD1969" s="1"/>
      <c r="AJ1969" s="6">
        <f t="shared" si="238"/>
        <v>1000</v>
      </c>
      <c r="AK1969" s="4">
        <v>1952</v>
      </c>
      <c r="AM1969" s="2" t="str">
        <f t="shared" si="239"/>
        <v>0</v>
      </c>
      <c r="AN1969" s="2" t="str">
        <f t="shared" si="240"/>
        <v>3E8</v>
      </c>
      <c r="AO1969" s="2"/>
      <c r="AP1969" s="2" t="str">
        <f t="shared" si="241"/>
        <v>03E8</v>
      </c>
    </row>
    <row r="1970" spans="6:42" x14ac:dyDescent="0.2">
      <c r="F1970" s="1"/>
      <c r="G1970" s="3"/>
      <c r="H1970" s="8"/>
      <c r="N1970" s="1"/>
      <c r="V1970" s="1"/>
      <c r="AD1970" s="1"/>
      <c r="AJ1970" s="6">
        <f t="shared" si="238"/>
        <v>1000</v>
      </c>
      <c r="AK1970" s="4">
        <v>1953</v>
      </c>
      <c r="AM1970" s="2" t="str">
        <f t="shared" si="239"/>
        <v>0</v>
      </c>
      <c r="AN1970" s="2" t="str">
        <f t="shared" si="240"/>
        <v>3E8</v>
      </c>
      <c r="AO1970" s="2"/>
      <c r="AP1970" s="2" t="str">
        <f t="shared" si="241"/>
        <v>03E8</v>
      </c>
    </row>
    <row r="1971" spans="6:42" x14ac:dyDescent="0.2">
      <c r="F1971" s="1"/>
      <c r="G1971" s="3"/>
      <c r="H1971" s="8"/>
      <c r="N1971" s="1"/>
      <c r="V1971" s="1"/>
      <c r="AD1971" s="1"/>
      <c r="AJ1971" s="6">
        <f t="shared" si="238"/>
        <v>1000</v>
      </c>
      <c r="AK1971" s="4">
        <v>1954</v>
      </c>
      <c r="AM1971" s="2" t="str">
        <f t="shared" si="239"/>
        <v>0</v>
      </c>
      <c r="AN1971" s="2" t="str">
        <f t="shared" si="240"/>
        <v>3E8</v>
      </c>
      <c r="AO1971" s="2"/>
      <c r="AP1971" s="2" t="str">
        <f t="shared" si="241"/>
        <v>03E8</v>
      </c>
    </row>
    <row r="1972" spans="6:42" x14ac:dyDescent="0.2">
      <c r="F1972" s="1"/>
      <c r="G1972" s="3"/>
      <c r="H1972" s="8"/>
      <c r="N1972" s="1"/>
      <c r="V1972" s="1"/>
      <c r="AD1972" s="1"/>
      <c r="AJ1972" s="6">
        <f t="shared" si="238"/>
        <v>1000</v>
      </c>
      <c r="AK1972" s="4">
        <v>1955</v>
      </c>
      <c r="AM1972" s="2" t="str">
        <f t="shared" si="239"/>
        <v>0</v>
      </c>
      <c r="AN1972" s="2" t="str">
        <f t="shared" si="240"/>
        <v>3E8</v>
      </c>
      <c r="AO1972" s="2"/>
      <c r="AP1972" s="2" t="str">
        <f t="shared" si="241"/>
        <v>03E8</v>
      </c>
    </row>
    <row r="1973" spans="6:42" x14ac:dyDescent="0.2">
      <c r="F1973" s="1"/>
      <c r="G1973" s="3"/>
      <c r="H1973" s="8"/>
      <c r="N1973" s="1"/>
      <c r="V1973" s="1"/>
      <c r="AD1973" s="1"/>
      <c r="AJ1973" s="6">
        <f t="shared" si="238"/>
        <v>1000</v>
      </c>
      <c r="AK1973" s="4">
        <v>1956</v>
      </c>
      <c r="AM1973" s="2" t="str">
        <f t="shared" si="239"/>
        <v>0</v>
      </c>
      <c r="AN1973" s="2" t="str">
        <f t="shared" si="240"/>
        <v>3E8</v>
      </c>
      <c r="AO1973" s="2"/>
      <c r="AP1973" s="2" t="str">
        <f t="shared" si="241"/>
        <v>03E8</v>
      </c>
    </row>
    <row r="1974" spans="6:42" x14ac:dyDescent="0.2">
      <c r="F1974" s="1"/>
      <c r="G1974" s="3"/>
      <c r="H1974" s="8"/>
      <c r="N1974" s="1"/>
      <c r="V1974" s="1"/>
      <c r="AD1974" s="1"/>
      <c r="AJ1974" s="6">
        <f t="shared" si="238"/>
        <v>1000</v>
      </c>
      <c r="AK1974" s="4">
        <v>1957</v>
      </c>
      <c r="AM1974" s="2" t="str">
        <f t="shared" si="239"/>
        <v>0</v>
      </c>
      <c r="AN1974" s="2" t="str">
        <f t="shared" si="240"/>
        <v>3E8</v>
      </c>
      <c r="AO1974" s="2"/>
      <c r="AP1974" s="2" t="str">
        <f t="shared" si="241"/>
        <v>03E8</v>
      </c>
    </row>
    <row r="1975" spans="6:42" x14ac:dyDescent="0.2">
      <c r="F1975" s="1"/>
      <c r="G1975" s="3"/>
      <c r="H1975" s="8"/>
      <c r="N1975" s="1"/>
      <c r="V1975" s="1"/>
      <c r="AD1975" s="1"/>
      <c r="AJ1975" s="6">
        <f t="shared" si="238"/>
        <v>1000</v>
      </c>
      <c r="AK1975" s="4">
        <v>1958</v>
      </c>
      <c r="AM1975" s="2" t="str">
        <f t="shared" si="239"/>
        <v>0</v>
      </c>
      <c r="AN1975" s="2" t="str">
        <f t="shared" si="240"/>
        <v>3E8</v>
      </c>
      <c r="AO1975" s="2"/>
      <c r="AP1975" s="2" t="str">
        <f t="shared" si="241"/>
        <v>03E8</v>
      </c>
    </row>
    <row r="1976" spans="6:42" x14ac:dyDescent="0.2">
      <c r="F1976" s="1"/>
      <c r="G1976" s="3"/>
      <c r="H1976" s="8"/>
      <c r="N1976" s="1"/>
      <c r="V1976" s="1"/>
      <c r="AD1976" s="1"/>
      <c r="AJ1976" s="6">
        <f t="shared" si="238"/>
        <v>1000</v>
      </c>
      <c r="AK1976" s="4">
        <v>1959</v>
      </c>
      <c r="AM1976" s="2" t="str">
        <f t="shared" si="239"/>
        <v>0</v>
      </c>
      <c r="AN1976" s="2" t="str">
        <f t="shared" si="240"/>
        <v>3E8</v>
      </c>
      <c r="AO1976" s="2"/>
      <c r="AP1976" s="2" t="str">
        <f t="shared" si="241"/>
        <v>03E8</v>
      </c>
    </row>
    <row r="1977" spans="6:42" x14ac:dyDescent="0.2">
      <c r="F1977" s="1"/>
      <c r="G1977" s="3"/>
      <c r="H1977" s="8"/>
      <c r="N1977" s="1"/>
      <c r="V1977" s="1"/>
      <c r="AD1977" s="1"/>
      <c r="AJ1977" s="6">
        <f t="shared" si="238"/>
        <v>1000</v>
      </c>
      <c r="AK1977" s="4">
        <v>1960</v>
      </c>
      <c r="AM1977" s="2" t="str">
        <f t="shared" si="239"/>
        <v>0</v>
      </c>
      <c r="AN1977" s="2" t="str">
        <f t="shared" si="240"/>
        <v>3E8</v>
      </c>
      <c r="AO1977" s="2"/>
      <c r="AP1977" s="2" t="str">
        <f t="shared" si="241"/>
        <v>03E8</v>
      </c>
    </row>
    <row r="1978" spans="6:42" x14ac:dyDescent="0.2">
      <c r="F1978" s="1"/>
      <c r="G1978" s="3"/>
      <c r="H1978" s="8"/>
      <c r="N1978" s="1"/>
      <c r="V1978" s="1"/>
      <c r="AD1978" s="1"/>
      <c r="AJ1978" s="6">
        <f t="shared" si="238"/>
        <v>1000</v>
      </c>
      <c r="AK1978" s="4">
        <v>1961</v>
      </c>
      <c r="AM1978" s="2" t="str">
        <f t="shared" si="239"/>
        <v>0</v>
      </c>
      <c r="AN1978" s="2" t="str">
        <f t="shared" si="240"/>
        <v>3E8</v>
      </c>
      <c r="AO1978" s="2"/>
      <c r="AP1978" s="2" t="str">
        <f t="shared" si="241"/>
        <v>03E8</v>
      </c>
    </row>
    <row r="1979" spans="6:42" x14ac:dyDescent="0.2">
      <c r="F1979" s="1"/>
      <c r="G1979" s="3"/>
      <c r="H1979" s="8"/>
      <c r="N1979" s="1"/>
      <c r="V1979" s="1"/>
      <c r="AD1979" s="1"/>
      <c r="AJ1979" s="6">
        <f t="shared" si="238"/>
        <v>1000</v>
      </c>
      <c r="AK1979" s="4">
        <v>1962</v>
      </c>
      <c r="AM1979" s="2" t="str">
        <f t="shared" si="239"/>
        <v>0</v>
      </c>
      <c r="AN1979" s="2" t="str">
        <f t="shared" si="240"/>
        <v>3E8</v>
      </c>
      <c r="AO1979" s="2"/>
      <c r="AP1979" s="2" t="str">
        <f t="shared" si="241"/>
        <v>03E8</v>
      </c>
    </row>
    <row r="1980" spans="6:42" x14ac:dyDescent="0.2">
      <c r="F1980" s="1"/>
      <c r="G1980" s="3"/>
      <c r="H1980" s="8"/>
      <c r="N1980" s="1"/>
      <c r="V1980" s="1"/>
      <c r="AD1980" s="1"/>
      <c r="AJ1980" s="6">
        <f t="shared" si="238"/>
        <v>1000</v>
      </c>
      <c r="AK1980" s="4">
        <v>1963</v>
      </c>
      <c r="AM1980" s="2" t="str">
        <f t="shared" si="239"/>
        <v>0</v>
      </c>
      <c r="AN1980" s="2" t="str">
        <f t="shared" si="240"/>
        <v>3E8</v>
      </c>
      <c r="AO1980" s="2"/>
      <c r="AP1980" s="2" t="str">
        <f t="shared" si="241"/>
        <v>03E8</v>
      </c>
    </row>
    <row r="1981" spans="6:42" x14ac:dyDescent="0.2">
      <c r="F1981" s="1"/>
      <c r="G1981" s="3"/>
      <c r="H1981" s="8"/>
      <c r="N1981" s="1"/>
      <c r="V1981" s="1"/>
      <c r="AD1981" s="1"/>
      <c r="AJ1981" s="6">
        <f t="shared" si="238"/>
        <v>1000</v>
      </c>
      <c r="AK1981" s="4">
        <v>1964</v>
      </c>
      <c r="AM1981" s="2" t="str">
        <f t="shared" si="239"/>
        <v>0</v>
      </c>
      <c r="AN1981" s="2" t="str">
        <f t="shared" si="240"/>
        <v>3E8</v>
      </c>
      <c r="AO1981" s="2"/>
      <c r="AP1981" s="2" t="str">
        <f t="shared" si="241"/>
        <v>03E8</v>
      </c>
    </row>
    <row r="1982" spans="6:42" x14ac:dyDescent="0.2">
      <c r="F1982" s="1"/>
      <c r="G1982" s="3"/>
      <c r="H1982" s="8"/>
      <c r="N1982" s="1"/>
      <c r="V1982" s="1"/>
      <c r="AD1982" s="1"/>
      <c r="AJ1982" s="6">
        <f t="shared" si="238"/>
        <v>1000</v>
      </c>
      <c r="AK1982" s="4">
        <v>1965</v>
      </c>
      <c r="AM1982" s="2" t="str">
        <f t="shared" si="239"/>
        <v>0</v>
      </c>
      <c r="AN1982" s="2" t="str">
        <f t="shared" si="240"/>
        <v>3E8</v>
      </c>
      <c r="AO1982" s="2"/>
      <c r="AP1982" s="2" t="str">
        <f t="shared" si="241"/>
        <v>03E8</v>
      </c>
    </row>
    <row r="1983" spans="6:42" x14ac:dyDescent="0.2">
      <c r="F1983" s="1"/>
      <c r="G1983" s="3"/>
      <c r="H1983" s="8"/>
      <c r="N1983" s="1"/>
      <c r="V1983" s="1"/>
      <c r="AD1983" s="1"/>
      <c r="AJ1983" s="6">
        <f t="shared" si="238"/>
        <v>1000</v>
      </c>
      <c r="AK1983" s="4">
        <v>1966</v>
      </c>
      <c r="AM1983" s="2" t="str">
        <f t="shared" si="239"/>
        <v>0</v>
      </c>
      <c r="AN1983" s="2" t="str">
        <f t="shared" si="240"/>
        <v>3E8</v>
      </c>
      <c r="AO1983" s="2"/>
      <c r="AP1983" s="2" t="str">
        <f t="shared" si="241"/>
        <v>03E8</v>
      </c>
    </row>
    <row r="1984" spans="6:42" x14ac:dyDescent="0.2">
      <c r="F1984" s="1"/>
      <c r="G1984" s="3"/>
      <c r="H1984" s="8"/>
      <c r="N1984" s="1"/>
      <c r="V1984" s="1"/>
      <c r="AD1984" s="1"/>
      <c r="AJ1984" s="6">
        <f t="shared" si="238"/>
        <v>1000</v>
      </c>
      <c r="AK1984" s="4">
        <v>1967</v>
      </c>
      <c r="AM1984" s="2" t="str">
        <f t="shared" si="239"/>
        <v>0</v>
      </c>
      <c r="AN1984" s="2" t="str">
        <f t="shared" si="240"/>
        <v>3E8</v>
      </c>
      <c r="AO1984" s="2"/>
      <c r="AP1984" s="2" t="str">
        <f t="shared" si="241"/>
        <v>03E8</v>
      </c>
    </row>
    <row r="1985" spans="6:42" x14ac:dyDescent="0.2">
      <c r="F1985" s="1"/>
      <c r="G1985" s="3"/>
      <c r="H1985" s="8"/>
      <c r="N1985" s="1"/>
      <c r="V1985" s="1"/>
      <c r="AD1985" s="1"/>
      <c r="AJ1985" s="6">
        <f t="shared" si="238"/>
        <v>1000</v>
      </c>
      <c r="AK1985" s="4">
        <v>1968</v>
      </c>
      <c r="AM1985" s="2" t="str">
        <f t="shared" si="239"/>
        <v>0</v>
      </c>
      <c r="AN1985" s="2" t="str">
        <f t="shared" si="240"/>
        <v>3E8</v>
      </c>
      <c r="AO1985" s="2"/>
      <c r="AP1985" s="2" t="str">
        <f t="shared" si="241"/>
        <v>03E8</v>
      </c>
    </row>
    <row r="1986" spans="6:42" x14ac:dyDescent="0.2">
      <c r="F1986" s="1"/>
      <c r="G1986" s="3"/>
      <c r="H1986" s="8"/>
      <c r="N1986" s="1"/>
      <c r="V1986" s="1"/>
      <c r="AD1986" s="1"/>
      <c r="AJ1986" s="6">
        <f t="shared" si="238"/>
        <v>1000</v>
      </c>
      <c r="AK1986" s="4">
        <v>1969</v>
      </c>
      <c r="AM1986" s="2" t="str">
        <f t="shared" si="239"/>
        <v>0</v>
      </c>
      <c r="AN1986" s="2" t="str">
        <f t="shared" si="240"/>
        <v>3E8</v>
      </c>
      <c r="AO1986" s="2"/>
      <c r="AP1986" s="2" t="str">
        <f t="shared" si="241"/>
        <v>03E8</v>
      </c>
    </row>
    <row r="1987" spans="6:42" x14ac:dyDescent="0.2">
      <c r="F1987" s="1"/>
      <c r="G1987" s="3"/>
      <c r="H1987" s="8"/>
      <c r="N1987" s="1"/>
      <c r="V1987" s="1"/>
      <c r="AD1987" s="1"/>
      <c r="AJ1987" s="6">
        <f t="shared" si="238"/>
        <v>1000</v>
      </c>
      <c r="AK1987" s="4">
        <v>1970</v>
      </c>
      <c r="AM1987" s="2" t="str">
        <f t="shared" si="239"/>
        <v>0</v>
      </c>
      <c r="AN1987" s="2" t="str">
        <f t="shared" si="240"/>
        <v>3E8</v>
      </c>
      <c r="AO1987" s="2"/>
      <c r="AP1987" s="2" t="str">
        <f t="shared" si="241"/>
        <v>03E8</v>
      </c>
    </row>
    <row r="1988" spans="6:42" x14ac:dyDescent="0.2">
      <c r="F1988" s="1"/>
      <c r="G1988" s="3"/>
      <c r="H1988" s="8"/>
      <c r="N1988" s="1"/>
      <c r="V1988" s="1"/>
      <c r="AD1988" s="1"/>
      <c r="AJ1988" s="6">
        <f t="shared" si="238"/>
        <v>1000</v>
      </c>
      <c r="AK1988" s="4">
        <v>1971</v>
      </c>
      <c r="AM1988" s="2" t="str">
        <f t="shared" si="239"/>
        <v>0</v>
      </c>
      <c r="AN1988" s="2" t="str">
        <f t="shared" si="240"/>
        <v>3E8</v>
      </c>
      <c r="AO1988" s="2"/>
      <c r="AP1988" s="2" t="str">
        <f t="shared" si="241"/>
        <v>03E8</v>
      </c>
    </row>
    <row r="1989" spans="6:42" x14ac:dyDescent="0.2">
      <c r="F1989" s="1"/>
      <c r="G1989" s="3"/>
      <c r="H1989" s="8"/>
      <c r="N1989" s="1"/>
      <c r="V1989" s="1"/>
      <c r="AD1989" s="1"/>
      <c r="AJ1989" s="6">
        <f t="shared" si="238"/>
        <v>1000</v>
      </c>
      <c r="AK1989" s="4">
        <v>1972</v>
      </c>
      <c r="AM1989" s="2" t="str">
        <f t="shared" si="239"/>
        <v>0</v>
      </c>
      <c r="AN1989" s="2" t="str">
        <f t="shared" si="240"/>
        <v>3E8</v>
      </c>
      <c r="AO1989" s="2"/>
      <c r="AP1989" s="2" t="str">
        <f t="shared" si="241"/>
        <v>03E8</v>
      </c>
    </row>
    <row r="1990" spans="6:42" x14ac:dyDescent="0.2">
      <c r="F1990" s="1"/>
      <c r="G1990" s="3"/>
      <c r="H1990" s="8"/>
      <c r="N1990" s="1"/>
      <c r="V1990" s="1"/>
      <c r="AD1990" s="1"/>
      <c r="AJ1990" s="6">
        <f t="shared" si="238"/>
        <v>1000</v>
      </c>
      <c r="AK1990" s="4">
        <v>1973</v>
      </c>
      <c r="AM1990" s="2" t="str">
        <f t="shared" si="239"/>
        <v>0</v>
      </c>
      <c r="AN1990" s="2" t="str">
        <f t="shared" si="240"/>
        <v>3E8</v>
      </c>
      <c r="AO1990" s="2"/>
      <c r="AP1990" s="2" t="str">
        <f t="shared" si="241"/>
        <v>03E8</v>
      </c>
    </row>
    <row r="1991" spans="6:42" x14ac:dyDescent="0.2">
      <c r="F1991" s="1"/>
      <c r="G1991" s="3"/>
      <c r="H1991" s="8"/>
      <c r="N1991" s="1"/>
      <c r="V1991" s="1"/>
      <c r="AD1991" s="1"/>
      <c r="AJ1991" s="6">
        <f t="shared" si="238"/>
        <v>1000</v>
      </c>
      <c r="AK1991" s="4">
        <v>1974</v>
      </c>
      <c r="AM1991" s="2" t="str">
        <f t="shared" si="239"/>
        <v>0</v>
      </c>
      <c r="AN1991" s="2" t="str">
        <f t="shared" si="240"/>
        <v>3E8</v>
      </c>
      <c r="AO1991" s="2"/>
      <c r="AP1991" s="2" t="str">
        <f t="shared" si="241"/>
        <v>03E8</v>
      </c>
    </row>
    <row r="1992" spans="6:42" x14ac:dyDescent="0.2">
      <c r="F1992" s="1"/>
      <c r="G1992" s="3"/>
      <c r="H1992" s="8"/>
      <c r="N1992" s="1"/>
      <c r="V1992" s="1"/>
      <c r="AD1992" s="1"/>
      <c r="AJ1992" s="6">
        <f t="shared" si="238"/>
        <v>1000</v>
      </c>
      <c r="AK1992" s="4">
        <v>1975</v>
      </c>
      <c r="AM1992" s="2" t="str">
        <f t="shared" si="239"/>
        <v>0</v>
      </c>
      <c r="AN1992" s="2" t="str">
        <f t="shared" si="240"/>
        <v>3E8</v>
      </c>
      <c r="AO1992" s="2"/>
      <c r="AP1992" s="2" t="str">
        <f t="shared" si="241"/>
        <v>03E8</v>
      </c>
    </row>
    <row r="1993" spans="6:42" x14ac:dyDescent="0.2">
      <c r="F1993" s="1"/>
      <c r="G1993" s="3"/>
      <c r="H1993" s="8"/>
      <c r="N1993" s="1"/>
      <c r="V1993" s="1"/>
      <c r="AD1993" s="1"/>
      <c r="AJ1993" s="6">
        <f t="shared" si="238"/>
        <v>1000</v>
      </c>
      <c r="AK1993" s="4">
        <v>1976</v>
      </c>
      <c r="AM1993" s="2" t="str">
        <f t="shared" si="239"/>
        <v>0</v>
      </c>
      <c r="AN1993" s="2" t="str">
        <f t="shared" si="240"/>
        <v>3E8</v>
      </c>
      <c r="AO1993" s="2"/>
      <c r="AP1993" s="2" t="str">
        <f t="shared" si="241"/>
        <v>03E8</v>
      </c>
    </row>
    <row r="1994" spans="6:42" x14ac:dyDescent="0.2">
      <c r="F1994" s="1"/>
      <c r="G1994" s="3"/>
      <c r="H1994" s="8"/>
      <c r="N1994" s="1"/>
      <c r="V1994" s="1"/>
      <c r="AD1994" s="1"/>
      <c r="AJ1994" s="6">
        <f t="shared" si="238"/>
        <v>1000</v>
      </c>
      <c r="AK1994" s="4">
        <v>1977</v>
      </c>
      <c r="AM1994" s="2" t="str">
        <f t="shared" si="239"/>
        <v>0</v>
      </c>
      <c r="AN1994" s="2" t="str">
        <f>DEC2HEX(AJ1994,3)</f>
        <v>3E8</v>
      </c>
      <c r="AO1994" s="2"/>
      <c r="AP1994" s="2" t="str">
        <f t="shared" si="241"/>
        <v>03E8</v>
      </c>
    </row>
    <row r="1995" spans="6:42" x14ac:dyDescent="0.2">
      <c r="F1995" s="1"/>
      <c r="G1995" s="3"/>
      <c r="H1995" s="8"/>
      <c r="N1995" s="1"/>
      <c r="V1995" s="1"/>
      <c r="AD1995" s="1"/>
      <c r="AJ1995" s="6">
        <f t="shared" si="238"/>
        <v>1000</v>
      </c>
      <c r="AK1995" s="4">
        <v>1978</v>
      </c>
      <c r="AM1995" s="2" t="str">
        <f t="shared" si="239"/>
        <v>0</v>
      </c>
      <c r="AN1995" s="2" t="str">
        <f t="shared" si="240"/>
        <v>3E8</v>
      </c>
      <c r="AO1995" s="2"/>
      <c r="AP1995" s="2" t="str">
        <f t="shared" si="241"/>
        <v>03E8</v>
      </c>
    </row>
    <row r="1996" spans="6:42" x14ac:dyDescent="0.2">
      <c r="F1996" s="1"/>
      <c r="G1996" s="3"/>
      <c r="H1996" s="8"/>
      <c r="N1996" s="1"/>
      <c r="V1996" s="1"/>
      <c r="AD1996" s="1"/>
      <c r="AJ1996" s="6">
        <f t="shared" si="238"/>
        <v>1000</v>
      </c>
      <c r="AK1996" s="4">
        <v>1979</v>
      </c>
      <c r="AM1996" s="2" t="str">
        <f t="shared" si="239"/>
        <v>0</v>
      </c>
      <c r="AN1996" s="2" t="str">
        <f t="shared" si="240"/>
        <v>3E8</v>
      </c>
      <c r="AO1996" s="2"/>
      <c r="AP1996" s="2" t="str">
        <f t="shared" si="241"/>
        <v>03E8</v>
      </c>
    </row>
    <row r="1997" spans="6:42" x14ac:dyDescent="0.2">
      <c r="F1997" s="1"/>
      <c r="G1997" s="3"/>
      <c r="H1997" s="8"/>
      <c r="N1997" s="1"/>
      <c r="V1997" s="1"/>
      <c r="AD1997" s="1"/>
      <c r="AJ1997" s="6">
        <f t="shared" si="238"/>
        <v>1000</v>
      </c>
      <c r="AK1997" s="4">
        <v>1980</v>
      </c>
      <c r="AM1997" s="2" t="str">
        <f t="shared" si="239"/>
        <v>0</v>
      </c>
      <c r="AN1997" s="2" t="str">
        <f t="shared" si="240"/>
        <v>3E8</v>
      </c>
      <c r="AO1997" s="2"/>
      <c r="AP1997" s="2" t="str">
        <f t="shared" si="241"/>
        <v>03E8</v>
      </c>
    </row>
    <row r="1998" spans="6:42" x14ac:dyDescent="0.2">
      <c r="F1998" s="1"/>
      <c r="G1998" s="3"/>
      <c r="H1998" s="8"/>
      <c r="N1998" s="1"/>
      <c r="V1998" s="1"/>
      <c r="AD1998" s="1"/>
      <c r="AJ1998" s="6">
        <f t="shared" si="238"/>
        <v>1000</v>
      </c>
      <c r="AK1998" s="4">
        <v>1981</v>
      </c>
      <c r="AM1998" s="2" t="str">
        <f t="shared" si="239"/>
        <v>0</v>
      </c>
      <c r="AN1998" s="2" t="str">
        <f t="shared" si="240"/>
        <v>3E8</v>
      </c>
      <c r="AO1998" s="2"/>
      <c r="AP1998" s="2" t="str">
        <f t="shared" si="241"/>
        <v>03E8</v>
      </c>
    </row>
    <row r="1999" spans="6:42" x14ac:dyDescent="0.2">
      <c r="F1999" s="1"/>
      <c r="G1999" s="3"/>
      <c r="H1999" s="8"/>
      <c r="N1999" s="1"/>
      <c r="V1999" s="1"/>
      <c r="AD1999" s="1"/>
      <c r="AJ1999" s="6">
        <f t="shared" si="238"/>
        <v>1000</v>
      </c>
      <c r="AK1999" s="4">
        <v>1982</v>
      </c>
      <c r="AM1999" s="2" t="str">
        <f t="shared" si="239"/>
        <v>0</v>
      </c>
      <c r="AN1999" s="2" t="str">
        <f t="shared" si="240"/>
        <v>3E8</v>
      </c>
      <c r="AO1999" s="2"/>
      <c r="AP1999" s="2" t="str">
        <f t="shared" si="241"/>
        <v>03E8</v>
      </c>
    </row>
    <row r="2000" spans="6:42" x14ac:dyDescent="0.2">
      <c r="F2000" s="1"/>
      <c r="G2000" s="3"/>
      <c r="H2000" s="8"/>
      <c r="N2000" s="1"/>
      <c r="V2000" s="1"/>
      <c r="AD2000" s="1"/>
      <c r="AJ2000" s="6">
        <f t="shared" si="238"/>
        <v>1000</v>
      </c>
      <c r="AK2000" s="4">
        <v>1983</v>
      </c>
      <c r="AM2000" s="2" t="str">
        <f t="shared" si="239"/>
        <v>0</v>
      </c>
      <c r="AN2000" s="2" t="str">
        <f t="shared" si="240"/>
        <v>3E8</v>
      </c>
      <c r="AO2000" s="2"/>
      <c r="AP2000" s="2" t="str">
        <f t="shared" si="241"/>
        <v>03E8</v>
      </c>
    </row>
    <row r="2001" spans="6:42" x14ac:dyDescent="0.2">
      <c r="F2001" s="1"/>
      <c r="G2001" s="3"/>
      <c r="H2001" s="8"/>
      <c r="N2001" s="1"/>
      <c r="V2001" s="1"/>
      <c r="AD2001" s="1"/>
      <c r="AJ2001" s="6">
        <f t="shared" si="238"/>
        <v>1000</v>
      </c>
      <c r="AK2001" s="4">
        <v>1984</v>
      </c>
      <c r="AM2001" s="2" t="str">
        <f t="shared" si="239"/>
        <v>0</v>
      </c>
      <c r="AN2001" s="2" t="str">
        <f t="shared" si="240"/>
        <v>3E8</v>
      </c>
      <c r="AO2001" s="2"/>
      <c r="AP2001" s="2" t="str">
        <f t="shared" si="241"/>
        <v>03E8</v>
      </c>
    </row>
    <row r="2002" spans="6:42" x14ac:dyDescent="0.2">
      <c r="F2002" s="1"/>
      <c r="G2002" s="3"/>
      <c r="H2002" s="8"/>
      <c r="N2002" s="1"/>
      <c r="V2002" s="1"/>
      <c r="AD2002" s="1"/>
      <c r="AJ2002" s="6">
        <f t="shared" si="238"/>
        <v>1000</v>
      </c>
      <c r="AK2002" s="4">
        <v>1985</v>
      </c>
      <c r="AM2002" s="2" t="str">
        <f t="shared" si="239"/>
        <v>0</v>
      </c>
      <c r="AN2002" s="2" t="str">
        <f t="shared" si="240"/>
        <v>3E8</v>
      </c>
      <c r="AO2002" s="2"/>
      <c r="AP2002" s="2" t="str">
        <f t="shared" si="241"/>
        <v>03E8</v>
      </c>
    </row>
    <row r="2003" spans="6:42" x14ac:dyDescent="0.2">
      <c r="F2003" s="1"/>
      <c r="G2003" s="3"/>
      <c r="H2003" s="8"/>
      <c r="N2003" s="1"/>
      <c r="V2003" s="1"/>
      <c r="AD2003" s="1"/>
      <c r="AJ2003" s="6">
        <f t="shared" ref="AJ2003:AJ2065" si="242">ROUNDDOWN(($AE467*$AE$16+$I$6*100)*10,0)</f>
        <v>1000</v>
      </c>
      <c r="AK2003" s="4">
        <v>1986</v>
      </c>
      <c r="AM2003" s="2" t="str">
        <f t="shared" ref="AM2003:AM2065" si="243">BIN2HEX(AA467+10*AB467+100*AC467+1000*AD467,1)</f>
        <v>0</v>
      </c>
      <c r="AN2003" s="2" t="str">
        <f t="shared" si="240"/>
        <v>3E8</v>
      </c>
      <c r="AO2003" s="2"/>
      <c r="AP2003" s="2" t="str">
        <f t="shared" si="241"/>
        <v>03E8</v>
      </c>
    </row>
    <row r="2004" spans="6:42" x14ac:dyDescent="0.2">
      <c r="F2004" s="1"/>
      <c r="G2004" s="3"/>
      <c r="H2004" s="8"/>
      <c r="N2004" s="1"/>
      <c r="V2004" s="1"/>
      <c r="AD2004" s="1"/>
      <c r="AJ2004" s="6">
        <f t="shared" si="242"/>
        <v>1000</v>
      </c>
      <c r="AK2004" s="4">
        <v>1987</v>
      </c>
      <c r="AM2004" s="2" t="str">
        <f t="shared" si="243"/>
        <v>0</v>
      </c>
      <c r="AN2004" s="2" t="str">
        <f t="shared" si="240"/>
        <v>3E8</v>
      </c>
      <c r="AO2004" s="2"/>
      <c r="AP2004" s="2" t="str">
        <f t="shared" si="241"/>
        <v>03E8</v>
      </c>
    </row>
    <row r="2005" spans="6:42" x14ac:dyDescent="0.2">
      <c r="F2005" s="1"/>
      <c r="G2005" s="3"/>
      <c r="H2005" s="8"/>
      <c r="N2005" s="1"/>
      <c r="V2005" s="1"/>
      <c r="AD2005" s="1"/>
      <c r="AJ2005" s="6">
        <f t="shared" si="242"/>
        <v>1000</v>
      </c>
      <c r="AK2005" s="4">
        <v>1988</v>
      </c>
      <c r="AM2005" s="2" t="str">
        <f t="shared" si="243"/>
        <v>0</v>
      </c>
      <c r="AN2005" s="2" t="str">
        <f t="shared" si="240"/>
        <v>3E8</v>
      </c>
      <c r="AO2005" s="2"/>
      <c r="AP2005" s="2" t="str">
        <f t="shared" si="241"/>
        <v>03E8</v>
      </c>
    </row>
    <row r="2006" spans="6:42" x14ac:dyDescent="0.2">
      <c r="F2006" s="1"/>
      <c r="G2006" s="3"/>
      <c r="H2006" s="8"/>
      <c r="N2006" s="1"/>
      <c r="V2006" s="1"/>
      <c r="AD2006" s="1"/>
      <c r="AJ2006" s="6">
        <f t="shared" si="242"/>
        <v>1000</v>
      </c>
      <c r="AK2006" s="4">
        <v>1989</v>
      </c>
      <c r="AM2006" s="2" t="str">
        <f t="shared" si="243"/>
        <v>0</v>
      </c>
      <c r="AN2006" s="2" t="str">
        <f t="shared" si="240"/>
        <v>3E8</v>
      </c>
      <c r="AO2006" s="2"/>
      <c r="AP2006" s="2" t="str">
        <f t="shared" si="241"/>
        <v>03E8</v>
      </c>
    </row>
    <row r="2007" spans="6:42" x14ac:dyDescent="0.2">
      <c r="F2007" s="1"/>
      <c r="G2007" s="3"/>
      <c r="H2007" s="8"/>
      <c r="N2007" s="1"/>
      <c r="V2007" s="1"/>
      <c r="AD2007" s="1"/>
      <c r="AJ2007" s="6">
        <f t="shared" si="242"/>
        <v>1000</v>
      </c>
      <c r="AK2007" s="4">
        <v>1990</v>
      </c>
      <c r="AM2007" s="2" t="str">
        <f t="shared" si="243"/>
        <v>0</v>
      </c>
      <c r="AN2007" s="2" t="str">
        <f t="shared" si="240"/>
        <v>3E8</v>
      </c>
      <c r="AO2007" s="2"/>
      <c r="AP2007" s="2" t="str">
        <f t="shared" si="241"/>
        <v>03E8</v>
      </c>
    </row>
    <row r="2008" spans="6:42" x14ac:dyDescent="0.2">
      <c r="F2008" s="1"/>
      <c r="G2008" s="3"/>
      <c r="H2008" s="8"/>
      <c r="N2008" s="1"/>
      <c r="V2008" s="1"/>
      <c r="AD2008" s="1"/>
      <c r="AJ2008" s="6">
        <f t="shared" si="242"/>
        <v>1000</v>
      </c>
      <c r="AK2008" s="4">
        <v>1991</v>
      </c>
      <c r="AM2008" s="2" t="str">
        <f t="shared" si="243"/>
        <v>0</v>
      </c>
      <c r="AN2008" s="2" t="str">
        <f t="shared" si="240"/>
        <v>3E8</v>
      </c>
      <c r="AO2008" s="2"/>
      <c r="AP2008" s="2" t="str">
        <f t="shared" si="241"/>
        <v>03E8</v>
      </c>
    </row>
    <row r="2009" spans="6:42" x14ac:dyDescent="0.2">
      <c r="F2009" s="1"/>
      <c r="G2009" s="3"/>
      <c r="H2009" s="8"/>
      <c r="N2009" s="1"/>
      <c r="V2009" s="1"/>
      <c r="AD2009" s="1"/>
      <c r="AJ2009" s="6">
        <f t="shared" si="242"/>
        <v>1000</v>
      </c>
      <c r="AK2009" s="4">
        <v>1992</v>
      </c>
      <c r="AM2009" s="2" t="str">
        <f t="shared" si="243"/>
        <v>0</v>
      </c>
      <c r="AN2009" s="2" t="str">
        <f t="shared" si="240"/>
        <v>3E8</v>
      </c>
      <c r="AO2009" s="2"/>
      <c r="AP2009" s="2" t="str">
        <f t="shared" si="241"/>
        <v>03E8</v>
      </c>
    </row>
    <row r="2010" spans="6:42" x14ac:dyDescent="0.2">
      <c r="F2010" s="1"/>
      <c r="G2010" s="3"/>
      <c r="H2010" s="8"/>
      <c r="N2010" s="1"/>
      <c r="V2010" s="1"/>
      <c r="AD2010" s="1"/>
      <c r="AJ2010" s="6">
        <f t="shared" si="242"/>
        <v>1000</v>
      </c>
      <c r="AK2010" s="4">
        <v>1993</v>
      </c>
      <c r="AM2010" s="2" t="str">
        <f t="shared" si="243"/>
        <v>0</v>
      </c>
      <c r="AN2010" s="2" t="str">
        <f t="shared" si="240"/>
        <v>3E8</v>
      </c>
      <c r="AO2010" s="2"/>
      <c r="AP2010" s="2" t="str">
        <f t="shared" si="241"/>
        <v>03E8</v>
      </c>
    </row>
    <row r="2011" spans="6:42" x14ac:dyDescent="0.2">
      <c r="F2011" s="1"/>
      <c r="G2011" s="3"/>
      <c r="H2011" s="8"/>
      <c r="N2011" s="1"/>
      <c r="V2011" s="1"/>
      <c r="AD2011" s="1"/>
      <c r="AJ2011" s="6">
        <f t="shared" si="242"/>
        <v>1000</v>
      </c>
      <c r="AK2011" s="4">
        <v>1994</v>
      </c>
      <c r="AM2011" s="2" t="str">
        <f t="shared" si="243"/>
        <v>0</v>
      </c>
      <c r="AN2011" s="2" t="str">
        <f t="shared" si="240"/>
        <v>3E8</v>
      </c>
      <c r="AO2011" s="2"/>
      <c r="AP2011" s="2" t="str">
        <f t="shared" si="241"/>
        <v>03E8</v>
      </c>
    </row>
    <row r="2012" spans="6:42" x14ac:dyDescent="0.2">
      <c r="F2012" s="1"/>
      <c r="G2012" s="3"/>
      <c r="H2012" s="8"/>
      <c r="N2012" s="1"/>
      <c r="V2012" s="1"/>
      <c r="AD2012" s="1"/>
      <c r="AJ2012" s="6">
        <f t="shared" si="242"/>
        <v>1000</v>
      </c>
      <c r="AK2012" s="4">
        <v>1995</v>
      </c>
      <c r="AM2012" s="2" t="str">
        <f t="shared" si="243"/>
        <v>0</v>
      </c>
      <c r="AN2012" s="2" t="str">
        <f t="shared" si="240"/>
        <v>3E8</v>
      </c>
      <c r="AO2012" s="2"/>
      <c r="AP2012" s="2" t="str">
        <f t="shared" si="241"/>
        <v>03E8</v>
      </c>
    </row>
    <row r="2013" spans="6:42" x14ac:dyDescent="0.2">
      <c r="F2013" s="1"/>
      <c r="G2013" s="3"/>
      <c r="H2013" s="8"/>
      <c r="N2013" s="1"/>
      <c r="V2013" s="1"/>
      <c r="AD2013" s="1"/>
      <c r="AJ2013" s="6">
        <f t="shared" si="242"/>
        <v>1000</v>
      </c>
      <c r="AK2013" s="4">
        <v>1996</v>
      </c>
      <c r="AM2013" s="2" t="str">
        <f t="shared" si="243"/>
        <v>0</v>
      </c>
      <c r="AN2013" s="2" t="str">
        <f t="shared" si="240"/>
        <v>3E8</v>
      </c>
      <c r="AO2013" s="2"/>
      <c r="AP2013" s="2" t="str">
        <f t="shared" si="241"/>
        <v>03E8</v>
      </c>
    </row>
    <row r="2014" spans="6:42" x14ac:dyDescent="0.2">
      <c r="F2014" s="1"/>
      <c r="G2014" s="3"/>
      <c r="H2014" s="8"/>
      <c r="N2014" s="1"/>
      <c r="V2014" s="1"/>
      <c r="AD2014" s="1"/>
      <c r="AJ2014" s="6">
        <f t="shared" si="242"/>
        <v>1000</v>
      </c>
      <c r="AK2014" s="4">
        <v>1997</v>
      </c>
      <c r="AM2014" s="2" t="str">
        <f t="shared" si="243"/>
        <v>0</v>
      </c>
      <c r="AN2014" s="2" t="str">
        <f t="shared" si="240"/>
        <v>3E8</v>
      </c>
      <c r="AO2014" s="2"/>
      <c r="AP2014" s="2" t="str">
        <f t="shared" si="241"/>
        <v>03E8</v>
      </c>
    </row>
    <row r="2015" spans="6:42" x14ac:dyDescent="0.2">
      <c r="F2015" s="1"/>
      <c r="G2015" s="3"/>
      <c r="H2015" s="8"/>
      <c r="N2015" s="1"/>
      <c r="V2015" s="1"/>
      <c r="AD2015" s="1"/>
      <c r="AJ2015" s="6">
        <f t="shared" si="242"/>
        <v>1000</v>
      </c>
      <c r="AK2015" s="4">
        <v>1998</v>
      </c>
      <c r="AM2015" s="2" t="str">
        <f t="shared" si="243"/>
        <v>0</v>
      </c>
      <c r="AN2015" s="2" t="str">
        <f t="shared" si="240"/>
        <v>3E8</v>
      </c>
      <c r="AO2015" s="2"/>
      <c r="AP2015" s="2" t="str">
        <f t="shared" si="241"/>
        <v>03E8</v>
      </c>
    </row>
    <row r="2016" spans="6:42" x14ac:dyDescent="0.2">
      <c r="F2016" s="1"/>
      <c r="G2016" s="3"/>
      <c r="H2016" s="8"/>
      <c r="N2016" s="1"/>
      <c r="V2016" s="1"/>
      <c r="AD2016" s="1"/>
      <c r="AJ2016" s="6">
        <f t="shared" si="242"/>
        <v>1000</v>
      </c>
      <c r="AK2016" s="4">
        <v>1999</v>
      </c>
      <c r="AM2016" s="2" t="str">
        <f t="shared" si="243"/>
        <v>0</v>
      </c>
      <c r="AN2016" s="2" t="str">
        <f t="shared" ref="AN2016:AN2064" si="244">DEC2HEX(AJ2016,3)</f>
        <v>3E8</v>
      </c>
      <c r="AO2016" s="2"/>
      <c r="AP2016" s="2" t="str">
        <f t="shared" ref="AP2016:AP2064" si="245">CONCATENATE(AM2016,AN2016)</f>
        <v>03E8</v>
      </c>
    </row>
    <row r="2017" spans="6:42" x14ac:dyDescent="0.2">
      <c r="F2017" s="1"/>
      <c r="G2017" s="3"/>
      <c r="H2017" s="8"/>
      <c r="N2017" s="1"/>
      <c r="V2017" s="1"/>
      <c r="AD2017" s="1"/>
      <c r="AJ2017" s="6">
        <f t="shared" si="242"/>
        <v>1000</v>
      </c>
      <c r="AK2017" s="4">
        <v>2000</v>
      </c>
      <c r="AM2017" s="2" t="str">
        <f t="shared" si="243"/>
        <v>0</v>
      </c>
      <c r="AN2017" s="2" t="str">
        <f t="shared" si="244"/>
        <v>3E8</v>
      </c>
      <c r="AO2017" s="2"/>
      <c r="AP2017" s="2" t="str">
        <f t="shared" si="245"/>
        <v>03E8</v>
      </c>
    </row>
    <row r="2018" spans="6:42" x14ac:dyDescent="0.2">
      <c r="F2018" s="1"/>
      <c r="G2018" s="3"/>
      <c r="H2018" s="8"/>
      <c r="N2018" s="1"/>
      <c r="V2018" s="1"/>
      <c r="AD2018" s="1"/>
      <c r="AJ2018" s="6">
        <f t="shared" si="242"/>
        <v>1000</v>
      </c>
      <c r="AK2018" s="4">
        <v>2001</v>
      </c>
      <c r="AM2018" s="2" t="str">
        <f t="shared" si="243"/>
        <v>0</v>
      </c>
      <c r="AN2018" s="2" t="str">
        <f t="shared" si="244"/>
        <v>3E8</v>
      </c>
      <c r="AO2018" s="2"/>
      <c r="AP2018" s="2" t="str">
        <f t="shared" si="245"/>
        <v>03E8</v>
      </c>
    </row>
    <row r="2019" spans="6:42" x14ac:dyDescent="0.2">
      <c r="F2019" s="1"/>
      <c r="G2019" s="3"/>
      <c r="H2019" s="8"/>
      <c r="N2019" s="1"/>
      <c r="V2019" s="1"/>
      <c r="AD2019" s="1"/>
      <c r="AJ2019" s="6">
        <f t="shared" si="242"/>
        <v>1000</v>
      </c>
      <c r="AK2019" s="4">
        <v>2002</v>
      </c>
      <c r="AM2019" s="2" t="str">
        <f t="shared" si="243"/>
        <v>0</v>
      </c>
      <c r="AN2019" s="2" t="str">
        <f t="shared" si="244"/>
        <v>3E8</v>
      </c>
      <c r="AO2019" s="2"/>
      <c r="AP2019" s="2" t="str">
        <f t="shared" si="245"/>
        <v>03E8</v>
      </c>
    </row>
    <row r="2020" spans="6:42" x14ac:dyDescent="0.2">
      <c r="F2020" s="1"/>
      <c r="G2020" s="3"/>
      <c r="H2020" s="8"/>
      <c r="N2020" s="1"/>
      <c r="V2020" s="1"/>
      <c r="AD2020" s="1"/>
      <c r="AJ2020" s="6">
        <f t="shared" si="242"/>
        <v>1000</v>
      </c>
      <c r="AK2020" s="4">
        <v>2003</v>
      </c>
      <c r="AM2020" s="2" t="str">
        <f t="shared" si="243"/>
        <v>0</v>
      </c>
      <c r="AN2020" s="2" t="str">
        <f t="shared" si="244"/>
        <v>3E8</v>
      </c>
      <c r="AO2020" s="2"/>
      <c r="AP2020" s="2" t="str">
        <f t="shared" si="245"/>
        <v>03E8</v>
      </c>
    </row>
    <row r="2021" spans="6:42" x14ac:dyDescent="0.2">
      <c r="F2021" s="1"/>
      <c r="G2021" s="3"/>
      <c r="H2021" s="8"/>
      <c r="N2021" s="1"/>
      <c r="V2021" s="1"/>
      <c r="AD2021" s="1"/>
      <c r="AJ2021" s="6">
        <f t="shared" si="242"/>
        <v>1000</v>
      </c>
      <c r="AK2021" s="4">
        <v>2004</v>
      </c>
      <c r="AM2021" s="2" t="str">
        <f t="shared" si="243"/>
        <v>0</v>
      </c>
      <c r="AN2021" s="2" t="str">
        <f t="shared" si="244"/>
        <v>3E8</v>
      </c>
      <c r="AO2021" s="2"/>
      <c r="AP2021" s="2" t="str">
        <f t="shared" si="245"/>
        <v>03E8</v>
      </c>
    </row>
    <row r="2022" spans="6:42" x14ac:dyDescent="0.2">
      <c r="F2022" s="1"/>
      <c r="G2022" s="3"/>
      <c r="H2022" s="8"/>
      <c r="N2022" s="1"/>
      <c r="V2022" s="1"/>
      <c r="AD2022" s="1"/>
      <c r="AJ2022" s="6">
        <f t="shared" si="242"/>
        <v>1000</v>
      </c>
      <c r="AK2022" s="4">
        <v>2005</v>
      </c>
      <c r="AM2022" s="2" t="str">
        <f t="shared" si="243"/>
        <v>0</v>
      </c>
      <c r="AN2022" s="2" t="str">
        <f t="shared" si="244"/>
        <v>3E8</v>
      </c>
      <c r="AO2022" s="2"/>
      <c r="AP2022" s="2" t="str">
        <f t="shared" si="245"/>
        <v>03E8</v>
      </c>
    </row>
    <row r="2023" spans="6:42" x14ac:dyDescent="0.2">
      <c r="F2023" s="1"/>
      <c r="G2023" s="3"/>
      <c r="H2023" s="8"/>
      <c r="N2023" s="1"/>
      <c r="V2023" s="1"/>
      <c r="AD2023" s="1"/>
      <c r="AJ2023" s="6">
        <f t="shared" si="242"/>
        <v>1000</v>
      </c>
      <c r="AK2023" s="4">
        <v>2006</v>
      </c>
      <c r="AM2023" s="2" t="str">
        <f t="shared" si="243"/>
        <v>0</v>
      </c>
      <c r="AN2023" s="2" t="str">
        <f t="shared" si="244"/>
        <v>3E8</v>
      </c>
      <c r="AO2023" s="2"/>
      <c r="AP2023" s="2" t="str">
        <f t="shared" si="245"/>
        <v>03E8</v>
      </c>
    </row>
    <row r="2024" spans="6:42" x14ac:dyDescent="0.2">
      <c r="F2024" s="1"/>
      <c r="G2024" s="3"/>
      <c r="H2024" s="8"/>
      <c r="N2024" s="1"/>
      <c r="V2024" s="1"/>
      <c r="AD2024" s="1"/>
      <c r="AJ2024" s="6">
        <f t="shared" si="242"/>
        <v>1000</v>
      </c>
      <c r="AK2024" s="4">
        <v>2007</v>
      </c>
      <c r="AM2024" s="2" t="str">
        <f t="shared" si="243"/>
        <v>0</v>
      </c>
      <c r="AN2024" s="2" t="str">
        <f t="shared" si="244"/>
        <v>3E8</v>
      </c>
      <c r="AO2024" s="2"/>
      <c r="AP2024" s="2" t="str">
        <f t="shared" si="245"/>
        <v>03E8</v>
      </c>
    </row>
    <row r="2025" spans="6:42" x14ac:dyDescent="0.2">
      <c r="F2025" s="1"/>
      <c r="G2025" s="3"/>
      <c r="H2025" s="8"/>
      <c r="N2025" s="1"/>
      <c r="V2025" s="1"/>
      <c r="AD2025" s="1"/>
      <c r="AJ2025" s="6">
        <f t="shared" si="242"/>
        <v>1000</v>
      </c>
      <c r="AK2025" s="4">
        <v>2008</v>
      </c>
      <c r="AM2025" s="2" t="str">
        <f t="shared" si="243"/>
        <v>0</v>
      </c>
      <c r="AN2025" s="2" t="str">
        <f t="shared" si="244"/>
        <v>3E8</v>
      </c>
      <c r="AO2025" s="2"/>
      <c r="AP2025" s="2" t="str">
        <f t="shared" si="245"/>
        <v>03E8</v>
      </c>
    </row>
    <row r="2026" spans="6:42" x14ac:dyDescent="0.2">
      <c r="F2026" s="1"/>
      <c r="G2026" s="3"/>
      <c r="H2026" s="8"/>
      <c r="N2026" s="1"/>
      <c r="V2026" s="1"/>
      <c r="AD2026" s="1"/>
      <c r="AJ2026" s="6">
        <f t="shared" si="242"/>
        <v>1000</v>
      </c>
      <c r="AK2026" s="4">
        <v>2009</v>
      </c>
      <c r="AM2026" s="2" t="str">
        <f t="shared" si="243"/>
        <v>0</v>
      </c>
      <c r="AN2026" s="2" t="str">
        <f t="shared" si="244"/>
        <v>3E8</v>
      </c>
      <c r="AO2026" s="2"/>
      <c r="AP2026" s="2" t="str">
        <f t="shared" si="245"/>
        <v>03E8</v>
      </c>
    </row>
    <row r="2027" spans="6:42" x14ac:dyDescent="0.2">
      <c r="F2027" s="1"/>
      <c r="G2027" s="3"/>
      <c r="H2027" s="8"/>
      <c r="N2027" s="1"/>
      <c r="V2027" s="1"/>
      <c r="AD2027" s="1"/>
      <c r="AJ2027" s="6">
        <f t="shared" si="242"/>
        <v>1000</v>
      </c>
      <c r="AK2027" s="4">
        <v>2010</v>
      </c>
      <c r="AM2027" s="2" t="str">
        <f t="shared" si="243"/>
        <v>0</v>
      </c>
      <c r="AN2027" s="2" t="str">
        <f t="shared" si="244"/>
        <v>3E8</v>
      </c>
      <c r="AO2027" s="2"/>
      <c r="AP2027" s="2" t="str">
        <f t="shared" si="245"/>
        <v>03E8</v>
      </c>
    </row>
    <row r="2028" spans="6:42" x14ac:dyDescent="0.2">
      <c r="F2028" s="1"/>
      <c r="G2028" s="3"/>
      <c r="H2028" s="8"/>
      <c r="N2028" s="1"/>
      <c r="V2028" s="1"/>
      <c r="AD2028" s="1"/>
      <c r="AJ2028" s="6">
        <f t="shared" si="242"/>
        <v>1000</v>
      </c>
      <c r="AK2028" s="4">
        <v>2011</v>
      </c>
      <c r="AM2028" s="2" t="str">
        <f t="shared" si="243"/>
        <v>0</v>
      </c>
      <c r="AN2028" s="2" t="str">
        <f t="shared" si="244"/>
        <v>3E8</v>
      </c>
      <c r="AO2028" s="2"/>
      <c r="AP2028" s="2" t="str">
        <f t="shared" si="245"/>
        <v>03E8</v>
      </c>
    </row>
    <row r="2029" spans="6:42" x14ac:dyDescent="0.2">
      <c r="F2029" s="1"/>
      <c r="G2029" s="3"/>
      <c r="H2029" s="8"/>
      <c r="N2029" s="1"/>
      <c r="V2029" s="1"/>
      <c r="AD2029" s="1"/>
      <c r="AJ2029" s="6">
        <f t="shared" si="242"/>
        <v>1000</v>
      </c>
      <c r="AK2029" s="4">
        <v>2012</v>
      </c>
      <c r="AM2029" s="2" t="str">
        <f t="shared" si="243"/>
        <v>0</v>
      </c>
      <c r="AN2029" s="2" t="str">
        <f t="shared" si="244"/>
        <v>3E8</v>
      </c>
      <c r="AO2029" s="2"/>
      <c r="AP2029" s="2" t="str">
        <f t="shared" si="245"/>
        <v>03E8</v>
      </c>
    </row>
    <row r="2030" spans="6:42" x14ac:dyDescent="0.2">
      <c r="F2030" s="1"/>
      <c r="G2030" s="3"/>
      <c r="H2030" s="8"/>
      <c r="N2030" s="1"/>
      <c r="V2030" s="1"/>
      <c r="AD2030" s="1"/>
      <c r="AJ2030" s="6">
        <f t="shared" si="242"/>
        <v>1000</v>
      </c>
      <c r="AK2030" s="4">
        <v>2013</v>
      </c>
      <c r="AM2030" s="2" t="str">
        <f t="shared" si="243"/>
        <v>0</v>
      </c>
      <c r="AN2030" s="2" t="str">
        <f t="shared" si="244"/>
        <v>3E8</v>
      </c>
      <c r="AO2030" s="2"/>
      <c r="AP2030" s="2" t="str">
        <f t="shared" si="245"/>
        <v>03E8</v>
      </c>
    </row>
    <row r="2031" spans="6:42" x14ac:dyDescent="0.2">
      <c r="F2031" s="1"/>
      <c r="G2031" s="3"/>
      <c r="H2031" s="8"/>
      <c r="N2031" s="1"/>
      <c r="V2031" s="1"/>
      <c r="AD2031" s="1"/>
      <c r="AJ2031" s="6">
        <f t="shared" si="242"/>
        <v>1000</v>
      </c>
      <c r="AK2031" s="4">
        <v>2014</v>
      </c>
      <c r="AM2031" s="2" t="str">
        <f t="shared" si="243"/>
        <v>0</v>
      </c>
      <c r="AN2031" s="2" t="str">
        <f t="shared" si="244"/>
        <v>3E8</v>
      </c>
      <c r="AO2031" s="2"/>
      <c r="AP2031" s="2" t="str">
        <f t="shared" si="245"/>
        <v>03E8</v>
      </c>
    </row>
    <row r="2032" spans="6:42" x14ac:dyDescent="0.2">
      <c r="F2032" s="1"/>
      <c r="G2032" s="3"/>
      <c r="H2032" s="8"/>
      <c r="N2032" s="1"/>
      <c r="V2032" s="1"/>
      <c r="AD2032" s="1"/>
      <c r="AJ2032" s="6">
        <f t="shared" si="242"/>
        <v>1000</v>
      </c>
      <c r="AK2032" s="4">
        <v>2015</v>
      </c>
      <c r="AM2032" s="2" t="str">
        <f t="shared" si="243"/>
        <v>0</v>
      </c>
      <c r="AN2032" s="2" t="str">
        <f t="shared" si="244"/>
        <v>3E8</v>
      </c>
      <c r="AO2032" s="2"/>
      <c r="AP2032" s="2" t="str">
        <f t="shared" si="245"/>
        <v>03E8</v>
      </c>
    </row>
    <row r="2033" spans="6:42" x14ac:dyDescent="0.2">
      <c r="F2033" s="1"/>
      <c r="G2033" s="3"/>
      <c r="H2033" s="8"/>
      <c r="N2033" s="1"/>
      <c r="V2033" s="1"/>
      <c r="AD2033" s="1"/>
      <c r="AJ2033" s="6">
        <f t="shared" si="242"/>
        <v>1000</v>
      </c>
      <c r="AK2033" s="4">
        <v>2016</v>
      </c>
      <c r="AM2033" s="2" t="str">
        <f t="shared" si="243"/>
        <v>0</v>
      </c>
      <c r="AN2033" s="2" t="str">
        <f t="shared" si="244"/>
        <v>3E8</v>
      </c>
      <c r="AO2033" s="2"/>
      <c r="AP2033" s="2" t="str">
        <f t="shared" si="245"/>
        <v>03E8</v>
      </c>
    </row>
    <row r="2034" spans="6:42" x14ac:dyDescent="0.2">
      <c r="F2034" s="1"/>
      <c r="G2034" s="3"/>
      <c r="H2034" s="8"/>
      <c r="N2034" s="1"/>
      <c r="V2034" s="1"/>
      <c r="AD2034" s="1"/>
      <c r="AJ2034" s="6">
        <f t="shared" si="242"/>
        <v>1000</v>
      </c>
      <c r="AK2034" s="4">
        <v>2017</v>
      </c>
      <c r="AM2034" s="2" t="str">
        <f t="shared" si="243"/>
        <v>0</v>
      </c>
      <c r="AN2034" s="2" t="str">
        <f t="shared" si="244"/>
        <v>3E8</v>
      </c>
      <c r="AO2034" s="2"/>
      <c r="AP2034" s="2" t="str">
        <f t="shared" si="245"/>
        <v>03E8</v>
      </c>
    </row>
    <row r="2035" spans="6:42" x14ac:dyDescent="0.2">
      <c r="F2035" s="1"/>
      <c r="G2035" s="3"/>
      <c r="H2035" s="8"/>
      <c r="N2035" s="1"/>
      <c r="V2035" s="1"/>
      <c r="AD2035" s="1"/>
      <c r="AJ2035" s="6">
        <f t="shared" si="242"/>
        <v>1000</v>
      </c>
      <c r="AK2035" s="4">
        <v>2018</v>
      </c>
      <c r="AM2035" s="2" t="str">
        <f t="shared" si="243"/>
        <v>0</v>
      </c>
      <c r="AN2035" s="2" t="str">
        <f t="shared" si="244"/>
        <v>3E8</v>
      </c>
      <c r="AO2035" s="2"/>
      <c r="AP2035" s="2" t="str">
        <f t="shared" si="245"/>
        <v>03E8</v>
      </c>
    </row>
    <row r="2036" spans="6:42" x14ac:dyDescent="0.2">
      <c r="F2036" s="1"/>
      <c r="G2036" s="3"/>
      <c r="H2036" s="8"/>
      <c r="N2036" s="1"/>
      <c r="V2036" s="1"/>
      <c r="AD2036" s="1"/>
      <c r="AJ2036" s="6">
        <f t="shared" si="242"/>
        <v>1000</v>
      </c>
      <c r="AK2036" s="4">
        <v>2019</v>
      </c>
      <c r="AM2036" s="2" t="str">
        <f t="shared" si="243"/>
        <v>0</v>
      </c>
      <c r="AN2036" s="2" t="str">
        <f t="shared" si="244"/>
        <v>3E8</v>
      </c>
      <c r="AO2036" s="2"/>
      <c r="AP2036" s="2" t="str">
        <f t="shared" si="245"/>
        <v>03E8</v>
      </c>
    </row>
    <row r="2037" spans="6:42" x14ac:dyDescent="0.2">
      <c r="F2037" s="1"/>
      <c r="G2037" s="3"/>
      <c r="H2037" s="8"/>
      <c r="N2037" s="1"/>
      <c r="V2037" s="1"/>
      <c r="AD2037" s="1"/>
      <c r="AJ2037" s="6">
        <f t="shared" si="242"/>
        <v>1000</v>
      </c>
      <c r="AK2037" s="4">
        <v>2020</v>
      </c>
      <c r="AM2037" s="2" t="str">
        <f t="shared" si="243"/>
        <v>0</v>
      </c>
      <c r="AN2037" s="2" t="str">
        <f t="shared" si="244"/>
        <v>3E8</v>
      </c>
      <c r="AO2037" s="2"/>
      <c r="AP2037" s="2" t="str">
        <f t="shared" si="245"/>
        <v>03E8</v>
      </c>
    </row>
    <row r="2038" spans="6:42" x14ac:dyDescent="0.2">
      <c r="F2038" s="1"/>
      <c r="G2038" s="3"/>
      <c r="H2038" s="8"/>
      <c r="N2038" s="1"/>
      <c r="V2038" s="1"/>
      <c r="AD2038" s="1"/>
      <c r="AJ2038" s="6">
        <f t="shared" si="242"/>
        <v>1000</v>
      </c>
      <c r="AK2038" s="4">
        <v>2021</v>
      </c>
      <c r="AM2038" s="2" t="str">
        <f t="shared" si="243"/>
        <v>0</v>
      </c>
      <c r="AN2038" s="2" t="str">
        <f t="shared" si="244"/>
        <v>3E8</v>
      </c>
      <c r="AO2038" s="2"/>
      <c r="AP2038" s="2" t="str">
        <f t="shared" si="245"/>
        <v>03E8</v>
      </c>
    </row>
    <row r="2039" spans="6:42" x14ac:dyDescent="0.2">
      <c r="F2039" s="1"/>
      <c r="G2039" s="3"/>
      <c r="H2039" s="8"/>
      <c r="N2039" s="1"/>
      <c r="V2039" s="1"/>
      <c r="AD2039" s="1"/>
      <c r="AJ2039" s="6">
        <f t="shared" si="242"/>
        <v>1000</v>
      </c>
      <c r="AK2039" s="4">
        <v>2022</v>
      </c>
      <c r="AM2039" s="2" t="str">
        <f t="shared" si="243"/>
        <v>0</v>
      </c>
      <c r="AN2039" s="2" t="str">
        <f t="shared" si="244"/>
        <v>3E8</v>
      </c>
      <c r="AO2039" s="2"/>
      <c r="AP2039" s="2" t="str">
        <f t="shared" si="245"/>
        <v>03E8</v>
      </c>
    </row>
    <row r="2040" spans="6:42" x14ac:dyDescent="0.2">
      <c r="F2040" s="1"/>
      <c r="G2040" s="3"/>
      <c r="H2040" s="8"/>
      <c r="N2040" s="1"/>
      <c r="V2040" s="1"/>
      <c r="AD2040" s="1"/>
      <c r="AJ2040" s="6">
        <f t="shared" si="242"/>
        <v>1000</v>
      </c>
      <c r="AK2040" s="4">
        <v>2023</v>
      </c>
      <c r="AM2040" s="2" t="str">
        <f t="shared" si="243"/>
        <v>0</v>
      </c>
      <c r="AN2040" s="2" t="str">
        <f t="shared" si="244"/>
        <v>3E8</v>
      </c>
      <c r="AO2040" s="2"/>
      <c r="AP2040" s="2" t="str">
        <f t="shared" si="245"/>
        <v>03E8</v>
      </c>
    </row>
    <row r="2041" spans="6:42" x14ac:dyDescent="0.2">
      <c r="F2041" s="1"/>
      <c r="G2041" s="3"/>
      <c r="H2041" s="8"/>
      <c r="N2041" s="1"/>
      <c r="V2041" s="1"/>
      <c r="AD2041" s="1"/>
      <c r="AJ2041" s="6">
        <f t="shared" si="242"/>
        <v>1000</v>
      </c>
      <c r="AK2041" s="4">
        <v>2024</v>
      </c>
      <c r="AM2041" s="2" t="str">
        <f t="shared" si="243"/>
        <v>0</v>
      </c>
      <c r="AN2041" s="2" t="str">
        <f t="shared" si="244"/>
        <v>3E8</v>
      </c>
      <c r="AO2041" s="2"/>
      <c r="AP2041" s="2" t="str">
        <f t="shared" si="245"/>
        <v>03E8</v>
      </c>
    </row>
    <row r="2042" spans="6:42" x14ac:dyDescent="0.2">
      <c r="F2042" s="1"/>
      <c r="G2042" s="3"/>
      <c r="H2042" s="8"/>
      <c r="N2042" s="1"/>
      <c r="V2042" s="1"/>
      <c r="AD2042" s="1"/>
      <c r="AJ2042" s="6">
        <f t="shared" si="242"/>
        <v>1000</v>
      </c>
      <c r="AK2042" s="4">
        <v>2025</v>
      </c>
      <c r="AM2042" s="2" t="str">
        <f t="shared" si="243"/>
        <v>0</v>
      </c>
      <c r="AN2042" s="2" t="str">
        <f t="shared" si="244"/>
        <v>3E8</v>
      </c>
      <c r="AO2042" s="2"/>
      <c r="AP2042" s="2" t="str">
        <f t="shared" si="245"/>
        <v>03E8</v>
      </c>
    </row>
    <row r="2043" spans="6:42" x14ac:dyDescent="0.2">
      <c r="F2043" s="1"/>
      <c r="G2043" s="3"/>
      <c r="H2043" s="8"/>
      <c r="N2043" s="1"/>
      <c r="V2043" s="1"/>
      <c r="AD2043" s="1"/>
      <c r="AJ2043" s="6">
        <f t="shared" si="242"/>
        <v>1000</v>
      </c>
      <c r="AK2043" s="4">
        <v>2026</v>
      </c>
      <c r="AM2043" s="2" t="str">
        <f t="shared" si="243"/>
        <v>0</v>
      </c>
      <c r="AN2043" s="2" t="str">
        <f t="shared" si="244"/>
        <v>3E8</v>
      </c>
      <c r="AO2043" s="2"/>
      <c r="AP2043" s="2" t="str">
        <f t="shared" si="245"/>
        <v>03E8</v>
      </c>
    </row>
    <row r="2044" spans="6:42" x14ac:dyDescent="0.2">
      <c r="F2044" s="1"/>
      <c r="G2044" s="3"/>
      <c r="H2044" s="8"/>
      <c r="N2044" s="1"/>
      <c r="V2044" s="1"/>
      <c r="AD2044" s="1"/>
      <c r="AJ2044" s="6">
        <f t="shared" si="242"/>
        <v>1000</v>
      </c>
      <c r="AK2044" s="4">
        <v>2027</v>
      </c>
      <c r="AM2044" s="2" t="str">
        <f t="shared" si="243"/>
        <v>0</v>
      </c>
      <c r="AN2044" s="2" t="str">
        <f t="shared" si="244"/>
        <v>3E8</v>
      </c>
      <c r="AO2044" s="2"/>
      <c r="AP2044" s="2" t="str">
        <f t="shared" si="245"/>
        <v>03E8</v>
      </c>
    </row>
    <row r="2045" spans="6:42" x14ac:dyDescent="0.2">
      <c r="F2045" s="1"/>
      <c r="G2045" s="3"/>
      <c r="H2045" s="8"/>
      <c r="N2045" s="1"/>
      <c r="V2045" s="1"/>
      <c r="AD2045" s="1"/>
      <c r="AJ2045" s="6">
        <f t="shared" si="242"/>
        <v>1000</v>
      </c>
      <c r="AK2045" s="4">
        <v>2028</v>
      </c>
      <c r="AM2045" s="2" t="str">
        <f t="shared" si="243"/>
        <v>0</v>
      </c>
      <c r="AN2045" s="2" t="str">
        <f t="shared" si="244"/>
        <v>3E8</v>
      </c>
      <c r="AO2045" s="2"/>
      <c r="AP2045" s="2" t="str">
        <f t="shared" si="245"/>
        <v>03E8</v>
      </c>
    </row>
    <row r="2046" spans="6:42" x14ac:dyDescent="0.2">
      <c r="F2046" s="1"/>
      <c r="G2046" s="3"/>
      <c r="H2046" s="8"/>
      <c r="N2046" s="1"/>
      <c r="V2046" s="1"/>
      <c r="AD2046" s="1"/>
      <c r="AJ2046" s="6">
        <f t="shared" si="242"/>
        <v>1000</v>
      </c>
      <c r="AK2046" s="4">
        <v>2029</v>
      </c>
      <c r="AM2046" s="2" t="str">
        <f t="shared" si="243"/>
        <v>0</v>
      </c>
      <c r="AN2046" s="2" t="str">
        <f t="shared" si="244"/>
        <v>3E8</v>
      </c>
      <c r="AO2046" s="2"/>
      <c r="AP2046" s="2" t="str">
        <f t="shared" si="245"/>
        <v>03E8</v>
      </c>
    </row>
    <row r="2047" spans="6:42" x14ac:dyDescent="0.2">
      <c r="F2047" s="1"/>
      <c r="G2047" s="3"/>
      <c r="H2047" s="8"/>
      <c r="N2047" s="1"/>
      <c r="V2047" s="1"/>
      <c r="AD2047" s="1"/>
      <c r="AJ2047" s="6">
        <f t="shared" si="242"/>
        <v>1000</v>
      </c>
      <c r="AK2047" s="4">
        <v>2030</v>
      </c>
      <c r="AM2047" s="2" t="str">
        <f t="shared" si="243"/>
        <v>0</v>
      </c>
      <c r="AN2047" s="2" t="str">
        <f t="shared" si="244"/>
        <v>3E8</v>
      </c>
      <c r="AO2047" s="2"/>
      <c r="AP2047" s="2" t="str">
        <f t="shared" si="245"/>
        <v>03E8</v>
      </c>
    </row>
    <row r="2048" spans="6:42" x14ac:dyDescent="0.2">
      <c r="F2048" s="1"/>
      <c r="G2048" s="3"/>
      <c r="H2048" s="8"/>
      <c r="N2048" s="1"/>
      <c r="V2048" s="1"/>
      <c r="AD2048" s="1"/>
      <c r="AJ2048" s="6">
        <f t="shared" si="242"/>
        <v>1000</v>
      </c>
      <c r="AK2048" s="4">
        <v>2031</v>
      </c>
      <c r="AM2048" s="2" t="str">
        <f t="shared" si="243"/>
        <v>0</v>
      </c>
      <c r="AN2048" s="2" t="str">
        <f t="shared" si="244"/>
        <v>3E8</v>
      </c>
      <c r="AO2048" s="2"/>
      <c r="AP2048" s="2" t="str">
        <f t="shared" si="245"/>
        <v>03E8</v>
      </c>
    </row>
    <row r="2049" spans="6:42" x14ac:dyDescent="0.2">
      <c r="F2049" s="1"/>
      <c r="G2049" s="3"/>
      <c r="H2049" s="8"/>
      <c r="N2049" s="1"/>
      <c r="V2049" s="1"/>
      <c r="AD2049" s="1"/>
      <c r="AJ2049" s="6">
        <f t="shared" si="242"/>
        <v>1000</v>
      </c>
      <c r="AK2049" s="4">
        <v>2032</v>
      </c>
      <c r="AM2049" s="2" t="str">
        <f t="shared" si="243"/>
        <v>0</v>
      </c>
      <c r="AN2049" s="2" t="str">
        <f t="shared" si="244"/>
        <v>3E8</v>
      </c>
      <c r="AO2049" s="2"/>
      <c r="AP2049" s="2" t="str">
        <f t="shared" si="245"/>
        <v>03E8</v>
      </c>
    </row>
    <row r="2050" spans="6:42" x14ac:dyDescent="0.2">
      <c r="F2050" s="1"/>
      <c r="G2050" s="3"/>
      <c r="H2050" s="8"/>
      <c r="N2050" s="1"/>
      <c r="V2050" s="1"/>
      <c r="AD2050" s="1"/>
      <c r="AJ2050" s="6">
        <f t="shared" si="242"/>
        <v>1000</v>
      </c>
      <c r="AK2050" s="4">
        <v>2033</v>
      </c>
      <c r="AM2050" s="2" t="str">
        <f t="shared" si="243"/>
        <v>0</v>
      </c>
      <c r="AN2050" s="2" t="str">
        <f t="shared" si="244"/>
        <v>3E8</v>
      </c>
      <c r="AO2050" s="2"/>
      <c r="AP2050" s="2" t="str">
        <f t="shared" si="245"/>
        <v>03E8</v>
      </c>
    </row>
    <row r="2051" spans="6:42" x14ac:dyDescent="0.2">
      <c r="F2051" s="1"/>
      <c r="G2051" s="3"/>
      <c r="H2051" s="8"/>
      <c r="N2051" s="1"/>
      <c r="V2051" s="1"/>
      <c r="AD2051" s="1"/>
      <c r="AJ2051" s="6">
        <f t="shared" si="242"/>
        <v>1000</v>
      </c>
      <c r="AK2051" s="4">
        <v>2034</v>
      </c>
      <c r="AM2051" s="2" t="str">
        <f t="shared" si="243"/>
        <v>0</v>
      </c>
      <c r="AN2051" s="2" t="str">
        <f t="shared" si="244"/>
        <v>3E8</v>
      </c>
      <c r="AO2051" s="2"/>
      <c r="AP2051" s="2" t="str">
        <f t="shared" si="245"/>
        <v>03E8</v>
      </c>
    </row>
    <row r="2052" spans="6:42" x14ac:dyDescent="0.2">
      <c r="F2052" s="1"/>
      <c r="G2052" s="3"/>
      <c r="H2052" s="8"/>
      <c r="N2052" s="1"/>
      <c r="V2052" s="1"/>
      <c r="AD2052" s="1"/>
      <c r="AJ2052" s="6">
        <f t="shared" si="242"/>
        <v>1000</v>
      </c>
      <c r="AK2052" s="4">
        <v>2035</v>
      </c>
      <c r="AM2052" s="2" t="str">
        <f t="shared" si="243"/>
        <v>0</v>
      </c>
      <c r="AN2052" s="2" t="str">
        <f t="shared" si="244"/>
        <v>3E8</v>
      </c>
      <c r="AO2052" s="2"/>
      <c r="AP2052" s="2" t="str">
        <f t="shared" si="245"/>
        <v>03E8</v>
      </c>
    </row>
    <row r="2053" spans="6:42" x14ac:dyDescent="0.2">
      <c r="F2053" s="1"/>
      <c r="G2053" s="3"/>
      <c r="H2053" s="8"/>
      <c r="N2053" s="1"/>
      <c r="V2053" s="1"/>
      <c r="AD2053" s="1"/>
      <c r="AJ2053" s="6">
        <f t="shared" si="242"/>
        <v>1000</v>
      </c>
      <c r="AK2053" s="4">
        <v>2036</v>
      </c>
      <c r="AM2053" s="2" t="str">
        <f t="shared" si="243"/>
        <v>0</v>
      </c>
      <c r="AN2053" s="2" t="str">
        <f t="shared" si="244"/>
        <v>3E8</v>
      </c>
      <c r="AO2053" s="2"/>
      <c r="AP2053" s="2" t="str">
        <f t="shared" si="245"/>
        <v>03E8</v>
      </c>
    </row>
    <row r="2054" spans="6:42" x14ac:dyDescent="0.2">
      <c r="F2054" s="1"/>
      <c r="G2054" s="3"/>
      <c r="H2054" s="8"/>
      <c r="N2054" s="1"/>
      <c r="V2054" s="1"/>
      <c r="AD2054" s="1"/>
      <c r="AJ2054" s="6">
        <f t="shared" si="242"/>
        <v>1000</v>
      </c>
      <c r="AK2054" s="4">
        <v>2037</v>
      </c>
      <c r="AM2054" s="2" t="str">
        <f t="shared" si="243"/>
        <v>0</v>
      </c>
      <c r="AN2054" s="2" t="str">
        <f t="shared" si="244"/>
        <v>3E8</v>
      </c>
      <c r="AO2054" s="2"/>
      <c r="AP2054" s="2" t="str">
        <f t="shared" si="245"/>
        <v>03E8</v>
      </c>
    </row>
    <row r="2055" spans="6:42" x14ac:dyDescent="0.2">
      <c r="F2055" s="1"/>
      <c r="G2055" s="3"/>
      <c r="H2055" s="8"/>
      <c r="N2055" s="1"/>
      <c r="V2055" s="1"/>
      <c r="AD2055" s="1"/>
      <c r="AJ2055" s="6">
        <f t="shared" si="242"/>
        <v>1000</v>
      </c>
      <c r="AK2055" s="4">
        <v>2038</v>
      </c>
      <c r="AM2055" s="2" t="str">
        <f t="shared" si="243"/>
        <v>0</v>
      </c>
      <c r="AN2055" s="2" t="str">
        <f t="shared" si="244"/>
        <v>3E8</v>
      </c>
      <c r="AO2055" s="2"/>
      <c r="AP2055" s="2" t="str">
        <f t="shared" si="245"/>
        <v>03E8</v>
      </c>
    </row>
    <row r="2056" spans="6:42" x14ac:dyDescent="0.2">
      <c r="F2056" s="1"/>
      <c r="G2056" s="3"/>
      <c r="H2056" s="8"/>
      <c r="N2056" s="1"/>
      <c r="V2056" s="1"/>
      <c r="AD2056" s="1"/>
      <c r="AJ2056" s="6">
        <f t="shared" si="242"/>
        <v>1000</v>
      </c>
      <c r="AK2056" s="4">
        <v>2039</v>
      </c>
      <c r="AM2056" s="2" t="str">
        <f t="shared" si="243"/>
        <v>0</v>
      </c>
      <c r="AN2056" s="2" t="str">
        <f t="shared" si="244"/>
        <v>3E8</v>
      </c>
      <c r="AO2056" s="2"/>
      <c r="AP2056" s="2" t="str">
        <f t="shared" si="245"/>
        <v>03E8</v>
      </c>
    </row>
    <row r="2057" spans="6:42" x14ac:dyDescent="0.2">
      <c r="F2057" s="1"/>
      <c r="G2057" s="3"/>
      <c r="H2057" s="8"/>
      <c r="N2057" s="1"/>
      <c r="V2057" s="1"/>
      <c r="AD2057" s="1"/>
      <c r="AJ2057" s="6">
        <f t="shared" si="242"/>
        <v>1000</v>
      </c>
      <c r="AK2057" s="4">
        <v>2040</v>
      </c>
      <c r="AM2057" s="2" t="str">
        <f t="shared" si="243"/>
        <v>0</v>
      </c>
      <c r="AN2057" s="2" t="str">
        <f t="shared" si="244"/>
        <v>3E8</v>
      </c>
      <c r="AO2057" s="2"/>
      <c r="AP2057" s="2" t="str">
        <f t="shared" si="245"/>
        <v>03E8</v>
      </c>
    </row>
    <row r="2058" spans="6:42" x14ac:dyDescent="0.2">
      <c r="F2058" s="1"/>
      <c r="G2058" s="3"/>
      <c r="H2058" s="8"/>
      <c r="N2058" s="1"/>
      <c r="V2058" s="1"/>
      <c r="AD2058" s="1"/>
      <c r="AJ2058" s="6">
        <f t="shared" si="242"/>
        <v>1000</v>
      </c>
      <c r="AK2058" s="4">
        <v>2041</v>
      </c>
      <c r="AM2058" s="2" t="str">
        <f t="shared" si="243"/>
        <v>0</v>
      </c>
      <c r="AN2058" s="2" t="str">
        <f t="shared" si="244"/>
        <v>3E8</v>
      </c>
      <c r="AO2058" s="2"/>
      <c r="AP2058" s="2" t="str">
        <f t="shared" si="245"/>
        <v>03E8</v>
      </c>
    </row>
    <row r="2059" spans="6:42" x14ac:dyDescent="0.2">
      <c r="F2059" s="1"/>
      <c r="G2059" s="3"/>
      <c r="H2059" s="8"/>
      <c r="N2059" s="1"/>
      <c r="V2059" s="1"/>
      <c r="AD2059" s="1"/>
      <c r="AJ2059" s="6">
        <f t="shared" si="242"/>
        <v>1000</v>
      </c>
      <c r="AK2059" s="4">
        <v>2042</v>
      </c>
      <c r="AM2059" s="2" t="str">
        <f t="shared" si="243"/>
        <v>0</v>
      </c>
      <c r="AN2059" s="2" t="str">
        <f t="shared" si="244"/>
        <v>3E8</v>
      </c>
      <c r="AO2059" s="2"/>
      <c r="AP2059" s="2" t="str">
        <f t="shared" si="245"/>
        <v>03E8</v>
      </c>
    </row>
    <row r="2060" spans="6:42" x14ac:dyDescent="0.2">
      <c r="F2060" s="1"/>
      <c r="G2060" s="3"/>
      <c r="H2060" s="8"/>
      <c r="N2060" s="1"/>
      <c r="V2060" s="1"/>
      <c r="AD2060" s="1"/>
      <c r="AJ2060" s="6">
        <f t="shared" si="242"/>
        <v>1000</v>
      </c>
      <c r="AK2060" s="4">
        <v>2043</v>
      </c>
      <c r="AM2060" s="2" t="str">
        <f>BIN2HEX(AA524+10*AB524+100*AC524+1000*AD524,1)</f>
        <v>0</v>
      </c>
      <c r="AN2060" s="2" t="str">
        <f>DEC2HEX(AJ2060,3)</f>
        <v>3E8</v>
      </c>
      <c r="AO2060" s="2"/>
      <c r="AP2060" s="2" t="str">
        <f>CONCATENATE(AM2060,AN2060)</f>
        <v>03E8</v>
      </c>
    </row>
    <row r="2061" spans="6:42" x14ac:dyDescent="0.2">
      <c r="F2061" s="1"/>
      <c r="G2061" s="3"/>
      <c r="H2061" s="8"/>
      <c r="N2061" s="1"/>
      <c r="V2061" s="1"/>
      <c r="AD2061" s="1"/>
      <c r="AJ2061" s="6">
        <f t="shared" si="242"/>
        <v>1000</v>
      </c>
      <c r="AK2061" s="4">
        <v>2044</v>
      </c>
      <c r="AM2061" s="2" t="str">
        <f t="shared" si="243"/>
        <v>0</v>
      </c>
      <c r="AN2061" s="2" t="str">
        <f t="shared" si="244"/>
        <v>3E8</v>
      </c>
      <c r="AO2061" s="2"/>
      <c r="AP2061" s="2" t="str">
        <f t="shared" si="245"/>
        <v>03E8</v>
      </c>
    </row>
    <row r="2062" spans="6:42" x14ac:dyDescent="0.2">
      <c r="F2062" s="1"/>
      <c r="G2062" s="3"/>
      <c r="H2062" s="8"/>
      <c r="N2062" s="1"/>
      <c r="V2062" s="1"/>
      <c r="AD2062" s="1"/>
      <c r="AJ2062" s="6">
        <f t="shared" si="242"/>
        <v>1000</v>
      </c>
      <c r="AK2062" s="4">
        <v>2045</v>
      </c>
      <c r="AM2062" s="2" t="str">
        <f t="shared" si="243"/>
        <v>0</v>
      </c>
      <c r="AN2062" s="2" t="str">
        <f t="shared" si="244"/>
        <v>3E8</v>
      </c>
      <c r="AO2062" s="2"/>
      <c r="AP2062" s="2" t="str">
        <f t="shared" si="245"/>
        <v>03E8</v>
      </c>
    </row>
    <row r="2063" spans="6:42" x14ac:dyDescent="0.2">
      <c r="F2063" s="1"/>
      <c r="G2063" s="3"/>
      <c r="H2063" s="8"/>
      <c r="N2063" s="1"/>
      <c r="V2063" s="1"/>
      <c r="AD2063" s="1"/>
      <c r="AJ2063" s="6">
        <f t="shared" si="242"/>
        <v>1000</v>
      </c>
      <c r="AK2063" s="4">
        <v>2046</v>
      </c>
      <c r="AM2063" s="2" t="str">
        <f t="shared" si="243"/>
        <v>0</v>
      </c>
      <c r="AN2063" s="2" t="str">
        <f t="shared" si="244"/>
        <v>3E8</v>
      </c>
      <c r="AO2063" s="2"/>
      <c r="AP2063" s="2" t="str">
        <f t="shared" si="245"/>
        <v>03E8</v>
      </c>
    </row>
    <row r="2064" spans="6:42" x14ac:dyDescent="0.2">
      <c r="F2064" s="1"/>
      <c r="G2064" s="3"/>
      <c r="H2064" s="8"/>
      <c r="N2064" s="1"/>
      <c r="V2064" s="1"/>
      <c r="AD2064" s="1"/>
      <c r="AJ2064" s="6">
        <f t="shared" si="242"/>
        <v>1000</v>
      </c>
      <c r="AK2064" s="4">
        <v>2047</v>
      </c>
      <c r="AM2064" s="2" t="str">
        <f t="shared" si="243"/>
        <v>0</v>
      </c>
      <c r="AN2064" s="2" t="str">
        <f t="shared" si="244"/>
        <v>3E8</v>
      </c>
      <c r="AO2064" s="2"/>
      <c r="AP2064" s="2" t="str">
        <f t="shared" si="245"/>
        <v>03E8</v>
      </c>
    </row>
    <row r="2065" spans="6:42" x14ac:dyDescent="0.2">
      <c r="F2065" s="1"/>
      <c r="G2065" s="3"/>
      <c r="H2065" s="8"/>
      <c r="N2065" s="1"/>
      <c r="V2065" s="1"/>
      <c r="AD2065" s="1"/>
      <c r="AJ2065" s="6">
        <f t="shared" si="242"/>
        <v>1000</v>
      </c>
      <c r="AK2065" s="4">
        <v>2048</v>
      </c>
      <c r="AM2065" s="2" t="str">
        <f t="shared" si="243"/>
        <v>0</v>
      </c>
      <c r="AN2065" s="2" t="str">
        <f>DEC2HEX(AJ2065,3)</f>
        <v>3E8</v>
      </c>
      <c r="AO2065" s="2"/>
      <c r="AP2065" s="2" t="str">
        <f t="shared" ref="AP2065" si="246">CONCATENATE(AM2065,AN2065)</f>
        <v>03E8</v>
      </c>
    </row>
  </sheetData>
  <conditionalFormatting sqref="L18:N47 M23:M298 K29:K38 L18:L133 K38:N529">
    <cfRule type="cellIs" dxfId="47" priority="94" operator="greaterThan">
      <formula>0</formula>
    </cfRule>
    <cfRule type="cellIs" dxfId="46" priority="95" operator="equal">
      <formula>0</formula>
    </cfRule>
  </conditionalFormatting>
  <conditionalFormatting sqref="O18:O529">
    <cfRule type="colorScale" priority="33">
      <colorScale>
        <cfvo type="min"/>
        <cfvo type="max"/>
        <color rgb="FFFCFCFF"/>
        <color rgb="FF63BE7B"/>
      </colorScale>
    </cfRule>
    <cfRule type="cellIs" dxfId="45" priority="93" operator="greaterThan">
      <formula>0</formula>
    </cfRule>
  </conditionalFormatting>
  <conditionalFormatting sqref="D18:F46 E19:E218 D19:D238">
    <cfRule type="cellIs" dxfId="44" priority="82" operator="greaterThan">
      <formula>0</formula>
    </cfRule>
    <cfRule type="cellIs" dxfId="43" priority="83" operator="equal">
      <formula>0</formula>
    </cfRule>
  </conditionalFormatting>
  <conditionalFormatting sqref="G18:G46">
    <cfRule type="cellIs" dxfId="42" priority="81" operator="greaterThan">
      <formula>0</formula>
    </cfRule>
  </conditionalFormatting>
  <conditionalFormatting sqref="C450:F529">
    <cfRule type="cellIs" dxfId="41" priority="79" operator="greaterThan">
      <formula>0</formula>
    </cfRule>
    <cfRule type="cellIs" dxfId="40" priority="80" operator="equal">
      <formula>0</formula>
    </cfRule>
  </conditionalFormatting>
  <conditionalFormatting sqref="G450:G529">
    <cfRule type="cellIs" dxfId="39" priority="78" operator="greaterThan">
      <formula>0</formula>
    </cfRule>
  </conditionalFormatting>
  <conditionalFormatting sqref="D37:F37 C29:C38 C38:F449 C200:C529">
    <cfRule type="cellIs" dxfId="38" priority="76" operator="greaterThan">
      <formula>0</formula>
    </cfRule>
    <cfRule type="cellIs" dxfId="37" priority="77" operator="equal">
      <formula>0</formula>
    </cfRule>
  </conditionalFormatting>
  <conditionalFormatting sqref="G37:G449">
    <cfRule type="cellIs" dxfId="36" priority="75" operator="greaterThan">
      <formula>0</formula>
    </cfRule>
  </conditionalFormatting>
  <conditionalFormatting sqref="AA424:AD529 AA296:AA423">
    <cfRule type="cellIs" dxfId="35" priority="70" operator="greaterThan">
      <formula>0</formula>
    </cfRule>
    <cfRule type="cellIs" dxfId="34" priority="71" operator="equal">
      <formula>0</formula>
    </cfRule>
  </conditionalFormatting>
  <conditionalFormatting sqref="AE308:AE529">
    <cfRule type="colorScale" priority="29">
      <colorScale>
        <cfvo type="min"/>
        <cfvo type="max"/>
        <color rgb="FFFCFCFF"/>
        <color rgb="FF63BE7B"/>
      </colorScale>
    </cfRule>
    <cfRule type="cellIs" dxfId="33" priority="69" operator="greaterThan">
      <formula>0</formula>
    </cfRule>
  </conditionalFormatting>
  <conditionalFormatting sqref="C18:C46">
    <cfRule type="cellIs" dxfId="32" priority="67" operator="greaterThan">
      <formula>0</formula>
    </cfRule>
    <cfRule type="cellIs" dxfId="31" priority="68" operator="equal">
      <formula>0</formula>
    </cfRule>
  </conditionalFormatting>
  <conditionalFormatting sqref="C29:C529">
    <cfRule type="cellIs" dxfId="30" priority="65" operator="greaterThan">
      <formula>0</formula>
    </cfRule>
    <cfRule type="cellIs" dxfId="29" priority="66" operator="equal">
      <formula>0</formula>
    </cfRule>
  </conditionalFormatting>
  <conditionalFormatting sqref="K18:K46">
    <cfRule type="cellIs" dxfId="28" priority="63" operator="greaterThan">
      <formula>0</formula>
    </cfRule>
    <cfRule type="cellIs" dxfId="27" priority="64" operator="equal">
      <formula>0</formula>
    </cfRule>
  </conditionalFormatting>
  <conditionalFormatting sqref="K29:K529">
    <cfRule type="cellIs" dxfId="26" priority="61" operator="greaterThan">
      <formula>0</formula>
    </cfRule>
    <cfRule type="cellIs" dxfId="25" priority="62" operator="equal">
      <formula>0</formula>
    </cfRule>
  </conditionalFormatting>
  <conditionalFormatting sqref="J15:J16">
    <cfRule type="cellIs" dxfId="24" priority="39" operator="greaterThan">
      <formula>HW_LIMIT_MAX</formula>
    </cfRule>
  </conditionalFormatting>
  <conditionalFormatting sqref="R15:R16">
    <cfRule type="cellIs" dxfId="23" priority="37" operator="greaterThan">
      <formula>HW_LIMIT_MAX</formula>
    </cfRule>
  </conditionalFormatting>
  <conditionalFormatting sqref="Z15:Z16">
    <cfRule type="cellIs" dxfId="22" priority="36" operator="greaterThan">
      <formula>HW_LIMIT_MAX</formula>
    </cfRule>
  </conditionalFormatting>
  <conditionalFormatting sqref="AH15:AH16">
    <cfRule type="cellIs" dxfId="21" priority="35" operator="greaterThan">
      <formula>HW_LIMIT_MAX</formula>
    </cfRule>
  </conditionalFormatting>
  <conditionalFormatting sqref="G18:G529">
    <cfRule type="colorScale" priority="34">
      <colorScale>
        <cfvo type="min"/>
        <cfvo type="max"/>
        <color rgb="FFFCFCFF"/>
        <color rgb="FF63BE7B"/>
      </colorScale>
    </cfRule>
  </conditionalFormatting>
  <conditionalFormatting sqref="S29:S529 T18:V529">
    <cfRule type="cellIs" dxfId="20" priority="26" operator="greaterThan">
      <formula>0</formula>
    </cfRule>
    <cfRule type="cellIs" dxfId="19" priority="28" operator="equal">
      <formula>0</formula>
    </cfRule>
  </conditionalFormatting>
  <conditionalFormatting sqref="W18:W529">
    <cfRule type="colorScale" priority="20">
      <colorScale>
        <cfvo type="min"/>
        <cfvo type="max"/>
        <color rgb="FFFCFCFF"/>
        <color rgb="FF63BE7B"/>
      </colorScale>
    </cfRule>
    <cfRule type="cellIs" dxfId="18" priority="25" operator="greaterThan">
      <formula>0</formula>
    </cfRule>
  </conditionalFormatting>
  <conditionalFormatting sqref="S18:S46">
    <cfRule type="cellIs" dxfId="17" priority="23" operator="greaterThan">
      <formula>0</formula>
    </cfRule>
    <cfRule type="cellIs" dxfId="16" priority="24" operator="equal">
      <formula>0</formula>
    </cfRule>
  </conditionalFormatting>
  <conditionalFormatting sqref="S29:S529">
    <cfRule type="cellIs" dxfId="15" priority="21" operator="greaterThan">
      <formula>0</formula>
    </cfRule>
    <cfRule type="cellIs" dxfId="14" priority="22" operator="equal">
      <formula>0</formula>
    </cfRule>
  </conditionalFormatting>
  <conditionalFormatting sqref="AA29:AA295 AB18:AD423">
    <cfRule type="cellIs" dxfId="13" priority="18" operator="greaterThan">
      <formula>0</formula>
    </cfRule>
    <cfRule type="cellIs" dxfId="12" priority="19" operator="equal">
      <formula>0</formula>
    </cfRule>
  </conditionalFormatting>
  <conditionalFormatting sqref="AE18:AE307">
    <cfRule type="colorScale" priority="12">
      <colorScale>
        <cfvo type="min"/>
        <cfvo type="max"/>
        <color rgb="FFFCFCFF"/>
        <color rgb="FF63BE7B"/>
      </colorScale>
    </cfRule>
    <cfRule type="cellIs" dxfId="11" priority="17" operator="greaterThan">
      <formula>0</formula>
    </cfRule>
  </conditionalFormatting>
  <conditionalFormatting sqref="AA18:AA46">
    <cfRule type="cellIs" dxfId="10" priority="15" operator="greaterThan">
      <formula>0</formula>
    </cfRule>
    <cfRule type="cellIs" dxfId="9" priority="16" operator="equal">
      <formula>0</formula>
    </cfRule>
  </conditionalFormatting>
  <conditionalFormatting sqref="AA29:AA295">
    <cfRule type="cellIs" dxfId="8" priority="13" operator="greaterThan">
      <formula>0</formula>
    </cfRule>
    <cfRule type="cellIs" dxfId="7" priority="14" operator="equal">
      <formula>0</formula>
    </cfRule>
  </conditionalFormatting>
  <conditionalFormatting sqref="I15:I16 Q15:Q16 Y15:Y16 AG15:AG16">
    <cfRule type="cellIs" dxfId="6" priority="100" operator="greaterThan">
      <formula>DAC_LIMIT_MAX</formula>
    </cfRule>
  </conditionalFormatting>
  <conditionalFormatting sqref="R18:R529">
    <cfRule type="cellIs" dxfId="5" priority="5" operator="greaterThan">
      <formula>HW_LIMIT_MAX</formula>
    </cfRule>
  </conditionalFormatting>
  <conditionalFormatting sqref="Z18:Z529">
    <cfRule type="cellIs" dxfId="4" priority="4" operator="greaterThan">
      <formula>HW_LIMIT_MAX</formula>
    </cfRule>
  </conditionalFormatting>
  <conditionalFormatting sqref="AH18:AH529">
    <cfRule type="cellIs" dxfId="3" priority="3" operator="greaterThan">
      <formula>HW_LIMIT_MAX</formula>
    </cfRule>
  </conditionalFormatting>
  <conditionalFormatting sqref="AA6">
    <cfRule type="cellIs" dxfId="2" priority="2" operator="greaterThan">
      <formula>DAC_LIMIT_MAX</formula>
    </cfRule>
  </conditionalFormatting>
  <conditionalFormatting sqref="AI6">
    <cfRule type="cellIs" dxfId="1" priority="1" operator="greaterThan">
      <formula>HW_LIMIT_MAX</formula>
    </cfRule>
  </conditionalFormatting>
  <conditionalFormatting sqref="J18:J529">
    <cfRule type="cellIs" dxfId="0" priority="6" operator="greaterThan">
      <formula>HW_LIMIT_MAX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BinaryFile">
                <anchor moveWithCells="1" sizeWithCells="1">
                  <from>
                    <xdr:col>7</xdr:col>
                    <xdr:colOff>28575</xdr:colOff>
                    <xdr:row>0</xdr:row>
                    <xdr:rowOff>104775</xdr:rowOff>
                  </from>
                  <to>
                    <xdr:col>9</xdr:col>
                    <xdr:colOff>342900</xdr:colOff>
                    <xdr:row>1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" id="{46640386-0BFD-4419-A695-89BFCA5B2E5B}">
            <x14:iconSet iconSet="3Symbols" showValue="0" custom="1">
              <x14:cfvo type="percent">
                <xm:f>0</xm:f>
              </x14:cfvo>
              <x14:cfvo type="num">
                <xm:f xml:space="preserve"> DAC_LIMIT_MIN</xm:f>
              </x14:cfvo>
              <x14:cfvo type="num">
                <xm:f xml:space="preserve"> DAC_LIMIT_MAX</xm:f>
              </x14:cfvo>
              <x14:cfIcon iconSet="3Symbols" iconId="0"/>
              <x14:cfIcon iconSet="3Symbols" iconId="2"/>
              <x14:cfIcon iconSet="3Symbols" iconId="0"/>
            </x14:iconSet>
          </x14:cfRule>
          <xm:sqref>Q18:Q529</xm:sqref>
        </x14:conditionalFormatting>
        <x14:conditionalFormatting xmlns:xm="http://schemas.microsoft.com/office/excel/2006/main">
          <x14:cfRule type="iconSet" priority="10" id="{112AE4C3-A3DF-4DB1-AEB6-ADF92D8D79BE}">
            <x14:iconSet iconSet="3Symbols" showValue="0" custom="1">
              <x14:cfvo type="percent">
                <xm:f>0</xm:f>
              </x14:cfvo>
              <x14:cfvo type="num">
                <xm:f xml:space="preserve"> DAC_LIMIT_MIN</xm:f>
              </x14:cfvo>
              <x14:cfvo type="num">
                <xm:f>DAC_LIMIT_MAX</xm:f>
              </x14:cfvo>
              <x14:cfIcon iconSet="3Symbols" iconId="0"/>
              <x14:cfIcon iconSet="3Symbols" iconId="2"/>
              <x14:cfIcon iconSet="3Symbols" iconId="0"/>
            </x14:iconSet>
          </x14:cfRule>
          <xm:sqref>I18:I529</xm:sqref>
        </x14:conditionalFormatting>
        <x14:conditionalFormatting xmlns:xm="http://schemas.microsoft.com/office/excel/2006/main">
          <x14:cfRule type="iconSet" priority="8" id="{10C4E7E6-970F-4D96-B45A-C5DE17F62EB9}">
            <x14:iconSet iconSet="3Symbols" showValue="0" custom="1">
              <x14:cfvo type="percent">
                <xm:f>0</xm:f>
              </x14:cfvo>
              <x14:cfvo type="num">
                <xm:f>DAC_LIMIT_MIN</xm:f>
              </x14:cfvo>
              <x14:cfvo type="num">
                <xm:f>DAC_LIMIT_MAX</xm:f>
              </x14:cfvo>
              <x14:cfIcon iconSet="3Symbols" iconId="0"/>
              <x14:cfIcon iconSet="3Symbols" iconId="2"/>
              <x14:cfIcon iconSet="3Symbols" iconId="0"/>
            </x14:iconSet>
          </x14:cfRule>
          <xm:sqref>Y18:Y529</xm:sqref>
        </x14:conditionalFormatting>
        <x14:conditionalFormatting xmlns:xm="http://schemas.microsoft.com/office/excel/2006/main">
          <x14:cfRule type="iconSet" priority="7" id="{37B9084F-4E60-4016-A59C-0741E88D414B}">
            <x14:iconSet iconSet="3Symbols" showValue="0" custom="1">
              <x14:cfvo type="percent">
                <xm:f>0</xm:f>
              </x14:cfvo>
              <x14:cfvo type="num">
                <xm:f>DAC_LIMIT_MIN</xm:f>
              </x14:cfvo>
              <x14:cfvo type="num">
                <xm:f>DAC_LIMIT_MAX</xm:f>
              </x14:cfvo>
              <x14:cfIcon iconSet="3Symbols" iconId="0"/>
              <x14:cfIcon iconSet="3Symbols" iconId="2"/>
              <x14:cfIcon iconSet="3Symbols" iconId="0"/>
            </x14:iconSet>
          </x14:cfRule>
          <xm:sqref>AG18:AG529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Q21"/>
  <sheetViews>
    <sheetView workbookViewId="0">
      <selection activeCell="B17" sqref="B17"/>
    </sheetView>
  </sheetViews>
  <sheetFormatPr defaultRowHeight="12.75" x14ac:dyDescent="0.2"/>
  <cols>
    <col min="1" max="1" width="31.7109375" customWidth="1"/>
  </cols>
  <sheetData>
    <row r="2" spans="1:17" x14ac:dyDescent="0.2">
      <c r="B2" t="s">
        <v>14</v>
      </c>
      <c r="G2">
        <v>65</v>
      </c>
      <c r="H2" t="s">
        <v>29</v>
      </c>
      <c r="J2" t="s">
        <v>34</v>
      </c>
      <c r="Q2" t="s">
        <v>30</v>
      </c>
    </row>
    <row r="3" spans="1:17" x14ac:dyDescent="0.2">
      <c r="B3" t="s">
        <v>15</v>
      </c>
      <c r="G3">
        <v>3404</v>
      </c>
      <c r="H3" t="s">
        <v>19</v>
      </c>
      <c r="J3" t="s">
        <v>34</v>
      </c>
      <c r="Q3" t="s">
        <v>25</v>
      </c>
    </row>
    <row r="4" spans="1:17" x14ac:dyDescent="0.2">
      <c r="B4" t="s">
        <v>16</v>
      </c>
      <c r="G4">
        <v>20.6</v>
      </c>
      <c r="H4" t="s">
        <v>17</v>
      </c>
      <c r="J4" t="s">
        <v>33</v>
      </c>
      <c r="Q4" t="s">
        <v>26</v>
      </c>
    </row>
    <row r="5" spans="1:17" x14ac:dyDescent="0.2">
      <c r="B5" t="s">
        <v>18</v>
      </c>
      <c r="G5">
        <v>1607</v>
      </c>
      <c r="H5" t="s">
        <v>19</v>
      </c>
      <c r="J5" t="s">
        <v>32</v>
      </c>
    </row>
    <row r="6" spans="1:17" x14ac:dyDescent="0.2">
      <c r="B6" t="s">
        <v>20</v>
      </c>
      <c r="G6">
        <v>1023</v>
      </c>
      <c r="H6" t="s">
        <v>29</v>
      </c>
      <c r="J6" t="s">
        <v>31</v>
      </c>
    </row>
    <row r="7" spans="1:17" x14ac:dyDescent="0.2">
      <c r="B7" t="s">
        <v>35</v>
      </c>
      <c r="G7">
        <v>0</v>
      </c>
      <c r="H7" t="s">
        <v>29</v>
      </c>
      <c r="J7" t="s">
        <v>35</v>
      </c>
    </row>
    <row r="11" spans="1:17" x14ac:dyDescent="0.2">
      <c r="A11" t="s">
        <v>59</v>
      </c>
    </row>
    <row r="12" spans="1:17" x14ac:dyDescent="0.2">
      <c r="A12" s="6" t="s">
        <v>14</v>
      </c>
      <c r="B12" s="6">
        <v>65</v>
      </c>
      <c r="C12" s="6"/>
      <c r="D12" s="6" t="s">
        <v>57</v>
      </c>
    </row>
    <row r="13" spans="1:17" x14ac:dyDescent="0.2">
      <c r="A13" s="6" t="s">
        <v>15</v>
      </c>
      <c r="B13" s="6">
        <v>2935</v>
      </c>
      <c r="C13" s="6"/>
      <c r="D13" s="6" t="s">
        <v>57</v>
      </c>
    </row>
    <row r="14" spans="1:17" x14ac:dyDescent="0.2">
      <c r="A14" t="s">
        <v>72</v>
      </c>
      <c r="B14">
        <v>10</v>
      </c>
    </row>
    <row r="15" spans="1:17" x14ac:dyDescent="0.2">
      <c r="A15" t="s">
        <v>73</v>
      </c>
      <c r="B15">
        <v>3</v>
      </c>
    </row>
    <row r="16" spans="1:17" x14ac:dyDescent="0.2">
      <c r="A16" t="s">
        <v>74</v>
      </c>
      <c r="B16">
        <v>3</v>
      </c>
      <c r="D16" t="s">
        <v>48</v>
      </c>
    </row>
    <row r="19" spans="1:4" x14ac:dyDescent="0.2">
      <c r="A19" t="s">
        <v>58</v>
      </c>
      <c r="B19" t="s">
        <v>28</v>
      </c>
      <c r="C19" t="s">
        <v>27</v>
      </c>
    </row>
    <row r="20" spans="1:4" x14ac:dyDescent="0.2">
      <c r="A20" t="s">
        <v>55</v>
      </c>
      <c r="B20">
        <v>0</v>
      </c>
      <c r="C20">
        <v>1023</v>
      </c>
      <c r="D20" t="s">
        <v>57</v>
      </c>
    </row>
    <row r="21" spans="1:4" x14ac:dyDescent="0.2">
      <c r="A21" t="s">
        <v>56</v>
      </c>
      <c r="B21">
        <v>4</v>
      </c>
      <c r="C21">
        <v>30</v>
      </c>
      <c r="D21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Tabelle</vt:lpstr>
      <vt:lpstr>Defintions</vt:lpstr>
      <vt:lpstr>Waveform</vt:lpstr>
      <vt:lpstr>Waveform 1</vt:lpstr>
      <vt:lpstr>Waveform 2</vt:lpstr>
      <vt:lpstr>Waveform 3</vt:lpstr>
      <vt:lpstr>Waveform 4</vt:lpstr>
      <vt:lpstr>DAC_LIMIT_MAX</vt:lpstr>
      <vt:lpstr>DAC_LIMIT_MIN</vt:lpstr>
      <vt:lpstr>GAIN_POWERAMP</vt:lpstr>
      <vt:lpstr>GAIN_PREAMP</vt:lpstr>
      <vt:lpstr>HW_LIMIT_MAX</vt:lpstr>
      <vt:lpstr>HW_LIMIT_MIN</vt:lpstr>
      <vt:lpstr>OFFSET_AMP</vt:lpstr>
      <vt:lpstr>PH_FIRE_VOLTAGE_AMPLITUDE</vt:lpstr>
      <vt:lpstr>PH_FIRE_VOLTAGE_OFFSET</vt:lpstr>
    </vt:vector>
  </TitlesOfParts>
  <Company>Polytype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Bovet Michel</dc:creator>
  <cp:lastModifiedBy>Fässler Florian</cp:lastModifiedBy>
  <cp:lastPrinted>2012-02-06T10:02:26Z</cp:lastPrinted>
  <dcterms:created xsi:type="dcterms:W3CDTF">2012-02-03T12:54:41Z</dcterms:created>
  <dcterms:modified xsi:type="dcterms:W3CDTF">2017-08-28T14:09:11Z</dcterms:modified>
</cp:coreProperties>
</file>