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Projekte\DP-ST-1026 WEU 2 Demo\aPLC_WEU\_Plc\ACTUAL\02_Plc\DP-ST-1026-WEU2\WEU2\PlcProject\Configuration\StartUp\"/>
    </mc:Choice>
  </mc:AlternateContent>
  <bookViews>
    <workbookView xWindow="0" yWindow="0" windowWidth="28800" windowHeight="14250" tabRatio="607" activeTab="1"/>
  </bookViews>
  <sheets>
    <sheet name="StartUpXML" sheetId="8" r:id="rId1"/>
    <sheet name="DesignSheet" sheetId="7" r:id="rId2"/>
    <sheet name="translations" sheetId="10" r:id="rId3"/>
    <sheet name="Voltage Scaling" sheetId="11" r:id="rId4"/>
    <sheet name="Ref Voltages" sheetId="13" r:id="rId5"/>
    <sheet name="Revnote" sheetId="4" r:id="rId6"/>
    <sheet name="Help" sheetId="12" r:id="rId7"/>
  </sheets>
  <calcPr calcId="162913"/>
</workbook>
</file>

<file path=xl/calcChain.xml><?xml version="1.0" encoding="utf-8"?>
<calcChain xmlns="http://schemas.openxmlformats.org/spreadsheetml/2006/main">
  <c r="F14" i="10" l="1"/>
  <c r="F13" i="10"/>
  <c r="F12" i="10"/>
  <c r="F11" i="10"/>
  <c r="F10" i="10"/>
  <c r="F9" i="10"/>
  <c r="F7" i="10"/>
  <c r="F8" i="10"/>
  <c r="G14" i="10"/>
  <c r="G13" i="10"/>
  <c r="G12" i="10"/>
  <c r="G11" i="10"/>
  <c r="P13" i="12" l="1"/>
  <c r="P17" i="12" s="1"/>
  <c r="P12" i="12"/>
  <c r="P16" i="12" s="1"/>
  <c r="P11" i="12"/>
  <c r="P15" i="12" s="1"/>
  <c r="P10" i="12"/>
  <c r="P14" i="12" s="1"/>
  <c r="P8" i="12" l="1"/>
  <c r="AB14" i="10" l="1"/>
  <c r="AB13" i="10"/>
  <c r="AB12" i="10"/>
  <c r="AB11" i="10"/>
  <c r="T14" i="10"/>
  <c r="T13" i="10"/>
  <c r="T12" i="10"/>
  <c r="T11" i="10"/>
  <c r="L14" i="10"/>
  <c r="L13" i="10"/>
  <c r="L12" i="10"/>
  <c r="L11" i="10"/>
  <c r="AB10" i="10"/>
  <c r="AB9" i="10"/>
  <c r="T10" i="10"/>
  <c r="T9" i="10"/>
  <c r="L10" i="10"/>
  <c r="L9" i="10"/>
  <c r="D3" i="7" l="1"/>
  <c r="E3" i="7"/>
  <c r="D4" i="7"/>
  <c r="E4" i="7"/>
  <c r="D5" i="7"/>
  <c r="E5" i="7"/>
  <c r="D6" i="7"/>
  <c r="D7" i="7"/>
  <c r="D8" i="7"/>
  <c r="E8" i="7"/>
  <c r="D9" i="7"/>
  <c r="D10" i="7"/>
  <c r="D11" i="7"/>
  <c r="D12" i="7"/>
  <c r="E12" i="7"/>
  <c r="D13" i="7"/>
  <c r="E13" i="7"/>
  <c r="D14" i="7"/>
  <c r="E14" i="7"/>
  <c r="D15" i="7"/>
  <c r="D16" i="7"/>
  <c r="D17" i="7"/>
  <c r="E17" i="7"/>
  <c r="D18" i="7"/>
  <c r="E18" i="7"/>
  <c r="D19" i="7"/>
  <c r="E19" i="7"/>
  <c r="D20" i="7"/>
  <c r="E20" i="7"/>
  <c r="D21" i="7"/>
  <c r="E21" i="7"/>
  <c r="D22" i="7"/>
  <c r="E22" i="7"/>
  <c r="D23" i="7"/>
  <c r="E23" i="7"/>
  <c r="D24" i="7"/>
  <c r="E24" i="7"/>
  <c r="D25" i="7"/>
  <c r="E25" i="7"/>
  <c r="D26" i="7"/>
  <c r="E26" i="7"/>
  <c r="D27" i="7"/>
  <c r="E27" i="7"/>
  <c r="D28" i="7"/>
  <c r="D29" i="7"/>
  <c r="D30" i="7"/>
  <c r="D31" i="7"/>
  <c r="E31" i="7"/>
  <c r="D32" i="7"/>
  <c r="D33" i="7"/>
  <c r="D34" i="7"/>
  <c r="D35" i="7"/>
  <c r="D36" i="7"/>
  <c r="D37" i="7"/>
  <c r="D38" i="7"/>
  <c r="D39" i="7"/>
  <c r="D40" i="7"/>
  <c r="E40" i="7"/>
  <c r="D41" i="7"/>
  <c r="E41" i="7"/>
  <c r="D42" i="7"/>
  <c r="E42" i="7"/>
  <c r="D43" i="7"/>
  <c r="E43" i="7"/>
  <c r="D44" i="7"/>
  <c r="E44" i="7"/>
  <c r="D45" i="7"/>
  <c r="E45" i="7"/>
  <c r="D46" i="7"/>
  <c r="E46" i="7"/>
  <c r="D47" i="7"/>
  <c r="E47" i="7"/>
  <c r="D48" i="7"/>
  <c r="E48" i="7"/>
  <c r="D49" i="7"/>
  <c r="E49" i="7"/>
  <c r="D50" i="7"/>
  <c r="E50" i="7"/>
  <c r="D51" i="7"/>
  <c r="E51" i="7"/>
  <c r="D52" i="7"/>
  <c r="E52" i="7"/>
  <c r="D53" i="7"/>
  <c r="E53" i="7"/>
  <c r="D54" i="7"/>
  <c r="E54" i="7"/>
  <c r="D55" i="7"/>
  <c r="D56" i="7"/>
  <c r="D57" i="7"/>
  <c r="D58" i="7"/>
  <c r="E58" i="7"/>
  <c r="D59" i="7"/>
  <c r="D60" i="7"/>
  <c r="D61" i="7"/>
  <c r="D62" i="7"/>
  <c r="D63" i="7"/>
  <c r="D64" i="7"/>
  <c r="D65" i="7"/>
  <c r="D66" i="7"/>
  <c r="D67" i="7"/>
  <c r="E67" i="7"/>
  <c r="D68" i="7"/>
  <c r="E68" i="7"/>
  <c r="D69" i="7"/>
  <c r="E69" i="7"/>
  <c r="D70" i="7"/>
  <c r="E70" i="7"/>
  <c r="D71" i="7"/>
  <c r="E71" i="7"/>
  <c r="D72" i="7"/>
  <c r="E72" i="7"/>
  <c r="D73" i="7"/>
  <c r="E73" i="7"/>
  <c r="D74" i="7"/>
  <c r="E74" i="7"/>
  <c r="D75" i="7"/>
  <c r="E75" i="7"/>
  <c r="D76" i="7"/>
  <c r="E76" i="7"/>
  <c r="D77" i="7"/>
  <c r="E77" i="7"/>
  <c r="D78" i="7"/>
  <c r="E78" i="7"/>
  <c r="D79" i="7"/>
  <c r="E79" i="7"/>
  <c r="D80" i="7"/>
  <c r="E80" i="7"/>
  <c r="D81" i="7"/>
  <c r="E81" i="7"/>
  <c r="D82" i="7"/>
  <c r="D83" i="7"/>
  <c r="D84" i="7"/>
  <c r="D85" i="7"/>
  <c r="E85" i="7"/>
  <c r="D86" i="7"/>
  <c r="D87" i="7"/>
  <c r="D88" i="7"/>
  <c r="D89" i="7"/>
  <c r="D90" i="7"/>
  <c r="D91" i="7"/>
  <c r="D92" i="7"/>
  <c r="D93" i="7"/>
  <c r="D94" i="7"/>
  <c r="E94" i="7"/>
  <c r="D95" i="7"/>
  <c r="E95" i="7"/>
  <c r="D96" i="7"/>
  <c r="E96" i="7"/>
  <c r="D97" i="7"/>
  <c r="E97" i="7"/>
  <c r="D98" i="7"/>
  <c r="E98" i="7"/>
  <c r="D99" i="7"/>
  <c r="E99" i="7"/>
  <c r="D100" i="7"/>
  <c r="E100" i="7"/>
  <c r="D101" i="7"/>
  <c r="E101" i="7"/>
  <c r="D102" i="7"/>
  <c r="E102" i="7"/>
  <c r="D103" i="7"/>
  <c r="E103" i="7"/>
  <c r="D104" i="7"/>
  <c r="E104" i="7"/>
  <c r="D105" i="7"/>
  <c r="E105" i="7"/>
  <c r="D106" i="7"/>
  <c r="E106" i="7"/>
  <c r="D107" i="7"/>
  <c r="E107" i="7"/>
  <c r="D108" i="7"/>
  <c r="E108" i="7"/>
  <c r="D109" i="7"/>
  <c r="D110" i="7"/>
  <c r="D111" i="7"/>
  <c r="D112" i="7"/>
  <c r="E112" i="7"/>
  <c r="D113" i="7"/>
  <c r="D114" i="7"/>
  <c r="D115" i="7"/>
  <c r="D116" i="7"/>
  <c r="D117" i="7"/>
  <c r="D118" i="7"/>
  <c r="D119" i="7"/>
  <c r="D120" i="7"/>
  <c r="D121" i="7"/>
  <c r="E121" i="7"/>
  <c r="D122" i="7"/>
  <c r="E122" i="7"/>
  <c r="D123" i="7"/>
  <c r="E123" i="7"/>
  <c r="D124" i="7"/>
  <c r="E124" i="7"/>
  <c r="D125" i="7"/>
  <c r="E125" i="7"/>
  <c r="D126" i="7"/>
  <c r="E126" i="7"/>
  <c r="D127" i="7"/>
  <c r="E127" i="7"/>
  <c r="D128" i="7"/>
  <c r="E128" i="7"/>
  <c r="D129" i="7"/>
  <c r="E129" i="7"/>
  <c r="D130" i="7"/>
  <c r="E130" i="7"/>
  <c r="D131" i="7"/>
  <c r="E131" i="7"/>
  <c r="D132" i="7"/>
  <c r="E132" i="7"/>
  <c r="A3" i="8" l="1"/>
  <c r="B3" i="8"/>
  <c r="C3" i="8"/>
  <c r="D3" i="8"/>
  <c r="E3" i="8"/>
  <c r="F3" i="8"/>
  <c r="G3" i="8"/>
  <c r="A4" i="8"/>
  <c r="B4" i="8"/>
  <c r="C4" i="8"/>
  <c r="D4" i="8"/>
  <c r="E4" i="8"/>
  <c r="F4" i="8"/>
  <c r="G4" i="8"/>
  <c r="A5" i="8"/>
  <c r="B5" i="8"/>
  <c r="C5" i="8"/>
  <c r="D5" i="8"/>
  <c r="E5" i="8"/>
  <c r="F5" i="8"/>
  <c r="G5" i="8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G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G12" i="8"/>
  <c r="A13" i="8"/>
  <c r="B13" i="8"/>
  <c r="C13" i="8"/>
  <c r="D13" i="8"/>
  <c r="E13" i="8"/>
  <c r="F13" i="8"/>
  <c r="A14" i="8"/>
  <c r="B14" i="8"/>
  <c r="C14" i="8"/>
  <c r="D14" i="8"/>
  <c r="E14" i="8"/>
  <c r="F14" i="8"/>
  <c r="G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G17" i="8"/>
  <c r="A18" i="8"/>
  <c r="B18" i="8"/>
  <c r="C18" i="8"/>
  <c r="D18" i="8"/>
  <c r="E18" i="8"/>
  <c r="F18" i="8"/>
  <c r="G18" i="8"/>
  <c r="A19" i="8"/>
  <c r="B19" i="8"/>
  <c r="C19" i="8"/>
  <c r="D19" i="8"/>
  <c r="E19" i="8"/>
  <c r="F19" i="8"/>
  <c r="G19" i="8"/>
  <c r="A20" i="8"/>
  <c r="B20" i="8"/>
  <c r="C20" i="8"/>
  <c r="D20" i="8"/>
  <c r="E20" i="8"/>
  <c r="F20" i="8"/>
  <c r="G20" i="8"/>
  <c r="A21" i="8"/>
  <c r="B21" i="8"/>
  <c r="C21" i="8"/>
  <c r="D21" i="8"/>
  <c r="E21" i="8"/>
  <c r="F21" i="8"/>
  <c r="G21" i="8"/>
  <c r="A22" i="8"/>
  <c r="B22" i="8"/>
  <c r="C22" i="8"/>
  <c r="D22" i="8"/>
  <c r="E22" i="8"/>
  <c r="F22" i="8"/>
  <c r="G22" i="8"/>
  <c r="A23" i="8"/>
  <c r="B23" i="8"/>
  <c r="C23" i="8"/>
  <c r="D23" i="8"/>
  <c r="E23" i="8"/>
  <c r="F23" i="8"/>
  <c r="G23" i="8"/>
  <c r="A24" i="8"/>
  <c r="B24" i="8"/>
  <c r="C24" i="8"/>
  <c r="D24" i="8"/>
  <c r="E24" i="8"/>
  <c r="F24" i="8"/>
  <c r="G24" i="8"/>
  <c r="A25" i="8"/>
  <c r="B25" i="8"/>
  <c r="C25" i="8"/>
  <c r="D25" i="8"/>
  <c r="E25" i="8"/>
  <c r="F25" i="8"/>
  <c r="G25" i="8"/>
  <c r="A26" i="8"/>
  <c r="B26" i="8"/>
  <c r="C26" i="8"/>
  <c r="D26" i="8"/>
  <c r="E26" i="8"/>
  <c r="F26" i="8"/>
  <c r="G26" i="8"/>
  <c r="A27" i="8"/>
  <c r="B27" i="8"/>
  <c r="C27" i="8"/>
  <c r="D27" i="8"/>
  <c r="E27" i="8"/>
  <c r="F27" i="8"/>
  <c r="G27" i="8"/>
  <c r="A28" i="8"/>
  <c r="B28" i="8"/>
  <c r="C28" i="8"/>
  <c r="D28" i="8"/>
  <c r="F28" i="8"/>
  <c r="A29" i="8"/>
  <c r="B29" i="8"/>
  <c r="C29" i="8"/>
  <c r="D29" i="8"/>
  <c r="F29" i="8"/>
  <c r="A30" i="8"/>
  <c r="B30" i="8"/>
  <c r="C30" i="8"/>
  <c r="D30" i="8"/>
  <c r="F30" i="8"/>
  <c r="A31" i="8"/>
  <c r="B31" i="8"/>
  <c r="C31" i="8"/>
  <c r="D31" i="8"/>
  <c r="E31" i="8"/>
  <c r="F31" i="8"/>
  <c r="G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G40" i="8"/>
  <c r="A41" i="8"/>
  <c r="B41" i="8"/>
  <c r="C41" i="8"/>
  <c r="D41" i="8"/>
  <c r="E41" i="8"/>
  <c r="F41" i="8"/>
  <c r="G41" i="8"/>
  <c r="A42" i="8"/>
  <c r="B42" i="8"/>
  <c r="C42" i="8"/>
  <c r="D42" i="8"/>
  <c r="E42" i="8"/>
  <c r="F42" i="8"/>
  <c r="G42" i="8"/>
  <c r="A43" i="8"/>
  <c r="B43" i="8"/>
  <c r="C43" i="8"/>
  <c r="D43" i="8"/>
  <c r="E43" i="8"/>
  <c r="F43" i="8"/>
  <c r="G43" i="8"/>
  <c r="A44" i="8"/>
  <c r="B44" i="8"/>
  <c r="C44" i="8"/>
  <c r="D44" i="8"/>
  <c r="E44" i="8"/>
  <c r="F44" i="8"/>
  <c r="G44" i="8"/>
  <c r="A45" i="8"/>
  <c r="B45" i="8"/>
  <c r="C45" i="8"/>
  <c r="D45" i="8"/>
  <c r="E45" i="8"/>
  <c r="F45" i="8"/>
  <c r="G45" i="8"/>
  <c r="A46" i="8"/>
  <c r="B46" i="8"/>
  <c r="C46" i="8"/>
  <c r="D46" i="8"/>
  <c r="E46" i="8"/>
  <c r="F46" i="8"/>
  <c r="G46" i="8"/>
  <c r="A47" i="8"/>
  <c r="B47" i="8"/>
  <c r="C47" i="8"/>
  <c r="D47" i="8"/>
  <c r="E47" i="8"/>
  <c r="F47" i="8"/>
  <c r="G47" i="8"/>
  <c r="A48" i="8"/>
  <c r="B48" i="8"/>
  <c r="C48" i="8"/>
  <c r="D48" i="8"/>
  <c r="E48" i="8"/>
  <c r="F48" i="8"/>
  <c r="G48" i="8"/>
  <c r="A49" i="8"/>
  <c r="B49" i="8"/>
  <c r="C49" i="8"/>
  <c r="D49" i="8"/>
  <c r="E49" i="8"/>
  <c r="F49" i="8"/>
  <c r="G49" i="8"/>
  <c r="A50" i="8"/>
  <c r="B50" i="8"/>
  <c r="C50" i="8"/>
  <c r="D50" i="8"/>
  <c r="E50" i="8"/>
  <c r="F50" i="8"/>
  <c r="G50" i="8"/>
  <c r="A51" i="8"/>
  <c r="B51" i="8"/>
  <c r="C51" i="8"/>
  <c r="D51" i="8"/>
  <c r="E51" i="8"/>
  <c r="F51" i="8"/>
  <c r="G51" i="8"/>
  <c r="A52" i="8"/>
  <c r="B52" i="8"/>
  <c r="C52" i="8"/>
  <c r="D52" i="8"/>
  <c r="E52" i="8"/>
  <c r="F52" i="8"/>
  <c r="G52" i="8"/>
  <c r="A53" i="8"/>
  <c r="B53" i="8"/>
  <c r="C53" i="8"/>
  <c r="D53" i="8"/>
  <c r="E53" i="8"/>
  <c r="F53" i="8"/>
  <c r="G53" i="8"/>
  <c r="A54" i="8"/>
  <c r="B54" i="8"/>
  <c r="C54" i="8"/>
  <c r="D54" i="8"/>
  <c r="F54" i="8"/>
  <c r="G54" i="8"/>
  <c r="A55" i="8"/>
  <c r="B55" i="8"/>
  <c r="C55" i="8"/>
  <c r="D55" i="8"/>
  <c r="F55" i="8"/>
  <c r="A56" i="8"/>
  <c r="B56" i="8"/>
  <c r="C56" i="8"/>
  <c r="D56" i="8"/>
  <c r="F56" i="8"/>
  <c r="A57" i="8"/>
  <c r="B57" i="8"/>
  <c r="C57" i="8"/>
  <c r="D57" i="8"/>
  <c r="F57" i="8"/>
  <c r="A58" i="8"/>
  <c r="B58" i="8"/>
  <c r="C58" i="8"/>
  <c r="D58" i="8"/>
  <c r="E58" i="8"/>
  <c r="F58" i="8"/>
  <c r="G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G67" i="8"/>
  <c r="A68" i="8"/>
  <c r="B68" i="8"/>
  <c r="C68" i="8"/>
  <c r="D68" i="8"/>
  <c r="E68" i="8"/>
  <c r="F68" i="8"/>
  <c r="G68" i="8"/>
  <c r="A69" i="8"/>
  <c r="B69" i="8"/>
  <c r="C69" i="8"/>
  <c r="D69" i="8"/>
  <c r="E69" i="8"/>
  <c r="F69" i="8"/>
  <c r="G69" i="8"/>
  <c r="A70" i="8"/>
  <c r="B70" i="8"/>
  <c r="C70" i="8"/>
  <c r="D70" i="8"/>
  <c r="E70" i="8"/>
  <c r="F70" i="8"/>
  <c r="G70" i="8"/>
  <c r="A71" i="8"/>
  <c r="B71" i="8"/>
  <c r="C71" i="8"/>
  <c r="D71" i="8"/>
  <c r="E71" i="8"/>
  <c r="F71" i="8"/>
  <c r="G71" i="8"/>
  <c r="A72" i="8"/>
  <c r="B72" i="8"/>
  <c r="C72" i="8"/>
  <c r="D72" i="8"/>
  <c r="E72" i="8"/>
  <c r="F72" i="8"/>
  <c r="G72" i="8"/>
  <c r="A73" i="8"/>
  <c r="B73" i="8"/>
  <c r="C73" i="8"/>
  <c r="D73" i="8"/>
  <c r="E73" i="8"/>
  <c r="F73" i="8"/>
  <c r="G73" i="8"/>
  <c r="A74" i="8"/>
  <c r="B74" i="8"/>
  <c r="C74" i="8"/>
  <c r="D74" i="8"/>
  <c r="E74" i="8"/>
  <c r="F74" i="8"/>
  <c r="G74" i="8"/>
  <c r="A75" i="8"/>
  <c r="B75" i="8"/>
  <c r="C75" i="8"/>
  <c r="D75" i="8"/>
  <c r="E75" i="8"/>
  <c r="F75" i="8"/>
  <c r="G75" i="8"/>
  <c r="A76" i="8"/>
  <c r="B76" i="8"/>
  <c r="C76" i="8"/>
  <c r="D76" i="8"/>
  <c r="E76" i="8"/>
  <c r="F76" i="8"/>
  <c r="G76" i="8"/>
  <c r="A77" i="8"/>
  <c r="B77" i="8"/>
  <c r="C77" i="8"/>
  <c r="D77" i="8"/>
  <c r="E77" i="8"/>
  <c r="F77" i="8"/>
  <c r="G77" i="8"/>
  <c r="A78" i="8"/>
  <c r="B78" i="8"/>
  <c r="C78" i="8"/>
  <c r="D78" i="8"/>
  <c r="E78" i="8"/>
  <c r="F78" i="8"/>
  <c r="G78" i="8"/>
  <c r="A79" i="8"/>
  <c r="B79" i="8"/>
  <c r="C79" i="8"/>
  <c r="D79" i="8"/>
  <c r="E79" i="8"/>
  <c r="F79" i="8"/>
  <c r="G79" i="8"/>
  <c r="A80" i="8"/>
  <c r="B80" i="8"/>
  <c r="C80" i="8"/>
  <c r="D80" i="8"/>
  <c r="E80" i="8"/>
  <c r="F80" i="8"/>
  <c r="G80" i="8"/>
  <c r="A81" i="8"/>
  <c r="B81" i="8"/>
  <c r="C81" i="8"/>
  <c r="D81" i="8"/>
  <c r="E81" i="8"/>
  <c r="F81" i="8"/>
  <c r="G81" i="8"/>
  <c r="A82" i="8"/>
  <c r="B82" i="8"/>
  <c r="C82" i="8"/>
  <c r="D82" i="8"/>
  <c r="F82" i="8"/>
  <c r="A83" i="8"/>
  <c r="B83" i="8"/>
  <c r="C83" i="8"/>
  <c r="D83" i="8"/>
  <c r="F83" i="8"/>
  <c r="A84" i="8"/>
  <c r="B84" i="8"/>
  <c r="C84" i="8"/>
  <c r="D84" i="8"/>
  <c r="F84" i="8"/>
  <c r="A85" i="8"/>
  <c r="B85" i="8"/>
  <c r="C85" i="8"/>
  <c r="D85" i="8"/>
  <c r="E85" i="8"/>
  <c r="F85" i="8"/>
  <c r="G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G94" i="8"/>
  <c r="A95" i="8"/>
  <c r="B95" i="8"/>
  <c r="C95" i="8"/>
  <c r="D95" i="8"/>
  <c r="E95" i="8"/>
  <c r="F95" i="8"/>
  <c r="G95" i="8"/>
  <c r="A96" i="8"/>
  <c r="B96" i="8"/>
  <c r="C96" i="8"/>
  <c r="D96" i="8"/>
  <c r="E96" i="8"/>
  <c r="F96" i="8"/>
  <c r="G96" i="8"/>
  <c r="A97" i="8"/>
  <c r="B97" i="8"/>
  <c r="C97" i="8"/>
  <c r="D97" i="8"/>
  <c r="E97" i="8"/>
  <c r="F97" i="8"/>
  <c r="G97" i="8"/>
  <c r="A98" i="8"/>
  <c r="B98" i="8"/>
  <c r="C98" i="8"/>
  <c r="D98" i="8"/>
  <c r="E98" i="8"/>
  <c r="F98" i="8"/>
  <c r="G98" i="8"/>
  <c r="A99" i="8"/>
  <c r="B99" i="8"/>
  <c r="C99" i="8"/>
  <c r="D99" i="8"/>
  <c r="E99" i="8"/>
  <c r="F99" i="8"/>
  <c r="G99" i="8"/>
  <c r="A100" i="8"/>
  <c r="B100" i="8"/>
  <c r="C100" i="8"/>
  <c r="D100" i="8"/>
  <c r="E100" i="8"/>
  <c r="F100" i="8"/>
  <c r="G100" i="8"/>
  <c r="A101" i="8"/>
  <c r="B101" i="8"/>
  <c r="C101" i="8"/>
  <c r="D101" i="8"/>
  <c r="E101" i="8"/>
  <c r="F101" i="8"/>
  <c r="G101" i="8"/>
  <c r="A102" i="8"/>
  <c r="B102" i="8"/>
  <c r="C102" i="8"/>
  <c r="D102" i="8"/>
  <c r="E102" i="8"/>
  <c r="F102" i="8"/>
  <c r="G102" i="8"/>
  <c r="A103" i="8"/>
  <c r="B103" i="8"/>
  <c r="C103" i="8"/>
  <c r="D103" i="8"/>
  <c r="E103" i="8"/>
  <c r="F103" i="8"/>
  <c r="G103" i="8"/>
  <c r="A104" i="8"/>
  <c r="B104" i="8"/>
  <c r="C104" i="8"/>
  <c r="D104" i="8"/>
  <c r="E104" i="8"/>
  <c r="F104" i="8"/>
  <c r="G104" i="8"/>
  <c r="A105" i="8"/>
  <c r="B105" i="8"/>
  <c r="C105" i="8"/>
  <c r="D105" i="8"/>
  <c r="E105" i="8"/>
  <c r="F105" i="8"/>
  <c r="G105" i="8"/>
  <c r="A106" i="8"/>
  <c r="B106" i="8"/>
  <c r="C106" i="8"/>
  <c r="D106" i="8"/>
  <c r="E106" i="8"/>
  <c r="F106" i="8"/>
  <c r="G106" i="8"/>
  <c r="A107" i="8"/>
  <c r="B107" i="8"/>
  <c r="C107" i="8"/>
  <c r="D107" i="8"/>
  <c r="E107" i="8"/>
  <c r="F107" i="8"/>
  <c r="G107" i="8"/>
  <c r="A108" i="8"/>
  <c r="B108" i="8"/>
  <c r="C108" i="8"/>
  <c r="D108" i="8"/>
  <c r="E108" i="8"/>
  <c r="F108" i="8"/>
  <c r="G108" i="8"/>
  <c r="A109" i="8"/>
  <c r="B109" i="8"/>
  <c r="C109" i="8"/>
  <c r="D109" i="8"/>
  <c r="F109" i="8"/>
  <c r="A110" i="8"/>
  <c r="B110" i="8"/>
  <c r="C110" i="8"/>
  <c r="D110" i="8"/>
  <c r="F110" i="8"/>
  <c r="A111" i="8"/>
  <c r="B111" i="8"/>
  <c r="C111" i="8"/>
  <c r="D111" i="8"/>
  <c r="F111" i="8"/>
  <c r="A112" i="8"/>
  <c r="B112" i="8"/>
  <c r="C112" i="8"/>
  <c r="D112" i="8"/>
  <c r="E112" i="8"/>
  <c r="F112" i="8"/>
  <c r="G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G121" i="8"/>
  <c r="A122" i="8"/>
  <c r="B122" i="8"/>
  <c r="C122" i="8"/>
  <c r="D122" i="8"/>
  <c r="E122" i="8"/>
  <c r="F122" i="8"/>
  <c r="G122" i="8"/>
  <c r="A123" i="8"/>
  <c r="B123" i="8"/>
  <c r="C123" i="8"/>
  <c r="D123" i="8"/>
  <c r="E123" i="8"/>
  <c r="F123" i="8"/>
  <c r="G123" i="8"/>
  <c r="A124" i="8"/>
  <c r="B124" i="8"/>
  <c r="C124" i="8"/>
  <c r="D124" i="8"/>
  <c r="E124" i="8"/>
  <c r="F124" i="8"/>
  <c r="G124" i="8"/>
  <c r="A125" i="8"/>
  <c r="B125" i="8"/>
  <c r="C125" i="8"/>
  <c r="D125" i="8"/>
  <c r="E125" i="8"/>
  <c r="F125" i="8"/>
  <c r="G125" i="8"/>
  <c r="A126" i="8"/>
  <c r="B126" i="8"/>
  <c r="C126" i="8"/>
  <c r="D126" i="8"/>
  <c r="E126" i="8"/>
  <c r="F126" i="8"/>
  <c r="G126" i="8"/>
  <c r="A127" i="8"/>
  <c r="B127" i="8"/>
  <c r="C127" i="8"/>
  <c r="D127" i="8"/>
  <c r="E127" i="8"/>
  <c r="F127" i="8"/>
  <c r="G127" i="8"/>
  <c r="A128" i="8"/>
  <c r="B128" i="8"/>
  <c r="C128" i="8"/>
  <c r="D128" i="8"/>
  <c r="E128" i="8"/>
  <c r="F128" i="8"/>
  <c r="G128" i="8"/>
  <c r="A129" i="8"/>
  <c r="B129" i="8"/>
  <c r="C129" i="8"/>
  <c r="D129" i="8"/>
  <c r="E129" i="8"/>
  <c r="F129" i="8"/>
  <c r="G129" i="8"/>
  <c r="A130" i="8"/>
  <c r="B130" i="8"/>
  <c r="C130" i="8"/>
  <c r="D130" i="8"/>
  <c r="E130" i="8"/>
  <c r="F130" i="8"/>
  <c r="G130" i="8"/>
  <c r="A131" i="8"/>
  <c r="B131" i="8"/>
  <c r="C131" i="8"/>
  <c r="D131" i="8"/>
  <c r="E131" i="8"/>
  <c r="F131" i="8"/>
  <c r="G131" i="8"/>
  <c r="A132" i="8"/>
  <c r="B132" i="8"/>
  <c r="C132" i="8"/>
  <c r="D132" i="8"/>
  <c r="E132" i="8"/>
  <c r="F132" i="8"/>
  <c r="G132" i="8"/>
  <c r="Q112" i="7"/>
  <c r="K112" i="7" s="1"/>
  <c r="M112" i="7" s="1"/>
  <c r="Q85" i="7"/>
  <c r="K85" i="7" s="1"/>
  <c r="M85" i="7" s="1"/>
  <c r="Q58" i="7"/>
  <c r="K58" i="7" s="1"/>
  <c r="M58" i="7" s="1"/>
  <c r="K67" i="7"/>
  <c r="M67" i="7" s="1"/>
  <c r="Q68" i="7"/>
  <c r="K68" i="7" s="1"/>
  <c r="M68" i="7" s="1"/>
  <c r="Q31" i="7"/>
  <c r="K31" i="7" s="1"/>
  <c r="M31" i="7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AG5" i="10" s="1"/>
  <c r="AH5" i="10" s="1"/>
  <c r="AI5" i="10" s="1"/>
  <c r="AJ5" i="10" s="1"/>
  <c r="AK5" i="10" s="1"/>
  <c r="AL5" i="10" s="1"/>
  <c r="AM5" i="10" s="1"/>
  <c r="AN5" i="10" s="1"/>
  <c r="AO5" i="10" s="1"/>
  <c r="AP5" i="10" s="1"/>
  <c r="AQ5" i="10" s="1"/>
  <c r="AR5" i="10" s="1"/>
  <c r="AS5" i="10" s="1"/>
  <c r="Q24" i="7"/>
  <c r="K24" i="7" s="1"/>
  <c r="M24" i="7" s="1"/>
  <c r="Q23" i="7"/>
  <c r="K23" i="7" s="1"/>
  <c r="M23" i="7" s="1"/>
  <c r="Q22" i="7"/>
  <c r="K22" i="7" s="1"/>
  <c r="M22" i="7" s="1"/>
  <c r="Q21" i="7"/>
  <c r="K21" i="7" s="1"/>
  <c r="M21" i="7" s="1"/>
  <c r="K19" i="7"/>
  <c r="K18" i="7"/>
  <c r="J2" i="7" l="1"/>
  <c r="G10" i="10" l="1"/>
  <c r="G9" i="10"/>
  <c r="G8" i="10"/>
  <c r="G7" i="10"/>
  <c r="AR35" i="13" l="1"/>
  <c r="AN35" i="13"/>
  <c r="AJ35" i="13"/>
  <c r="AF35" i="13"/>
  <c r="AB35" i="13"/>
  <c r="T35" i="13"/>
  <c r="P35" i="13"/>
  <c r="L35" i="13"/>
  <c r="AR34" i="13"/>
  <c r="AN34" i="13"/>
  <c r="AJ34" i="13"/>
  <c r="AF34" i="13"/>
  <c r="AB34" i="13"/>
  <c r="T34" i="13"/>
  <c r="P34" i="13"/>
  <c r="L34" i="13"/>
  <c r="AR33" i="13"/>
  <c r="AN33" i="13"/>
  <c r="AJ33" i="13"/>
  <c r="AF33" i="13"/>
  <c r="AB33" i="13"/>
  <c r="T33" i="13"/>
  <c r="P33" i="13"/>
  <c r="L33" i="13"/>
  <c r="AR32" i="13"/>
  <c r="AN32" i="13"/>
  <c r="AJ32" i="13"/>
  <c r="AF32" i="13"/>
  <c r="AB32" i="13"/>
  <c r="T32" i="13"/>
  <c r="P32" i="13"/>
  <c r="L32" i="13"/>
  <c r="AP28" i="13"/>
  <c r="AL28" i="13"/>
  <c r="AH28" i="13"/>
  <c r="AD28" i="13"/>
  <c r="Z28" i="13"/>
  <c r="V28" i="13"/>
  <c r="R28" i="13"/>
  <c r="N28" i="13"/>
  <c r="J28" i="13"/>
  <c r="AP27" i="13"/>
  <c r="AL27" i="13"/>
  <c r="AH27" i="13"/>
  <c r="AD27" i="13"/>
  <c r="Z27" i="13"/>
  <c r="V27" i="13"/>
  <c r="R27" i="13"/>
  <c r="N27" i="13"/>
  <c r="J27" i="13"/>
  <c r="AP26" i="13"/>
  <c r="AL26" i="13"/>
  <c r="AH26" i="13"/>
  <c r="AD26" i="13"/>
  <c r="Z26" i="13"/>
  <c r="V26" i="13"/>
  <c r="R26" i="13"/>
  <c r="N26" i="13"/>
  <c r="J26" i="13"/>
  <c r="AP25" i="13"/>
  <c r="AL25" i="13"/>
  <c r="AH25" i="13"/>
  <c r="AD25" i="13"/>
  <c r="Z25" i="13"/>
  <c r="V25" i="13"/>
  <c r="R25" i="13"/>
  <c r="N25" i="13"/>
  <c r="J25" i="13"/>
  <c r="H35" i="13" l="1"/>
  <c r="H34" i="13"/>
  <c r="H33" i="13"/>
  <c r="H32" i="13"/>
  <c r="F28" i="13"/>
  <c r="F27" i="13"/>
  <c r="F26" i="13"/>
  <c r="F25" i="13"/>
  <c r="C78" i="11" l="1"/>
  <c r="B78" i="11" s="1"/>
  <c r="Q132" i="7"/>
  <c r="K132" i="7" s="1"/>
  <c r="Q131" i="7"/>
  <c r="K131" i="7" s="1"/>
  <c r="Q130" i="7"/>
  <c r="K130" i="7" s="1"/>
  <c r="M130" i="7" s="1"/>
  <c r="Q129" i="7"/>
  <c r="K129" i="7" s="1"/>
  <c r="M129" i="7" s="1"/>
  <c r="Q128" i="7"/>
  <c r="K128" i="7" s="1"/>
  <c r="Q127" i="7"/>
  <c r="K127" i="7" s="1"/>
  <c r="Q126" i="7"/>
  <c r="K126" i="7" s="1"/>
  <c r="M126" i="7" s="1"/>
  <c r="Q125" i="7"/>
  <c r="K125" i="7" s="1"/>
  <c r="M125" i="7" s="1"/>
  <c r="Q105" i="7"/>
  <c r="K105" i="7" s="1"/>
  <c r="M105" i="7" s="1"/>
  <c r="Q104" i="7"/>
  <c r="K104" i="7" s="1"/>
  <c r="M104" i="7" s="1"/>
  <c r="Q103" i="7"/>
  <c r="K103" i="7" s="1"/>
  <c r="M103" i="7" s="1"/>
  <c r="Q102" i="7"/>
  <c r="K102" i="7" s="1"/>
  <c r="M102" i="7" s="1"/>
  <c r="Q101" i="7"/>
  <c r="K101" i="7" s="1"/>
  <c r="M101" i="7" s="1"/>
  <c r="Q100" i="7"/>
  <c r="K100" i="7" s="1"/>
  <c r="M100" i="7" s="1"/>
  <c r="Q99" i="7"/>
  <c r="K99" i="7" s="1"/>
  <c r="M99" i="7" s="1"/>
  <c r="Q98" i="7"/>
  <c r="K98" i="7" s="1"/>
  <c r="M98" i="7" s="1"/>
  <c r="Q78" i="7"/>
  <c r="K78" i="7"/>
  <c r="M78" i="7" s="1"/>
  <c r="Q77" i="7"/>
  <c r="K77" i="7" s="1"/>
  <c r="M77" i="7" s="1"/>
  <c r="Q76" i="7"/>
  <c r="K76" i="7" s="1"/>
  <c r="M76" i="7" s="1"/>
  <c r="Q75" i="7"/>
  <c r="K75" i="7" s="1"/>
  <c r="M75" i="7" s="1"/>
  <c r="Q74" i="7"/>
  <c r="K74" i="7" s="1"/>
  <c r="Q73" i="7"/>
  <c r="K73" i="7" s="1"/>
  <c r="M73" i="7" s="1"/>
  <c r="Q72" i="7"/>
  <c r="K72" i="7" s="1"/>
  <c r="M72" i="7" s="1"/>
  <c r="Q71" i="7"/>
  <c r="K71" i="7" s="1"/>
  <c r="Q49" i="7"/>
  <c r="K49" i="7" s="1"/>
  <c r="M49" i="7" s="1"/>
  <c r="Q50" i="7"/>
  <c r="K50" i="7" s="1"/>
  <c r="M50" i="7" s="1"/>
  <c r="Q51" i="7"/>
  <c r="K51" i="7" s="1"/>
  <c r="Q45" i="7"/>
  <c r="K45" i="7" s="1"/>
  <c r="M45" i="7" s="1"/>
  <c r="Q46" i="7"/>
  <c r="K46" i="7" s="1"/>
  <c r="M46" i="7" s="1"/>
  <c r="Q47" i="7"/>
  <c r="K47" i="7" s="1"/>
  <c r="Q44" i="7"/>
  <c r="K44" i="7" s="1"/>
  <c r="Q48" i="7"/>
  <c r="K48" i="7" s="1"/>
  <c r="K124" i="7"/>
  <c r="M124" i="7" s="1"/>
  <c r="K43" i="7"/>
  <c r="M43" i="7" s="1"/>
  <c r="K97" i="7"/>
  <c r="M97" i="7" s="1"/>
  <c r="K70" i="7"/>
  <c r="M70" i="7" s="1"/>
  <c r="Q123" i="7"/>
  <c r="K123" i="7" s="1"/>
  <c r="Q122" i="7"/>
  <c r="K122" i="7" s="1"/>
  <c r="K121" i="7"/>
  <c r="Q96" i="7"/>
  <c r="K96" i="7" s="1"/>
  <c r="M96" i="7" s="1"/>
  <c r="Q95" i="7"/>
  <c r="K95" i="7" s="1"/>
  <c r="M95" i="7" s="1"/>
  <c r="K94" i="7"/>
  <c r="M94" i="7" s="1"/>
  <c r="Q69" i="7"/>
  <c r="K69" i="7" s="1"/>
  <c r="M69" i="7" s="1"/>
  <c r="Q42" i="7"/>
  <c r="K42" i="7" s="1"/>
  <c r="R3" i="7"/>
  <c r="M71" i="7" l="1"/>
  <c r="M74" i="7"/>
  <c r="M128" i="7"/>
  <c r="M127" i="7"/>
  <c r="M131" i="7"/>
  <c r="M132" i="7"/>
  <c r="M47" i="7"/>
  <c r="M51" i="7"/>
  <c r="M44" i="7"/>
  <c r="M48" i="7"/>
  <c r="M121" i="7"/>
  <c r="M123" i="7"/>
  <c r="M122" i="7"/>
  <c r="M42" i="7"/>
  <c r="R17" i="7"/>
  <c r="Q14" i="7" l="1"/>
  <c r="Q13" i="7"/>
  <c r="Q12" i="7"/>
  <c r="Q8" i="7"/>
  <c r="Q18" i="7" l="1"/>
  <c r="Q19" i="7"/>
  <c r="Q20" i="7"/>
  <c r="K20" i="7" s="1"/>
  <c r="C150" i="11" l="1"/>
  <c r="B150" i="11" s="1"/>
  <c r="C163" i="11"/>
  <c r="B163" i="11" s="1"/>
  <c r="C164" i="11"/>
  <c r="B164" i="11" s="1"/>
  <c r="C165" i="11"/>
  <c r="B165" i="11" s="1"/>
  <c r="C162" i="11"/>
  <c r="B162" i="11" s="1"/>
  <c r="C159" i="11"/>
  <c r="B159" i="11" s="1"/>
  <c r="C160" i="11"/>
  <c r="B160" i="11" s="1"/>
  <c r="C161" i="11"/>
  <c r="B161" i="11" s="1"/>
  <c r="C158" i="11"/>
  <c r="B158" i="11" s="1"/>
  <c r="C155" i="11"/>
  <c r="B155" i="11" s="1"/>
  <c r="C156" i="11"/>
  <c r="B156" i="11" s="1"/>
  <c r="C157" i="11"/>
  <c r="B157" i="11" s="1"/>
  <c r="C154" i="11"/>
  <c r="B154" i="11" s="1"/>
  <c r="C151" i="11"/>
  <c r="B151" i="11" s="1"/>
  <c r="C152" i="11"/>
  <c r="B152" i="11" s="1"/>
  <c r="C153" i="11"/>
  <c r="B153" i="11" s="1"/>
  <c r="C147" i="11"/>
  <c r="B147" i="11" s="1"/>
  <c r="C148" i="11"/>
  <c r="B148" i="11" s="1"/>
  <c r="C149" i="11"/>
  <c r="B149" i="11" s="1"/>
  <c r="C146" i="11"/>
  <c r="B146" i="11" s="1"/>
  <c r="C143" i="11"/>
  <c r="B143" i="11" s="1"/>
  <c r="C144" i="11"/>
  <c r="B144" i="11" s="1"/>
  <c r="C145" i="11"/>
  <c r="B145" i="11" s="1"/>
  <c r="C142" i="11"/>
  <c r="B142" i="11" s="1"/>
  <c r="C139" i="11"/>
  <c r="B139" i="11" s="1"/>
  <c r="C140" i="11"/>
  <c r="B140" i="11" s="1"/>
  <c r="C141" i="11"/>
  <c r="B141" i="11" s="1"/>
  <c r="C138" i="11"/>
  <c r="B138" i="11" s="1"/>
  <c r="C135" i="11"/>
  <c r="B135" i="11" s="1"/>
  <c r="C136" i="11"/>
  <c r="B136" i="11" s="1"/>
  <c r="C137" i="11"/>
  <c r="B137" i="11" s="1"/>
  <c r="C134" i="11"/>
  <c r="B134" i="11" s="1"/>
  <c r="C131" i="11"/>
  <c r="B131" i="11" s="1"/>
  <c r="C132" i="11"/>
  <c r="B132" i="11" s="1"/>
  <c r="C133" i="11"/>
  <c r="B133" i="11" s="1"/>
  <c r="C130" i="11"/>
  <c r="B130" i="11" s="1"/>
  <c r="C127" i="11"/>
  <c r="B127" i="11" s="1"/>
  <c r="C128" i="11"/>
  <c r="B128" i="11" s="1"/>
  <c r="C129" i="11"/>
  <c r="B129" i="11" s="1"/>
  <c r="C126" i="11"/>
  <c r="B126" i="11" s="1"/>
  <c r="C123" i="11"/>
  <c r="B123" i="11" s="1"/>
  <c r="C124" i="11"/>
  <c r="B124" i="11" s="1"/>
  <c r="C125" i="11"/>
  <c r="B125" i="11" s="1"/>
  <c r="C122" i="11"/>
  <c r="B122" i="11" s="1"/>
  <c r="C119" i="11"/>
  <c r="B119" i="11" s="1"/>
  <c r="C120" i="11"/>
  <c r="B120" i="11" s="1"/>
  <c r="C121" i="11"/>
  <c r="B121" i="11" s="1"/>
  <c r="C118" i="11"/>
  <c r="B118" i="11" s="1"/>
  <c r="C111" i="11"/>
  <c r="B111" i="11" s="1"/>
  <c r="C112" i="11"/>
  <c r="B112" i="11" s="1"/>
  <c r="C113" i="11"/>
  <c r="B113" i="11" s="1"/>
  <c r="C110" i="11"/>
  <c r="B110" i="11" s="1"/>
  <c r="C107" i="11"/>
  <c r="B107" i="11" s="1"/>
  <c r="C108" i="11"/>
  <c r="B108" i="11" s="1"/>
  <c r="C109" i="11"/>
  <c r="B109" i="11" s="1"/>
  <c r="C106" i="11"/>
  <c r="B106" i="11" s="1"/>
  <c r="C115" i="11"/>
  <c r="B115" i="11" s="1"/>
  <c r="C116" i="11"/>
  <c r="B116" i="11" s="1"/>
  <c r="C117" i="11"/>
  <c r="B117" i="11" s="1"/>
  <c r="C114" i="11"/>
  <c r="B114" i="11" s="1"/>
  <c r="C87" i="11"/>
  <c r="B87" i="11" s="1"/>
  <c r="C88" i="11"/>
  <c r="B88" i="11" s="1"/>
  <c r="C89" i="11"/>
  <c r="B89" i="11" s="1"/>
  <c r="C91" i="11"/>
  <c r="B91" i="11" s="1"/>
  <c r="C92" i="11"/>
  <c r="B92" i="11" s="1"/>
  <c r="C93" i="11"/>
  <c r="B93" i="11" s="1"/>
  <c r="C95" i="11"/>
  <c r="B95" i="11" s="1"/>
  <c r="C96" i="11"/>
  <c r="B96" i="11" s="1"/>
  <c r="C97" i="11"/>
  <c r="B97" i="11" s="1"/>
  <c r="C99" i="11"/>
  <c r="B99" i="11" s="1"/>
  <c r="C100" i="11"/>
  <c r="B100" i="11" s="1"/>
  <c r="C101" i="11"/>
  <c r="B101" i="11" s="1"/>
  <c r="C103" i="11"/>
  <c r="B103" i="11" s="1"/>
  <c r="C104" i="11"/>
  <c r="B104" i="11" s="1"/>
  <c r="C105" i="11"/>
  <c r="B105" i="11" s="1"/>
  <c r="C102" i="11"/>
  <c r="B102" i="11" s="1"/>
  <c r="C98" i="11"/>
  <c r="B98" i="11" s="1"/>
  <c r="C94" i="11"/>
  <c r="B94" i="11" s="1"/>
  <c r="C90" i="11"/>
  <c r="B90" i="11" s="1"/>
  <c r="C86" i="11"/>
  <c r="B86" i="11" s="1"/>
  <c r="C6" i="11"/>
  <c r="B6" i="11" s="1"/>
  <c r="Q17" i="7"/>
  <c r="K17" i="7" s="1"/>
  <c r="K15" i="7"/>
  <c r="E15" i="7" s="1"/>
  <c r="G15" i="8" s="1"/>
  <c r="H13" i="10"/>
  <c r="M17" i="7" l="1"/>
  <c r="H14" i="10" l="1"/>
  <c r="H12" i="10" l="1"/>
  <c r="C15" i="11"/>
  <c r="B15" i="11" s="1"/>
  <c r="C16" i="11"/>
  <c r="B16" i="11" s="1"/>
  <c r="C17" i="11"/>
  <c r="B17" i="11" s="1"/>
  <c r="C19" i="11"/>
  <c r="B19" i="11" s="1"/>
  <c r="C20" i="11"/>
  <c r="B20" i="11" s="1"/>
  <c r="C21" i="11"/>
  <c r="B21" i="11" s="1"/>
  <c r="C23" i="11"/>
  <c r="B23" i="11" s="1"/>
  <c r="C24" i="11"/>
  <c r="B24" i="11" s="1"/>
  <c r="C25" i="11"/>
  <c r="B25" i="11" s="1"/>
  <c r="C27" i="11"/>
  <c r="B27" i="11" s="1"/>
  <c r="C28" i="11"/>
  <c r="B28" i="11" s="1"/>
  <c r="C29" i="11"/>
  <c r="B29" i="11" s="1"/>
  <c r="C31" i="11"/>
  <c r="B31" i="11" s="1"/>
  <c r="C32" i="11"/>
  <c r="B32" i="11" s="1"/>
  <c r="C33" i="11"/>
  <c r="B33" i="11" s="1"/>
  <c r="C35" i="11"/>
  <c r="B35" i="11" s="1"/>
  <c r="C36" i="11"/>
  <c r="B36" i="11" s="1"/>
  <c r="C37" i="11"/>
  <c r="B37" i="11" s="1"/>
  <c r="C39" i="11"/>
  <c r="B39" i="11" s="1"/>
  <c r="C40" i="11"/>
  <c r="B40" i="11" s="1"/>
  <c r="C41" i="11"/>
  <c r="B41" i="11" s="1"/>
  <c r="C43" i="11"/>
  <c r="B43" i="11" s="1"/>
  <c r="C44" i="11"/>
  <c r="B44" i="11" s="1"/>
  <c r="C45" i="11"/>
  <c r="B45" i="11" s="1"/>
  <c r="C47" i="11"/>
  <c r="B47" i="11" s="1"/>
  <c r="C48" i="11"/>
  <c r="B48" i="11" s="1"/>
  <c r="C49" i="11"/>
  <c r="B49" i="11" s="1"/>
  <c r="C51" i="11"/>
  <c r="B51" i="11" s="1"/>
  <c r="C52" i="11"/>
  <c r="B52" i="11" s="1"/>
  <c r="C53" i="11"/>
  <c r="B53" i="11" s="1"/>
  <c r="C55" i="11"/>
  <c r="B55" i="11" s="1"/>
  <c r="C56" i="11"/>
  <c r="B56" i="11" s="1"/>
  <c r="C57" i="11"/>
  <c r="B57" i="11" s="1"/>
  <c r="C59" i="11"/>
  <c r="B59" i="11" s="1"/>
  <c r="C60" i="11"/>
  <c r="B60" i="11" s="1"/>
  <c r="C61" i="11"/>
  <c r="B61" i="11" s="1"/>
  <c r="C63" i="11"/>
  <c r="B63" i="11" s="1"/>
  <c r="C64" i="11"/>
  <c r="B64" i="11" s="1"/>
  <c r="C65" i="11"/>
  <c r="B65" i="11" s="1"/>
  <c r="C67" i="11"/>
  <c r="B67" i="11" s="1"/>
  <c r="C68" i="11"/>
  <c r="B68" i="11" s="1"/>
  <c r="C69" i="11"/>
  <c r="B69" i="11" s="1"/>
  <c r="C71" i="11"/>
  <c r="B71" i="11" s="1"/>
  <c r="C72" i="11"/>
  <c r="B72" i="11" s="1"/>
  <c r="C73" i="11"/>
  <c r="B73" i="11" s="1"/>
  <c r="C75" i="11"/>
  <c r="B75" i="11" s="1"/>
  <c r="C76" i="11"/>
  <c r="B76" i="11" s="1"/>
  <c r="C77" i="11"/>
  <c r="B77" i="11" s="1"/>
  <c r="C79" i="11"/>
  <c r="B79" i="11" s="1"/>
  <c r="C80" i="11"/>
  <c r="B80" i="11" s="1"/>
  <c r="C81" i="11"/>
  <c r="B81" i="11" s="1"/>
  <c r="C83" i="11"/>
  <c r="B83" i="11" s="1"/>
  <c r="C84" i="11"/>
  <c r="B84" i="11" s="1"/>
  <c r="C85" i="11"/>
  <c r="B85" i="11" s="1"/>
  <c r="C82" i="11"/>
  <c r="B82" i="11" s="1"/>
  <c r="C74" i="11"/>
  <c r="B74" i="11" s="1"/>
  <c r="C70" i="11"/>
  <c r="B70" i="11" s="1"/>
  <c r="C66" i="11"/>
  <c r="B66" i="11" s="1"/>
  <c r="C62" i="11"/>
  <c r="B62" i="11" s="1"/>
  <c r="C58" i="11"/>
  <c r="B58" i="11" s="1"/>
  <c r="C54" i="11"/>
  <c r="B54" i="11" s="1"/>
  <c r="C50" i="11"/>
  <c r="B50" i="11" s="1"/>
  <c r="C46" i="11"/>
  <c r="B46" i="11" s="1"/>
  <c r="C42" i="11"/>
  <c r="B42" i="11" s="1"/>
  <c r="C38" i="11"/>
  <c r="B38" i="11" s="1"/>
  <c r="C34" i="11"/>
  <c r="B34" i="11" s="1"/>
  <c r="C30" i="11"/>
  <c r="B30" i="11" s="1"/>
  <c r="C26" i="11"/>
  <c r="B26" i="11" s="1"/>
  <c r="C22" i="11"/>
  <c r="B22" i="11" s="1"/>
  <c r="C18" i="11"/>
  <c r="B18" i="11" s="1"/>
  <c r="C14" i="11"/>
  <c r="B14" i="11" s="1"/>
  <c r="C11" i="11"/>
  <c r="B11" i="11" s="1"/>
  <c r="C12" i="11"/>
  <c r="B12" i="11" s="1"/>
  <c r="C13" i="11"/>
  <c r="B13" i="11" s="1"/>
  <c r="C10" i="11"/>
  <c r="B10" i="11" s="1"/>
  <c r="C9" i="11"/>
  <c r="B9" i="11" s="1"/>
  <c r="C7" i="11"/>
  <c r="B7" i="11" s="1"/>
  <c r="C8" i="11"/>
  <c r="B8" i="11" s="1"/>
  <c r="AB7" i="10"/>
  <c r="T7" i="10"/>
  <c r="L7" i="10"/>
  <c r="H8" i="10"/>
  <c r="H9" i="10"/>
  <c r="H10" i="10"/>
  <c r="H11" i="10"/>
  <c r="H7" i="10"/>
  <c r="AI7" i="10"/>
  <c r="AB8" i="10"/>
  <c r="AA7" i="10"/>
  <c r="T8" i="10"/>
  <c r="S7" i="10"/>
  <c r="K7" i="10"/>
  <c r="K108" i="7"/>
  <c r="M108" i="7" s="1"/>
  <c r="K107" i="7"/>
  <c r="M107" i="7" s="1"/>
  <c r="K81" i="7"/>
  <c r="M81" i="7" s="1"/>
  <c r="K80" i="7"/>
  <c r="M80" i="7" s="1"/>
  <c r="K54" i="7"/>
  <c r="M54" i="7" s="1"/>
  <c r="K53" i="7"/>
  <c r="M53" i="7" s="1"/>
  <c r="Q41" i="7"/>
  <c r="K27" i="7"/>
  <c r="K26" i="7"/>
  <c r="N7" i="10"/>
  <c r="AK7" i="10"/>
  <c r="AF7" i="10"/>
  <c r="U7" i="10"/>
  <c r="M7" i="10"/>
  <c r="V7" i="10"/>
  <c r="AK8" i="10"/>
  <c r="M8" i="10"/>
  <c r="AD7" i="10"/>
  <c r="P7" i="10"/>
  <c r="W7" i="10"/>
  <c r="AM7" i="10"/>
  <c r="U8" i="10"/>
  <c r="AE7" i="10"/>
  <c r="AC7" i="10"/>
  <c r="AL7" i="10"/>
  <c r="X7" i="10"/>
  <c r="O7" i="10"/>
  <c r="S8" i="10" l="1"/>
  <c r="AA8" i="10"/>
  <c r="AI8" i="10"/>
  <c r="K8" i="10"/>
  <c r="L8" i="10"/>
  <c r="X9" i="10"/>
  <c r="AF8" i="10"/>
  <c r="V8" i="10"/>
  <c r="AK9" i="10"/>
  <c r="AD8" i="10"/>
  <c r="AE8" i="10"/>
  <c r="P8" i="10"/>
  <c r="O9" i="10"/>
  <c r="O8" i="10"/>
  <c r="N8" i="10"/>
  <c r="U10" i="10"/>
  <c r="AL9" i="10"/>
  <c r="W9" i="10"/>
  <c r="W8" i="10"/>
  <c r="X8" i="10"/>
  <c r="AL8" i="10"/>
  <c r="AM8" i="10"/>
  <c r="AC8" i="10"/>
  <c r="AE10" i="10"/>
  <c r="AA9" i="10" l="1"/>
  <c r="AI9" i="10"/>
  <c r="K9" i="10"/>
  <c r="S9" i="10"/>
  <c r="AA10" i="10"/>
  <c r="S10" i="10"/>
  <c r="AL10" i="10"/>
  <c r="N9" i="10"/>
  <c r="AF10" i="10"/>
  <c r="AC10" i="10"/>
  <c r="AD10" i="10"/>
  <c r="AM9" i="10"/>
  <c r="V12" i="10"/>
  <c r="V10" i="10"/>
  <c r="AD9" i="10"/>
  <c r="N10" i="10"/>
  <c r="X10" i="10"/>
  <c r="W10" i="10"/>
  <c r="V9" i="10"/>
  <c r="M9" i="10"/>
  <c r="AE12" i="10"/>
  <c r="U9" i="10"/>
  <c r="P9" i="10"/>
  <c r="AF9" i="10"/>
  <c r="AC9" i="10"/>
  <c r="AE9" i="10"/>
  <c r="AK10" i="10"/>
  <c r="AA12" i="10" l="1"/>
  <c r="S12" i="10"/>
  <c r="K10" i="10"/>
  <c r="AI10" i="10"/>
  <c r="AA11" i="10"/>
  <c r="S11" i="10"/>
  <c r="X11" i="10"/>
  <c r="AM10" i="10"/>
  <c r="X12" i="10"/>
  <c r="U12" i="10"/>
  <c r="V11" i="10"/>
  <c r="M10" i="10"/>
  <c r="W11" i="10"/>
  <c r="AF11" i="10"/>
  <c r="O10" i="10"/>
  <c r="AF12" i="10"/>
  <c r="P10" i="10"/>
  <c r="AM12" i="10"/>
  <c r="AE11" i="10"/>
  <c r="AD11" i="10"/>
  <c r="AC11" i="10"/>
  <c r="W12" i="10"/>
  <c r="M12" i="10"/>
  <c r="AC12" i="10"/>
  <c r="AD12" i="10"/>
  <c r="U11" i="10"/>
  <c r="AI11" i="10" l="1"/>
  <c r="S13" i="10"/>
  <c r="AA13" i="10"/>
  <c r="K12" i="10"/>
  <c r="AI12" i="10"/>
  <c r="K11" i="10"/>
  <c r="U13" i="10"/>
  <c r="AL11" i="10"/>
  <c r="AE13" i="10"/>
  <c r="P12" i="10"/>
  <c r="M11" i="10"/>
  <c r="AK11" i="10"/>
  <c r="AF13" i="10"/>
  <c r="AD13" i="10"/>
  <c r="AC13" i="10"/>
  <c r="O12" i="10"/>
  <c r="X13" i="10"/>
  <c r="N12" i="10"/>
  <c r="AL12" i="10"/>
  <c r="AK12" i="10"/>
  <c r="W13" i="10"/>
  <c r="N11" i="10"/>
  <c r="O11" i="10"/>
  <c r="P11" i="10"/>
  <c r="AM11" i="10"/>
  <c r="V13" i="10"/>
  <c r="K13" i="10" l="1"/>
  <c r="AA14" i="10"/>
  <c r="AI13" i="10"/>
  <c r="S14" i="10"/>
  <c r="K8" i="7"/>
  <c r="Q2" i="7"/>
  <c r="K2" i="7" s="1"/>
  <c r="Q3" i="7"/>
  <c r="K3" i="7" s="1"/>
  <c r="M3" i="7" s="1"/>
  <c r="Q4" i="7"/>
  <c r="K4" i="7" s="1"/>
  <c r="K12" i="7"/>
  <c r="M12" i="7" s="1"/>
  <c r="K13" i="7"/>
  <c r="M13" i="7" s="1"/>
  <c r="K14" i="7"/>
  <c r="J111" i="7"/>
  <c r="J110" i="7"/>
  <c r="J109" i="7"/>
  <c r="M106" i="7"/>
  <c r="J106" i="7"/>
  <c r="J84" i="7"/>
  <c r="J83" i="7"/>
  <c r="J82" i="7"/>
  <c r="M79" i="7"/>
  <c r="J79" i="7"/>
  <c r="J57" i="7"/>
  <c r="J56" i="7"/>
  <c r="J55" i="7"/>
  <c r="M52" i="7"/>
  <c r="J52" i="7"/>
  <c r="J30" i="7"/>
  <c r="J29" i="7"/>
  <c r="J28" i="7"/>
  <c r="M27" i="7"/>
  <c r="M26" i="7"/>
  <c r="M25" i="7"/>
  <c r="J25" i="7"/>
  <c r="AL13" i="10"/>
  <c r="W14" i="10"/>
  <c r="AC14" i="10"/>
  <c r="AD14" i="10"/>
  <c r="V14" i="10"/>
  <c r="AF14" i="10"/>
  <c r="AK13" i="10"/>
  <c r="O13" i="10"/>
  <c r="AM13" i="10"/>
  <c r="M13" i="10"/>
  <c r="X14" i="10"/>
  <c r="P13" i="10"/>
  <c r="U14" i="10"/>
  <c r="AE14" i="10"/>
  <c r="N13" i="10"/>
  <c r="K14" i="10" l="1"/>
  <c r="AI14" i="10"/>
  <c r="J11" i="7"/>
  <c r="J10" i="7"/>
  <c r="J9" i="7"/>
  <c r="M8" i="7"/>
  <c r="J8" i="7"/>
  <c r="J7" i="7"/>
  <c r="J6" i="7"/>
  <c r="M4" i="7"/>
  <c r="J4" i="7"/>
  <c r="J3" i="7"/>
  <c r="M2" i="7"/>
  <c r="P14" i="10"/>
  <c r="AK14" i="10"/>
  <c r="O14" i="10"/>
  <c r="M14" i="10"/>
  <c r="N14" i="10"/>
  <c r="AL14" i="10"/>
  <c r="AM14" i="10"/>
  <c r="U2" i="7" l="1"/>
  <c r="R36" i="7"/>
  <c r="Q35" i="7"/>
  <c r="R30" i="7"/>
  <c r="R38" i="7"/>
  <c r="R109" i="7"/>
  <c r="Q7" i="7"/>
  <c r="R37" i="7"/>
  <c r="U3" i="7"/>
  <c r="R64" i="7"/>
  <c r="R65" i="7"/>
  <c r="Q6" i="7"/>
  <c r="Q16" i="7"/>
  <c r="Q32" i="7"/>
  <c r="Q9" i="7"/>
  <c r="Q115" i="7"/>
  <c r="Q62" i="7"/>
  <c r="R55" i="7"/>
  <c r="R63" i="7"/>
  <c r="Q89" i="7"/>
  <c r="R66" i="7"/>
  <c r="Q10" i="7"/>
  <c r="Q11" i="7"/>
  <c r="Q116" i="7"/>
  <c r="Q114" i="7"/>
  <c r="R82" i="7"/>
  <c r="Q59" i="7"/>
  <c r="R39" i="7"/>
  <c r="Q113" i="7"/>
  <c r="Q61" i="7"/>
  <c r="R28" i="7"/>
  <c r="Q87" i="7"/>
  <c r="Q60" i="7"/>
  <c r="Q88" i="7"/>
  <c r="Q86" i="7"/>
  <c r="Q33" i="7"/>
  <c r="Q34" i="7"/>
  <c r="Q109" i="7" l="1"/>
  <c r="K109" i="7" s="1"/>
  <c r="Q82" i="7"/>
  <c r="K82" i="7" s="1"/>
  <c r="Q55" i="7"/>
  <c r="K55" i="7" s="1"/>
  <c r="Q28" i="7"/>
  <c r="K28" i="7" s="1"/>
  <c r="K88" i="7"/>
  <c r="K116" i="7"/>
  <c r="K114" i="7"/>
  <c r="K113" i="7"/>
  <c r="K59" i="7"/>
  <c r="K61" i="7"/>
  <c r="K89" i="7"/>
  <c r="K60" i="7"/>
  <c r="K86" i="7"/>
  <c r="K87" i="7"/>
  <c r="K115" i="7"/>
  <c r="K62" i="7"/>
  <c r="K35" i="7"/>
  <c r="E35" i="7" s="1"/>
  <c r="K32" i="7"/>
  <c r="K34" i="7"/>
  <c r="E34" i="7" s="1"/>
  <c r="K33" i="7"/>
  <c r="E33" i="7" s="1"/>
  <c r="Q63" i="7"/>
  <c r="K63" i="7" s="1"/>
  <c r="Q66" i="7"/>
  <c r="K66" i="7" s="1"/>
  <c r="Q65" i="7"/>
  <c r="K65" i="7" s="1"/>
  <c r="Q64" i="7"/>
  <c r="K64" i="7" s="1"/>
  <c r="M15" i="7"/>
  <c r="M14" i="7"/>
  <c r="K40" i="7"/>
  <c r="M40" i="7" s="1"/>
  <c r="K41" i="7"/>
  <c r="M41" i="7" s="1"/>
  <c r="R57" i="7"/>
  <c r="R93" i="7"/>
  <c r="R83" i="7"/>
  <c r="R120" i="7"/>
  <c r="R117" i="7"/>
  <c r="R92" i="7"/>
  <c r="R90" i="7"/>
  <c r="R111" i="7"/>
  <c r="R91" i="7"/>
  <c r="R84" i="7"/>
  <c r="R110" i="7"/>
  <c r="R29" i="7"/>
  <c r="R118" i="7"/>
  <c r="R56" i="7"/>
  <c r="R119" i="7"/>
  <c r="M55" i="7" l="1"/>
  <c r="E55" i="7"/>
  <c r="G55" i="8" s="1"/>
  <c r="E82" i="7"/>
  <c r="G82" i="8" s="1"/>
  <c r="M82" i="7"/>
  <c r="M109" i="7"/>
  <c r="E109" i="7"/>
  <c r="G109" i="8" s="1"/>
  <c r="E28" i="7"/>
  <c r="G28" i="8" s="1"/>
  <c r="M28" i="7"/>
  <c r="M66" i="7"/>
  <c r="E66" i="7"/>
  <c r="M87" i="7"/>
  <c r="E87" i="7"/>
  <c r="G87" i="8" s="1"/>
  <c r="M116" i="7"/>
  <c r="E116" i="7"/>
  <c r="G116" i="8" s="1"/>
  <c r="M86" i="7"/>
  <c r="E86" i="7"/>
  <c r="G86" i="8" s="1"/>
  <c r="M88" i="7"/>
  <c r="E88" i="7"/>
  <c r="M89" i="7"/>
  <c r="E89" i="7"/>
  <c r="M59" i="7"/>
  <c r="E59" i="7"/>
  <c r="M63" i="7"/>
  <c r="E63" i="7"/>
  <c r="M60" i="7"/>
  <c r="E60" i="7"/>
  <c r="G60" i="8" s="1"/>
  <c r="M32" i="7"/>
  <c r="E32" i="7"/>
  <c r="M61" i="7"/>
  <c r="E61" i="7"/>
  <c r="G61" i="8" s="1"/>
  <c r="M64" i="7"/>
  <c r="E64" i="7"/>
  <c r="M62" i="7"/>
  <c r="E62" i="7"/>
  <c r="G62" i="8" s="1"/>
  <c r="M113" i="7"/>
  <c r="E113" i="7"/>
  <c r="M65" i="7"/>
  <c r="E65" i="7"/>
  <c r="M115" i="7"/>
  <c r="E115" i="7"/>
  <c r="G115" i="8" s="1"/>
  <c r="M114" i="7"/>
  <c r="E114" i="7"/>
  <c r="G114" i="8" s="1"/>
  <c r="G33" i="8"/>
  <c r="M33" i="7"/>
  <c r="M34" i="7"/>
  <c r="G34" i="8"/>
  <c r="M35" i="7"/>
  <c r="G35" i="8"/>
  <c r="Q91" i="7"/>
  <c r="K91" i="7" s="1"/>
  <c r="Q39" i="7"/>
  <c r="K39" i="7" s="1"/>
  <c r="K7" i="7"/>
  <c r="Q119" i="7"/>
  <c r="K119" i="7" s="1"/>
  <c r="Q83" i="7"/>
  <c r="K83" i="7" s="1"/>
  <c r="K16" i="7"/>
  <c r="Q118" i="7"/>
  <c r="K118" i="7" s="1"/>
  <c r="K9" i="7"/>
  <c r="Q110" i="7"/>
  <c r="K110" i="7" s="1"/>
  <c r="K6" i="7"/>
  <c r="E6" i="7" s="1"/>
  <c r="Q84" i="7"/>
  <c r="K84" i="7" s="1"/>
  <c r="Q56" i="7"/>
  <c r="K56" i="7" s="1"/>
  <c r="Q111" i="7"/>
  <c r="K111" i="7" s="1"/>
  <c r="Q57" i="7"/>
  <c r="K57" i="7" s="1"/>
  <c r="Q29" i="7"/>
  <c r="K29" i="7" s="1"/>
  <c r="Q117" i="7"/>
  <c r="K117" i="7" s="1"/>
  <c r="Q92" i="7"/>
  <c r="K92" i="7" s="1"/>
  <c r="Q36" i="7"/>
  <c r="K36" i="7" s="1"/>
  <c r="E36" i="7" s="1"/>
  <c r="K10" i="7"/>
  <c r="E10" i="7" s="1"/>
  <c r="Q38" i="7"/>
  <c r="K38" i="7" s="1"/>
  <c r="Q90" i="7"/>
  <c r="K90" i="7" s="1"/>
  <c r="Q30" i="7"/>
  <c r="K30" i="7" s="1"/>
  <c r="Q93" i="7"/>
  <c r="K93" i="7" s="1"/>
  <c r="Q120" i="7"/>
  <c r="K120" i="7" s="1"/>
  <c r="K11" i="7"/>
  <c r="Q37" i="7"/>
  <c r="K37" i="7" s="1"/>
  <c r="Q5" i="7"/>
  <c r="K5" i="7" s="1"/>
  <c r="M11" i="7" l="1"/>
  <c r="E11" i="7"/>
  <c r="M92" i="7"/>
  <c r="E92" i="7"/>
  <c r="M91" i="7"/>
  <c r="E91" i="7"/>
  <c r="M120" i="7"/>
  <c r="E120" i="7"/>
  <c r="M117" i="7"/>
  <c r="E117" i="7"/>
  <c r="M9" i="7"/>
  <c r="E9" i="7"/>
  <c r="M93" i="7"/>
  <c r="E93" i="7"/>
  <c r="M30" i="7"/>
  <c r="E30" i="7"/>
  <c r="E16" i="7"/>
  <c r="G16" i="8" s="1"/>
  <c r="M29" i="7"/>
  <c r="E29" i="7"/>
  <c r="M57" i="7"/>
  <c r="E57" i="7"/>
  <c r="M90" i="7"/>
  <c r="E90" i="7"/>
  <c r="M111" i="7"/>
  <c r="E111" i="7"/>
  <c r="M83" i="7"/>
  <c r="E83" i="7"/>
  <c r="M38" i="7"/>
  <c r="E38" i="7"/>
  <c r="M37" i="7"/>
  <c r="E37" i="7"/>
  <c r="M118" i="7"/>
  <c r="E118" i="7"/>
  <c r="M56" i="7"/>
  <c r="E56" i="7"/>
  <c r="M119" i="7"/>
  <c r="E119" i="7"/>
  <c r="M84" i="7"/>
  <c r="E84" i="7"/>
  <c r="M7" i="7"/>
  <c r="E7" i="7"/>
  <c r="M39" i="7"/>
  <c r="E39" i="7"/>
  <c r="M110" i="7"/>
  <c r="E110" i="7"/>
  <c r="M36" i="7"/>
  <c r="G36" i="8"/>
  <c r="M16" i="7"/>
  <c r="M5" i="7"/>
  <c r="G9" i="8" l="1"/>
  <c r="G10" i="8" l="1"/>
  <c r="G13" i="8" l="1"/>
  <c r="G11" i="8" l="1"/>
  <c r="G65" i="8" l="1"/>
  <c r="G66" i="8"/>
  <c r="E82" i="8"/>
  <c r="E83" i="8"/>
  <c r="G83" i="8"/>
  <c r="E84" i="8"/>
  <c r="G84" i="8"/>
  <c r="G88" i="8"/>
  <c r="G89" i="8"/>
  <c r="G90" i="8"/>
  <c r="G91" i="8"/>
  <c r="G92" i="8"/>
  <c r="G93" i="8"/>
  <c r="E109" i="8"/>
  <c r="E110" i="8"/>
  <c r="E111" i="8"/>
  <c r="G113" i="8"/>
  <c r="G117" i="8"/>
  <c r="G118" i="8"/>
  <c r="G119" i="8"/>
  <c r="G120" i="8"/>
  <c r="G6" i="8"/>
  <c r="G7" i="8"/>
  <c r="E28" i="8"/>
  <c r="E29" i="8"/>
  <c r="G29" i="8"/>
  <c r="F2" i="8"/>
  <c r="D2" i="8"/>
  <c r="C2" i="8"/>
  <c r="A2" i="8"/>
  <c r="G64" i="8"/>
  <c r="G63" i="8"/>
  <c r="G59" i="8"/>
  <c r="G57" i="8"/>
  <c r="E57" i="8"/>
  <c r="G56" i="8"/>
  <c r="E56" i="8"/>
  <c r="E55" i="8"/>
  <c r="E54" i="8"/>
  <c r="G39" i="8"/>
  <c r="G38" i="8"/>
  <c r="G37" i="8"/>
  <c r="G32" i="8"/>
  <c r="G30" i="8"/>
  <c r="E30" i="8"/>
  <c r="B2" i="8"/>
  <c r="E2" i="7"/>
  <c r="G2" i="8" s="1"/>
  <c r="D2" i="7"/>
  <c r="E2" i="8" s="1"/>
  <c r="G110" i="8" l="1"/>
  <c r="G111" i="8"/>
</calcChain>
</file>

<file path=xl/comments1.xml><?xml version="1.0" encoding="utf-8"?>
<comments xmlns="http://schemas.openxmlformats.org/spreadsheetml/2006/main">
  <authors>
    <author>Markus Brönnimann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Markus Brönnimann:</t>
        </r>
        <r>
          <rPr>
            <sz val="9"/>
            <color indexed="81"/>
            <rFont val="Tahoma"/>
            <family val="2"/>
          </rPr>
          <t xml:space="preserve">
convert number in little endian format?
1=yes
0=no (keep value)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Markus Brönnimann:</t>
        </r>
        <r>
          <rPr>
            <sz val="9"/>
            <color indexed="81"/>
            <rFont val="Tahoma"/>
            <family val="2"/>
          </rPr>
          <t xml:space="preserve">
minimal timeout to access a subsequent register again (writing)</t>
        </r>
      </text>
    </comment>
  </commentList>
</comments>
</file>

<file path=xl/connections.xml><?xml version="1.0" encoding="utf-8"?>
<connections xmlns="http://schemas.openxmlformats.org/spreadsheetml/2006/main">
  <connection id="1" name="StartUp_XML" type="4" refreshedVersion="0" background="1">
    <webPr xml="1" sourceData="1" url="C:\Users\brm\Desktop\km1024.xml" htmlTables="1" htmlFormat="all"/>
  </connection>
  <connection id="2" name="Startup_XML_export" type="4" refreshedVersion="0" background="1">
    <webPr xml="1" sourceData="1" url="I:\WORK\EtherCAT WORK\aStartUPs\EXCEL-Link\Startup_XML_export.xml" htmlTables="1" htmlFormat="all"/>
  </connection>
</connections>
</file>

<file path=xl/sharedStrings.xml><?xml version="1.0" encoding="utf-8"?>
<sst xmlns="http://schemas.openxmlformats.org/spreadsheetml/2006/main" count="885" uniqueCount="268">
  <si>
    <t>Transition</t>
  </si>
  <si>
    <t>Comment</t>
  </si>
  <si>
    <t>Timeout</t>
  </si>
  <si>
    <t>Ccs</t>
  </si>
  <si>
    <t>Index</t>
  </si>
  <si>
    <t>SubIndex</t>
  </si>
  <si>
    <t>Data</t>
  </si>
  <si>
    <t>PS</t>
  </si>
  <si>
    <t>Subindex</t>
  </si>
  <si>
    <t>8040</t>
  </si>
  <si>
    <t>SetValue</t>
  </si>
  <si>
    <t>HWRegister</t>
  </si>
  <si>
    <t>Size</t>
  </si>
  <si>
    <t>Timeout [ms]</t>
  </si>
  <si>
    <t>A050</t>
  </si>
  <si>
    <t>Hex</t>
  </si>
  <si>
    <t>Dec</t>
  </si>
  <si>
    <t>Date</t>
  </si>
  <si>
    <t>Author</t>
  </si>
  <si>
    <t>change</t>
  </si>
  <si>
    <t>Time</t>
  </si>
  <si>
    <t>little-Big endian</t>
  </si>
  <si>
    <t>Dez</t>
  </si>
  <si>
    <t>Frame Length - Network Frame Params</t>
  </si>
  <si>
    <t>Test print - PrePost White</t>
  </si>
  <si>
    <t>MAC Data Processor</t>
  </si>
  <si>
    <t>IP Data Processor</t>
  </si>
  <si>
    <t>IP Printhead</t>
  </si>
  <si>
    <t>Id</t>
  </si>
  <si>
    <t>UPD Data Listener Port [hex]</t>
  </si>
  <si>
    <t>Von</t>
  </si>
  <si>
    <t>Bis</t>
  </si>
  <si>
    <t>IndexSelector</t>
  </si>
  <si>
    <t>controller from StartUpXML, do not edit</t>
  </si>
  <si>
    <t>8020</t>
  </si>
  <si>
    <t>0001</t>
  </si>
  <si>
    <t>8021</t>
  </si>
  <si>
    <t>8025</t>
  </si>
  <si>
    <t>0002</t>
  </si>
  <si>
    <t>0003</t>
  </si>
  <si>
    <t>For Generating the StartUp XML File you will need a Excel PlugIn</t>
  </si>
  <si>
    <t xml:space="preserve">XML Plugin Installation </t>
  </si>
  <si>
    <t>O:\Manufacturer\Microsoft\Excel 2003 XML Tool\Excel XML Add-In Installation.docx</t>
  </si>
  <si>
    <t>RX-Data Watchdog - Network  Printhead</t>
  </si>
  <si>
    <t>Session Timeout - Netowork Printhead</t>
  </si>
  <si>
    <t>Print Mode Setup</t>
  </si>
  <si>
    <t>00050C10</t>
  </si>
  <si>
    <t>Printhead Enable</t>
  </si>
  <si>
    <t>Amplifier Setup</t>
  </si>
  <si>
    <t>Firing Mode</t>
  </si>
  <si>
    <t>Upper Temperature Threshold</t>
  </si>
  <si>
    <t>Printhead Fire Voltage Reference Row A</t>
  </si>
  <si>
    <t>Printhead Fire Voltage Reference Row B</t>
  </si>
  <si>
    <t>Printhead Fire Voltage Reference Row C</t>
  </si>
  <si>
    <t>Printhead Fire Voltage Reference Row D</t>
  </si>
  <si>
    <t>Waveform Setup</t>
  </si>
  <si>
    <t>Max. Grayscale</t>
  </si>
  <si>
    <t>0004</t>
  </si>
  <si>
    <t>Board Name</t>
  </si>
  <si>
    <t>MAC Printhead</t>
  </si>
  <si>
    <t>PH1 
Fire 
Row A</t>
  </si>
  <si>
    <t xml:space="preserve">PH1 Yoffset
</t>
  </si>
  <si>
    <t xml:space="preserve">PH1 Xoffset
</t>
  </si>
  <si>
    <t xml:space="preserve">PH1 ColorCode
</t>
  </si>
  <si>
    <t>PH1 
Fire 
Row B</t>
  </si>
  <si>
    <t>PH1 
Fire 
Row C</t>
  </si>
  <si>
    <t>PH1 
Fire 
Row D</t>
  </si>
  <si>
    <t>Printhead Pitch Y [mm]</t>
  </si>
  <si>
    <t>Printhead Pitch X [mm]</t>
  </si>
  <si>
    <t xml:space="preserve">PH1
Global ID
</t>
  </si>
  <si>
    <t xml:space="preserve">PH3
Global ID
</t>
  </si>
  <si>
    <t xml:space="preserve">PH2
Global ID
</t>
  </si>
  <si>
    <t xml:space="preserve">PH4
Global ID
</t>
  </si>
  <si>
    <t xml:space="preserve">PH4
ColorCode
</t>
  </si>
  <si>
    <t xml:space="preserve">PH4 
Xoffset
</t>
  </si>
  <si>
    <t xml:space="preserve">PH4 Yoffset
</t>
  </si>
  <si>
    <t>PH4 
Fire 
Row A</t>
  </si>
  <si>
    <t>PH4 
Fire 
Row B</t>
  </si>
  <si>
    <t>PH4 
Fire 
Row C</t>
  </si>
  <si>
    <t>PH4 
Fire 
Row D</t>
  </si>
  <si>
    <t>PH3 
Fire 
Row D</t>
  </si>
  <si>
    <t>PH3 
Fire 
Row C</t>
  </si>
  <si>
    <t>PH3 
Fire 
Row B</t>
  </si>
  <si>
    <t>PH3 
Fire 
Row A</t>
  </si>
  <si>
    <t xml:space="preserve">PH3 Yoffset
</t>
  </si>
  <si>
    <t xml:space="preserve">PH3 Xoffset
</t>
  </si>
  <si>
    <t>PH2 
Fire 
Row D</t>
  </si>
  <si>
    <t>PH2 
Fire 
Row C</t>
  </si>
  <si>
    <t>PH2 
Fire 
Row B</t>
  </si>
  <si>
    <t>PH2 
Fire 
Row A</t>
  </si>
  <si>
    <t xml:space="preserve">PH2 Yoffset
</t>
  </si>
  <si>
    <t xml:space="preserve">PH2 Xoffset
</t>
  </si>
  <si>
    <t xml:space="preserve">PH2 ColorCode
</t>
  </si>
  <si>
    <t>Controller Name</t>
  </si>
  <si>
    <t>Printhead</t>
  </si>
  <si>
    <t>Reference</t>
  </si>
  <si>
    <t>Druckkopfpositionen</t>
  </si>
  <si>
    <t>Komm. Nr.</t>
  </si>
  <si>
    <t>BS</t>
  </si>
  <si>
    <t>P/N</t>
  </si>
  <si>
    <t>S/N</t>
  </si>
  <si>
    <t>A</t>
  </si>
  <si>
    <t>B</t>
  </si>
  <si>
    <t>C</t>
  </si>
  <si>
    <t>D</t>
  </si>
  <si>
    <t>N221414L</t>
  </si>
  <si>
    <t>Fire Amplitude</t>
  </si>
  <si>
    <t>Dont change any grayed fields or insert new lines, this sheet includes indirect references</t>
  </si>
  <si>
    <t>A:</t>
  </si>
  <si>
    <t>B:</t>
  </si>
  <si>
    <t>C:</t>
  </si>
  <si>
    <t>D:</t>
  </si>
  <si>
    <t>+D</t>
  </si>
  <si>
    <t xml:space="preserve"> A * RefVoltage </t>
  </si>
  <si>
    <t xml:space="preserve">+ B *( RefVoltage - C) </t>
  </si>
  <si>
    <t>Scaling : Fire Amplitude =</t>
  </si>
  <si>
    <t>Manual Correction</t>
  </si>
  <si>
    <t>HW Encoder Resolution</t>
  </si>
  <si>
    <t>Manual Fire Mode</t>
  </si>
  <si>
    <t>Manual Fire Frequency / Spitting</t>
  </si>
  <si>
    <t>Manual Fire Drop Size</t>
  </si>
  <si>
    <t>8029</t>
  </si>
  <si>
    <t>Standard-Mode</t>
  </si>
  <si>
    <t>HW-Encoder</t>
  </si>
  <si>
    <t>06050C10</t>
  </si>
  <si>
    <t>&lt;==</t>
  </si>
  <si>
    <t>Waveform Set</t>
  </si>
  <si>
    <t>Printhead Voltage Offset - RowA</t>
  </si>
  <si>
    <t>Printhead Voltage Scaling - RowB</t>
  </si>
  <si>
    <t>Printhead Automatic Scaling</t>
  </si>
  <si>
    <t>Printhead Voltage Offset - RowB</t>
  </si>
  <si>
    <t>Printhead Voltage Offset - RowC</t>
  </si>
  <si>
    <t>Printhead Voltage Offset - RowD</t>
  </si>
  <si>
    <t>Printhead Voltage Scaling - RowA</t>
  </si>
  <si>
    <t>Printhead Voltage Scaling - RowC</t>
  </si>
  <si>
    <t>Printhead Voltage Scaling - RowD</t>
  </si>
  <si>
    <t>00000000</t>
  </si>
  <si>
    <t>Head Enable</t>
  </si>
  <si>
    <t>N221414R</t>
  </si>
  <si>
    <t>besser</t>
  </si>
  <si>
    <t>schlechter</t>
  </si>
  <si>
    <t>0B010164</t>
  </si>
  <si>
    <t>Papierauslauf</t>
  </si>
  <si>
    <t>2.14</t>
  </si>
  <si>
    <t>2.12</t>
  </si>
  <si>
    <t>2.10</t>
  </si>
  <si>
    <t>2.08</t>
  </si>
  <si>
    <t>2.06</t>
  </si>
  <si>
    <t>2.04</t>
  </si>
  <si>
    <t>2.02</t>
  </si>
  <si>
    <t>2.13</t>
  </si>
  <si>
    <t>2.11</t>
  </si>
  <si>
    <t>2.09</t>
  </si>
  <si>
    <t>2.07</t>
  </si>
  <si>
    <t>2.05</t>
  </si>
  <si>
    <t>2.03</t>
  </si>
  <si>
    <t>2.01</t>
  </si>
  <si>
    <t>1.14</t>
  </si>
  <si>
    <t>1.12</t>
  </si>
  <si>
    <t>1.10</t>
  </si>
  <si>
    <t>1.08</t>
  </si>
  <si>
    <t>1.06</t>
  </si>
  <si>
    <t>1.04</t>
  </si>
  <si>
    <t>1.02</t>
  </si>
  <si>
    <t>1.13</t>
  </si>
  <si>
    <t>1.11</t>
  </si>
  <si>
    <t>1.09</t>
  </si>
  <si>
    <t>1.07</t>
  </si>
  <si>
    <t>1.05</t>
  </si>
  <si>
    <t>1.03</t>
  </si>
  <si>
    <t>1.01</t>
  </si>
  <si>
    <t>Papiereinlauf</t>
  </si>
  <si>
    <t>1.15</t>
  </si>
  <si>
    <t>1.16</t>
  </si>
  <si>
    <t>1.17</t>
  </si>
  <si>
    <t>1.18</t>
  </si>
  <si>
    <t>1.19</t>
  </si>
  <si>
    <t>1.20</t>
  </si>
  <si>
    <t>2.20</t>
  </si>
  <si>
    <t>2.15</t>
  </si>
  <si>
    <t>2.16</t>
  </si>
  <si>
    <t>2.17</t>
  </si>
  <si>
    <t>2.18</t>
  </si>
  <si>
    <t>2.19</t>
  </si>
  <si>
    <t>HOA</t>
  </si>
  <si>
    <t>PDS1</t>
  </si>
  <si>
    <t>0B010264</t>
  </si>
  <si>
    <t>PDS2</t>
  </si>
  <si>
    <t>0B010364</t>
  </si>
  <si>
    <t>PDS3</t>
  </si>
  <si>
    <t>0B010464</t>
  </si>
  <si>
    <t>PDS4</t>
  </si>
  <si>
    <t>10051C10</t>
  </si>
  <si>
    <t>RS422 I/O Option</t>
  </si>
  <si>
    <t>20051C10</t>
  </si>
  <si>
    <t>Ouput Camera Sync signal</t>
  </si>
  <si>
    <t>Output Fire signal (for Dropwatchers) </t>
  </si>
  <si>
    <t>305.7xx</t>
  </si>
  <si>
    <t>Jetmap Base Setting ch1</t>
  </si>
  <si>
    <t>Jetmap Base Setting ch2</t>
  </si>
  <si>
    <t>Jetmap Base Setting ch3</t>
  </si>
  <si>
    <t>Jetmap Base Setting ch4</t>
  </si>
  <si>
    <t>flip-x</t>
  </si>
  <si>
    <t>TempCtrl
OverTemp</t>
  </si>
  <si>
    <t>TempCtrl
Controller Kp</t>
  </si>
  <si>
    <t>TempCtrl
Controller Ki</t>
  </si>
  <si>
    <t>TempCtrl
CalibGain</t>
  </si>
  <si>
    <t>TempCtrl
CalibOffset</t>
  </si>
  <si>
    <t>428C0000</t>
  </si>
  <si>
    <t>41F00000</t>
  </si>
  <si>
    <t>4089999A</t>
  </si>
  <si>
    <t>Over-Temperature</t>
  </si>
  <si>
    <t>Controller Kp</t>
  </si>
  <si>
    <t>Controller Ki</t>
  </si>
  <si>
    <t>Calibration Offset</t>
  </si>
  <si>
    <t>Some default temperature</t>
  </si>
  <si>
    <t>Copied from Steinemann7</t>
  </si>
  <si>
    <t>CB_1.1</t>
  </si>
  <si>
    <t>CB_1.2</t>
  </si>
  <si>
    <t>CB_2.1</t>
  </si>
  <si>
    <t>CB_2.2</t>
  </si>
  <si>
    <t>CB_3.1</t>
  </si>
  <si>
    <t>CB_3.2</t>
  </si>
  <si>
    <t>CB_4.1</t>
  </si>
  <si>
    <t>CB_4.2</t>
  </si>
  <si>
    <t>00010554E05B</t>
  </si>
  <si>
    <t>00010554E05E</t>
  </si>
  <si>
    <t>00010554E05F</t>
  </si>
  <si>
    <t>8029.3 Color now used from 'translation'</t>
  </si>
  <si>
    <t>Generate PrintMode</t>
  </si>
  <si>
    <t>Bit</t>
  </si>
  <si>
    <t>E</t>
  </si>
  <si>
    <t>Register</t>
  </si>
  <si>
    <t>Description</t>
  </si>
  <si>
    <t>bit</t>
  </si>
  <si>
    <t>Example</t>
  </si>
  <si>
    <t>00010800</t>
  </si>
  <si>
    <t>Flip-X, ImgShift</t>
  </si>
  <si>
    <t>00020800</t>
  </si>
  <si>
    <t>Flip-Y, ImgShift</t>
  </si>
  <si>
    <t>[7..0]</t>
  </si>
  <si>
    <t>00030800</t>
  </si>
  <si>
    <t>Flip-X&amp;Y, ImgShift</t>
  </si>
  <si>
    <t>[15..8]</t>
  </si>
  <si>
    <t>Dropmultiplication</t>
  </si>
  <si>
    <t>[23..16]</t>
  </si>
  <si>
    <t>[31..24]</t>
  </si>
  <si>
    <t>Start Abs</t>
  </si>
  <si>
    <t>Start Rel</t>
  </si>
  <si>
    <t>ImgOffset</t>
  </si>
  <si>
    <t>ImgShift</t>
  </si>
  <si>
    <t>Image rotation</t>
  </si>
  <si>
    <t>Image mapping</t>
  </si>
  <si>
    <t>ImageEnd update</t>
  </si>
  <si>
    <t>Activate Flip-X</t>
  </si>
  <si>
    <t>Activate Flip-Y</t>
  </si>
  <si>
    <t>Activate Masking</t>
  </si>
  <si>
    <t>EmulEnc</t>
  </si>
  <si>
    <t>UseHWEnc</t>
  </si>
  <si>
    <t>Use hardware encoder</t>
  </si>
  <si>
    <t>RevHWEnc</t>
  </si>
  <si>
    <t>Reverse hardware encoder</t>
  </si>
  <si>
    <t>SpHWEnc</t>
  </si>
  <si>
    <t>Encoder in single phase mode</t>
  </si>
  <si>
    <t>20045C10</t>
  </si>
  <si>
    <t>8000.0 Print Mode: 'ImageEnd update' set (Bit14), 'Image mapping' reset (Bit13)</t>
  </si>
  <si>
    <t>Activate Gray Level mask</t>
  </si>
  <si>
    <t>0001054DD9A1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</si>
</sst>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/mm&quot; h&quot;;@"/>
    <numFmt numFmtId="165" formatCode="0.0"/>
  </numFmts>
  <fonts count="17"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0" tint="-0.499984740745262"/>
      <name val="Arial"/>
      <family val="2"/>
    </font>
    <font>
      <sz val="10"/>
      <color rgb="FF00FF00"/>
      <name val="Arial"/>
      <family val="2"/>
    </font>
    <font>
      <b/>
      <sz val="1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rgb="FF00B0F0"/>
      <name val="Arial"/>
      <family val="2"/>
    </font>
    <font>
      <sz val="10"/>
      <color theme="1"/>
      <name val="Lucida Sans"/>
      <family val="2"/>
    </font>
    <font>
      <sz val="10"/>
      <color rgb="FF333333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-0.2499465926084170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0" xfId="0" quotePrefix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/>
    <xf numFmtId="0" fontId="0" fillId="2" borderId="0" xfId="0" applyFill="1"/>
    <xf numFmtId="14" fontId="0" fillId="0" borderId="0" xfId="0" applyNumberFormat="1"/>
    <xf numFmtId="164" fontId="1" fillId="0" borderId="0" xfId="0" applyNumberFormat="1" applyFont="1"/>
    <xf numFmtId="164" fontId="0" fillId="0" borderId="0" xfId="0" applyNumberFormat="1"/>
    <xf numFmtId="0" fontId="0" fillId="0" borderId="0" xfId="0" applyNumberFormat="1" applyAlignment="1">
      <alignment horizontal="left"/>
    </xf>
    <xf numFmtId="0" fontId="0" fillId="3" borderId="0" xfId="0" quotePrefix="1" applyFill="1"/>
    <xf numFmtId="0" fontId="0" fillId="3" borderId="0" xfId="0" applyFill="1"/>
    <xf numFmtId="0" fontId="1" fillId="0" borderId="2" xfId="0" applyFont="1" applyBorder="1" applyAlignment="1">
      <alignment horizontal="left"/>
    </xf>
    <xf numFmtId="0" fontId="1" fillId="0" borderId="2" xfId="0" applyFont="1" applyBorder="1"/>
    <xf numFmtId="0" fontId="1" fillId="0" borderId="2" xfId="0" applyFont="1" applyFill="1" applyBorder="1"/>
    <xf numFmtId="0" fontId="1" fillId="3" borderId="2" xfId="0" applyFont="1" applyFill="1" applyBorder="1" applyAlignment="1">
      <alignment horizontal="left"/>
    </xf>
    <xf numFmtId="0" fontId="1" fillId="0" borderId="1" xfId="0" applyFont="1" applyFill="1" applyBorder="1"/>
    <xf numFmtId="0" fontId="1" fillId="0" borderId="3" xfId="0" applyFont="1" applyFill="1" applyBorder="1"/>
    <xf numFmtId="0" fontId="0" fillId="4" borderId="0" xfId="0" applyFill="1"/>
    <xf numFmtId="0" fontId="0" fillId="0" borderId="0" xfId="0" quotePrefix="1" applyFill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49" fontId="0" fillId="0" borderId="0" xfId="0" applyNumberFormat="1" applyBorder="1"/>
    <xf numFmtId="0" fontId="1" fillId="0" borderId="1" xfId="0" applyFont="1" applyBorder="1" applyAlignment="1">
      <alignment horizontal="left"/>
    </xf>
    <xf numFmtId="0" fontId="0" fillId="0" borderId="0" xfId="0" quotePrefix="1" applyNumberFormat="1" applyAlignment="1">
      <alignment horizontal="left"/>
    </xf>
    <xf numFmtId="0" fontId="1" fillId="10" borderId="2" xfId="0" applyFont="1" applyFill="1" applyBorder="1"/>
    <xf numFmtId="0" fontId="0" fillId="10" borderId="0" xfId="0" applyFill="1"/>
    <xf numFmtId="0" fontId="0" fillId="5" borderId="0" xfId="0" applyFill="1"/>
    <xf numFmtId="0" fontId="0" fillId="0" borderId="0" xfId="0" applyFill="1" applyBorder="1" applyAlignment="1">
      <alignment horizontal="left"/>
    </xf>
    <xf numFmtId="0" fontId="0" fillId="12" borderId="0" xfId="0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0" fontId="1" fillId="11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5" fillId="0" borderId="0" xfId="0" applyFont="1" applyBorder="1"/>
    <xf numFmtId="0" fontId="6" fillId="0" borderId="0" xfId="1" applyAlignment="1" applyProtection="1"/>
    <xf numFmtId="0" fontId="1" fillId="0" borderId="4" xfId="0" applyFont="1" applyBorder="1"/>
    <xf numFmtId="0" fontId="8" fillId="3" borderId="0" xfId="0" applyFont="1" applyFill="1"/>
    <xf numFmtId="0" fontId="9" fillId="3" borderId="0" xfId="0" applyFont="1" applyFill="1"/>
    <xf numFmtId="0" fontId="0" fillId="13" borderId="0" xfId="0" applyFill="1"/>
    <xf numFmtId="0" fontId="0" fillId="12" borderId="0" xfId="0" quotePrefix="1" applyFill="1"/>
    <xf numFmtId="0" fontId="0" fillId="0" borderId="0" xfId="0" applyFont="1" applyFill="1" applyBorder="1" applyAlignment="1">
      <alignment horizontal="left"/>
    </xf>
    <xf numFmtId="10" fontId="0" fillId="0" borderId="0" xfId="0" applyNumberFormat="1" applyFill="1" applyBorder="1"/>
    <xf numFmtId="0" fontId="7" fillId="3" borderId="0" xfId="0" applyFont="1" applyFill="1"/>
    <xf numFmtId="0" fontId="1" fillId="15" borderId="0" xfId="0" applyFont="1" applyFill="1" applyAlignment="1">
      <alignment horizontal="left" wrapText="1"/>
    </xf>
    <xf numFmtId="0" fontId="1" fillId="17" borderId="0" xfId="0" applyFont="1" applyFill="1" applyAlignment="1">
      <alignment horizontal="left" wrapText="1"/>
    </xf>
    <xf numFmtId="0" fontId="1" fillId="18" borderId="0" xfId="0" applyFont="1" applyFill="1" applyAlignment="1">
      <alignment horizontal="left" wrapText="1"/>
    </xf>
    <xf numFmtId="0" fontId="1" fillId="19" borderId="0" xfId="0" applyFont="1" applyFill="1" applyAlignment="1">
      <alignment horizontal="left" wrapText="1"/>
    </xf>
    <xf numFmtId="1" fontId="0" fillId="0" borderId="0" xfId="0" applyNumberFormat="1"/>
    <xf numFmtId="0" fontId="1" fillId="3" borderId="6" xfId="0" applyFont="1" applyFill="1" applyBorder="1" applyAlignment="1">
      <alignment horizontal="left"/>
    </xf>
    <xf numFmtId="0" fontId="0" fillId="12" borderId="0" xfId="0" applyFill="1" applyAlignment="1">
      <alignment horizontal="center" vertical="top"/>
    </xf>
    <xf numFmtId="0" fontId="1" fillId="20" borderId="0" xfId="0" applyFont="1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7" fillId="3" borderId="0" xfId="0" applyFont="1" applyFill="1" applyAlignment="1">
      <alignment horizontal="left"/>
    </xf>
    <xf numFmtId="0" fontId="11" fillId="0" borderId="0" xfId="0" applyFont="1"/>
    <xf numFmtId="0" fontId="10" fillId="14" borderId="0" xfId="0" applyFont="1" applyFill="1" applyAlignment="1">
      <alignment horizontal="left"/>
    </xf>
    <xf numFmtId="0" fontId="0" fillId="0" borderId="0" xfId="0" applyAlignment="1">
      <alignment horizontal="right"/>
    </xf>
    <xf numFmtId="10" fontId="8" fillId="12" borderId="0" xfId="0" applyNumberFormat="1" applyFont="1" applyFill="1"/>
    <xf numFmtId="2" fontId="7" fillId="3" borderId="0" xfId="0" applyNumberFormat="1" applyFont="1" applyFill="1"/>
    <xf numFmtId="0" fontId="14" fillId="16" borderId="0" xfId="0" applyFont="1" applyFill="1"/>
    <xf numFmtId="0" fontId="14" fillId="17" borderId="0" xfId="0" applyFont="1" applyFill="1"/>
    <xf numFmtId="0" fontId="14" fillId="18" borderId="0" xfId="0" applyFont="1" applyFill="1"/>
    <xf numFmtId="0" fontId="14" fillId="19" borderId="0" xfId="0" applyFont="1" applyFill="1"/>
    <xf numFmtId="165" fontId="0" fillId="12" borderId="0" xfId="0" applyNumberFormat="1" applyFill="1"/>
    <xf numFmtId="2" fontId="0" fillId="12" borderId="0" xfId="0" applyNumberFormat="1" applyFill="1"/>
    <xf numFmtId="0" fontId="15" fillId="0" borderId="0" xfId="0" applyFont="1"/>
    <xf numFmtId="0" fontId="0" fillId="0" borderId="0" xfId="0" applyFill="1"/>
    <xf numFmtId="0" fontId="0" fillId="0" borderId="8" xfId="0" applyFill="1" applyBorder="1"/>
    <xf numFmtId="0" fontId="0" fillId="0" borderId="9" xfId="0" applyFill="1" applyBorder="1" applyAlignment="1">
      <alignment horizontal="left"/>
    </xf>
    <xf numFmtId="0" fontId="0" fillId="0" borderId="12" xfId="0" applyFill="1" applyBorder="1"/>
    <xf numFmtId="0" fontId="0" fillId="0" borderId="13" xfId="0" applyFill="1" applyBorder="1" applyAlignment="1">
      <alignment horizontal="left"/>
    </xf>
    <xf numFmtId="0" fontId="0" fillId="0" borderId="15" xfId="0" applyFill="1" applyBorder="1"/>
    <xf numFmtId="0" fontId="0" fillId="0" borderId="16" xfId="0" applyFill="1" applyBorder="1" applyAlignment="1">
      <alignment horizontal="left"/>
    </xf>
    <xf numFmtId="165" fontId="0" fillId="0" borderId="13" xfId="0" applyNumberFormat="1" applyFill="1" applyBorder="1" applyAlignment="1">
      <alignment horizontal="left"/>
    </xf>
    <xf numFmtId="165" fontId="0" fillId="0" borderId="16" xfId="0" applyNumberFormat="1" applyFill="1" applyBorder="1" applyAlignment="1">
      <alignment horizontal="left"/>
    </xf>
    <xf numFmtId="0" fontId="0" fillId="18" borderId="0" xfId="0" quotePrefix="1" applyFill="1"/>
    <xf numFmtId="0" fontId="0" fillId="3" borderId="0" xfId="0" applyFill="1" applyAlignment="1">
      <alignment horizontal="left"/>
    </xf>
    <xf numFmtId="0" fontId="0" fillId="7" borderId="0" xfId="0" quotePrefix="1" applyFill="1"/>
    <xf numFmtId="0" fontId="0" fillId="21" borderId="0" xfId="0" quotePrefix="1" applyFill="1"/>
    <xf numFmtId="0" fontId="0" fillId="22" borderId="0" xfId="0" quotePrefix="1" applyFill="1"/>
    <xf numFmtId="0" fontId="16" fillId="0" borderId="0" xfId="0" applyFont="1"/>
    <xf numFmtId="0" fontId="1" fillId="23" borderId="0" xfId="0" applyFont="1" applyFill="1" applyAlignment="1">
      <alignment horizontal="left" vertical="top" wrapText="1"/>
    </xf>
    <xf numFmtId="0" fontId="0" fillId="24" borderId="0" xfId="0" quotePrefix="1" applyFill="1"/>
    <xf numFmtId="0" fontId="0" fillId="25" borderId="0" xfId="0" quotePrefix="1" applyFill="1"/>
    <xf numFmtId="0" fontId="0" fillId="26" borderId="0" xfId="0" quotePrefix="1" applyFill="1"/>
    <xf numFmtId="0" fontId="1" fillId="0" borderId="18" xfId="0" applyFont="1" applyBorder="1"/>
    <xf numFmtId="0" fontId="0" fillId="0" borderId="0" xfId="0" applyAlignment="1">
      <alignment horizontal="center"/>
    </xf>
    <xf numFmtId="0" fontId="0" fillId="0" borderId="19" xfId="0" applyBorder="1"/>
    <xf numFmtId="0" fontId="1" fillId="0" borderId="20" xfId="0" applyFont="1" applyBorder="1"/>
    <xf numFmtId="0" fontId="0" fillId="0" borderId="20" xfId="0" applyBorder="1"/>
    <xf numFmtId="0" fontId="1" fillId="0" borderId="20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0" borderId="23" xfId="0" applyBorder="1"/>
    <xf numFmtId="0" fontId="0" fillId="12" borderId="24" xfId="0" applyFill="1" applyBorder="1"/>
    <xf numFmtId="0" fontId="0" fillId="0" borderId="25" xfId="0" applyBorder="1"/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0" xfId="0" applyAlignment="1">
      <alignment horizontal="center" vertical="center"/>
    </xf>
    <xf numFmtId="2" fontId="13" fillId="0" borderId="7" xfId="0" quotePrefix="1" applyNumberFormat="1" applyFont="1" applyFill="1" applyBorder="1" applyAlignment="1">
      <alignment horizontal="center" vertical="center"/>
    </xf>
    <xf numFmtId="2" fontId="13" fillId="0" borderId="11" xfId="0" applyNumberFormat="1" applyFont="1" applyFill="1" applyBorder="1" applyAlignment="1">
      <alignment horizontal="center" vertical="center"/>
    </xf>
    <xf numFmtId="2" fontId="13" fillId="0" borderId="14" xfId="0" applyNumberFormat="1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textRotation="90"/>
    </xf>
    <xf numFmtId="0" fontId="12" fillId="0" borderId="10" xfId="0" applyFont="1" applyBorder="1" applyAlignment="1">
      <alignment horizontal="center" vertical="center" textRotation="90"/>
    </xf>
    <xf numFmtId="0" fontId="0" fillId="0" borderId="10" xfId="0" applyBorder="1" applyAlignment="1"/>
    <xf numFmtId="0" fontId="0" fillId="0" borderId="17" xfId="0" applyBorder="1" applyAlignment="1"/>
  </cellXfs>
  <cellStyles count="2">
    <cellStyle name="Link" xfId="1" builtinId="8"/>
    <cellStyle name="Standard" xfId="0" builtinId="0"/>
  </cellStyles>
  <dxfs count="8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FF0000"/>
        </patternFill>
      </fill>
    </dxf>
    <dxf>
      <fill>
        <patternFill>
          <bgColor rgb="FF66FF99"/>
        </patternFill>
      </fill>
    </dxf>
  </dxfs>
  <tableStyles count="0" defaultTableStyle="TableStyleMedium9" defaultPivotStyle="PivotStyleLight16"/>
  <colors>
    <mruColors>
      <color rgb="FF66FF99"/>
      <color rgb="FF00FF00"/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EtherCATMailbox">
        <xsd:complexType>
          <xsd:sequence minOccurs="0">
            <xsd:element minOccurs="0" nillable="true" name="CoE" form="unqualified">
              <xsd:complexType>
                <xsd:sequence minOccurs="0">
                  <xsd:element minOccurs="0" nillable="true" name="InitCmds" form="unqualified">
                    <xsd:complexType>
                      <xsd:sequence minOccurs="0">
                        <xsd:element minOccurs="0" maxOccurs="unbounded" nillable="true" name="InitCmd" form="unqualified">
                          <xsd:complexType>
                            <xsd:sequence minOccurs="0">
                              <xsd:element minOccurs="0" nillable="true" type="xsd:string" name="Transition" form="unqualified"/>
                              <xsd:element minOccurs="0" nillable="true" type="xsd:string" name="Comment" form="unqualified"/>
                              <xsd:element minOccurs="0" nillable="true" type="xsd:integer" name="Timeout" form="unqualified"/>
                              <xsd:element minOccurs="0" nillable="true" type="xsd:integer" name="Ccs" form="unqualified"/>
                              <xsd:element minOccurs="0" nillable="true" type="xsd:integer" name="Index" form="unqualified"/>
                              <xsd:element minOccurs="0" nillable="true" type="xsd:integer" name="SubIndex" form="unqualified"/>
                              <xsd:element minOccurs="0" nillable="true" type="xsd:string" name="Data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EtherCATMailbox">
        <xsd:complexType>
          <xsd:sequence minOccurs="0">
            <xsd:element minOccurs="0" nillable="true" name="CoE" form="unqualified">
              <xsd:complexType>
                <xsd:sequence minOccurs="0">
                  <xsd:element minOccurs="0" nillable="true" name="InitCmds" form="unqualified">
                    <xsd:complexType>
                      <xsd:sequence minOccurs="0">
                        <xsd:element minOccurs="0" maxOccurs="unbounded" nillable="true" name="InitCmd" form="unqualified">
                          <xsd:complexType>
                            <xsd:sequence minOccurs="0">
                              <xsd:element minOccurs="0" nillable="true" type="xsd:string" name="Transition" form="unqualified"/>
                              <xsd:element minOccurs="0" nillable="true" type="xsd:string" name="Comment" form="unqualified"/>
                              <xsd:element minOccurs="0" nillable="true" type="xsd:integer" name="Timeout" form="unqualified"/>
                              <xsd:element minOccurs="0" nillable="true" type="xsd:integer" name="Ccs" form="unqualified"/>
                              <xsd:element minOccurs="0" nillable="true" type="xsd:integer" name="Index" form="unqualified"/>
                              <xsd:element minOccurs="0" nillable="true" type="xsd:integer" name="SubIndex" form="unqualified"/>
                              <xsd:element minOccurs="0" nillable="true" type="xsd:string" name="Data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EtherCATMailbox_Zuordnung" RootElement="EtherCATMailbox" SchemaID="Schema1" ShowImportExportValidationErrors="true" AutoFit="true" Append="false" PreserveSortAFLayout="true" PreserveFormat="true">
    <DataBinding FileBinding="true" ConnectionID="1" DataBindingLoadMode="1"/>
  </Map>
  <Map ID="3" Name="EtherCATMailbox_Zuordnung_2" RootElement="EtherCATMailbox" SchemaID="Schema3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0</xdr:rowOff>
        </xdr:from>
        <xdr:to>
          <xdr:col>14</xdr:col>
          <xdr:colOff>38100</xdr:colOff>
          <xdr:row>6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All XMLs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le22" displayName="Tabelle22" ref="A1:G132" tableType="xml" totalsRowShown="0" connectionId="2">
  <tableColumns count="7">
    <tableColumn id="1" uniqueName="Transition" name="Transition">
      <calculatedColumnFormula>DesignSheet!A2</calculatedColumnFormula>
      <xmlColumnPr mapId="3" xpath="/EtherCATMailbox/CoE/InitCmds/InitCmd/Transition" xmlDataType="string"/>
    </tableColumn>
    <tableColumn id="2" uniqueName="Comment" name="Comment">
      <calculatedColumnFormula>DesignSheet!J2</calculatedColumnFormula>
      <xmlColumnPr mapId="3" xpath="/EtherCATMailbox/CoE/InitCmds/InitCmd/Comment" xmlDataType="string"/>
    </tableColumn>
    <tableColumn id="3" uniqueName="Timeout" name="Timeout">
      <calculatedColumnFormula>DesignSheet!B2</calculatedColumnFormula>
      <xmlColumnPr mapId="3" xpath="/EtherCATMailbox/CoE/InitCmds/InitCmd/Timeout" xmlDataType="integer"/>
    </tableColumn>
    <tableColumn id="4" uniqueName="Ccs" name="Ccs">
      <calculatedColumnFormula>DesignSheet!C2</calculatedColumnFormula>
      <xmlColumnPr mapId="3" xpath="/EtherCATMailbox/CoE/InitCmds/InitCmd/Ccs" xmlDataType="integer"/>
    </tableColumn>
    <tableColumn id="5" uniqueName="Index" name="Index">
      <calculatedColumnFormula>DesignSheet!D2</calculatedColumnFormula>
      <xmlColumnPr mapId="3" xpath="/EtherCATMailbox/CoE/InitCmds/InitCmd/Index" xmlDataType="integer"/>
    </tableColumn>
    <tableColumn id="6" uniqueName="SubIndex" name="SubIndex">
      <calculatedColumnFormula>DesignSheet!I2</calculatedColumnFormula>
      <xmlColumnPr mapId="3" xpath="/EtherCATMailbox/CoE/InitCmds/InitCmd/SubIndex" xmlDataType="integer"/>
    </tableColumn>
    <tableColumn id="7" uniqueName="Data" name="Data">
      <calculatedColumnFormula>DesignSheet!E2</calculatedColumnFormula>
      <xmlColumnPr mapId="3" xpath="/EtherCATMailbox/CoE/InitCmds/InitCmd/Data" xmlDataType="string"/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Manufacturer/Microsoft/Excel%202003%20XML%20Tool/Excel%20XML%20Add-In%20Installation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7030A0"/>
  </sheetPr>
  <dimension ref="A1:M140"/>
  <sheetViews>
    <sheetView workbookViewId="0">
      <selection activeCell="B109" sqref="B109"/>
    </sheetView>
  </sheetViews>
  <sheetFormatPr baseColWidth="10" defaultColWidth="11.42578125" defaultRowHeight="12.75"/>
  <cols>
    <col min="1" max="1" width="10" style="7" bestFit="1" customWidth="1"/>
    <col min="2" max="2" width="70.28515625" style="7" customWidth="1"/>
    <col min="3" max="3" width="10.7109375" style="7" customWidth="1"/>
    <col min="4" max="4" width="6.42578125" style="7" customWidth="1"/>
    <col min="5" max="5" width="8.42578125" style="7" customWidth="1"/>
    <col min="6" max="6" width="9.7109375" style="7" bestFit="1" customWidth="1"/>
    <col min="7" max="7" width="14" style="7" bestFit="1" customWidth="1"/>
    <col min="8" max="8" width="6.28515625" style="7" customWidth="1"/>
    <col min="9" max="9" width="5.42578125" style="7" bestFit="1" customWidth="1"/>
    <col min="10" max="10" width="3.5703125" style="7" customWidth="1"/>
    <col min="11" max="11" width="12" style="7" bestFit="1" customWidth="1"/>
    <col min="12" max="12" width="7.42578125" style="7" bestFit="1" customWidth="1"/>
    <col min="13" max="16384" width="11.42578125" style="7"/>
  </cols>
  <sheetData>
    <row r="1" spans="1:1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K1" s="7" t="s">
        <v>32</v>
      </c>
      <c r="L1" s="7" t="s">
        <v>30</v>
      </c>
      <c r="M1" s="7" t="s">
        <v>31</v>
      </c>
    </row>
    <row r="2" spans="1:13">
      <c r="A2" s="1" t="str">
        <f>DesignSheet!A2</f>
        <v>PS</v>
      </c>
      <c r="B2" s="27" t="str">
        <f>DesignSheet!J2</f>
        <v xml:space="preserve">Logger Level -&gt; set to DEBUG </v>
      </c>
      <c r="C2" s="2">
        <f>DesignSheet!B2</f>
        <v>0</v>
      </c>
      <c r="D2" s="2">
        <f>DesignSheet!C2</f>
        <v>1</v>
      </c>
      <c r="E2" s="2">
        <f>DesignSheet!D2</f>
        <v>41040</v>
      </c>
      <c r="F2" s="2">
        <f>DesignSheet!I2</f>
        <v>1</v>
      </c>
      <c r="G2" s="27" t="str">
        <f>DesignSheet!E2</f>
        <v>0500</v>
      </c>
      <c r="K2" s="57">
        <v>8</v>
      </c>
      <c r="L2" s="34">
        <v>1</v>
      </c>
      <c r="M2" s="34">
        <v>8</v>
      </c>
    </row>
    <row r="3" spans="1:13">
      <c r="A3" s="1" t="str">
        <f>DesignSheet!A3</f>
        <v>PS</v>
      </c>
      <c r="B3" s="27" t="str">
        <f>DesignSheet!J3</f>
        <v xml:space="preserve">Section Width </v>
      </c>
      <c r="C3" s="2">
        <f>DesignSheet!B3</f>
        <v>0</v>
      </c>
      <c r="D3" s="2">
        <f>DesignSheet!C3</f>
        <v>1</v>
      </c>
      <c r="E3" s="2">
        <f>DesignSheet!D3</f>
        <v>32832</v>
      </c>
      <c r="F3" s="2">
        <f>DesignSheet!I3</f>
        <v>1</v>
      </c>
      <c r="G3" s="27" t="str">
        <f>DesignSheet!E3</f>
        <v>00080000</v>
      </c>
    </row>
    <row r="4" spans="1:13">
      <c r="A4" s="1" t="str">
        <f>DesignSheet!A4</f>
        <v>PS</v>
      </c>
      <c r="B4" s="27" t="str">
        <f>DesignSheet!J4</f>
        <v xml:space="preserve">Section Depth </v>
      </c>
      <c r="C4" s="2">
        <f>DesignSheet!B4</f>
        <v>0</v>
      </c>
      <c r="D4" s="2">
        <f>DesignSheet!C4</f>
        <v>1</v>
      </c>
      <c r="E4" s="2">
        <f>DesignSheet!D4</f>
        <v>32832</v>
      </c>
      <c r="F4" s="2">
        <f>DesignSheet!I4</f>
        <v>2</v>
      </c>
      <c r="G4" s="27" t="str">
        <f>DesignSheet!E4</f>
        <v>00600000</v>
      </c>
    </row>
    <row r="5" spans="1:13">
      <c r="A5" s="1" t="str">
        <f>DesignSheet!A5</f>
        <v>PS</v>
      </c>
      <c r="B5" s="27" t="str">
        <f>DesignSheet!J5</f>
        <v>Test print - PrePost White</v>
      </c>
      <c r="C5" s="2">
        <f>DesignSheet!B5</f>
        <v>0</v>
      </c>
      <c r="D5" s="2">
        <f>DesignSheet!C5</f>
        <v>1</v>
      </c>
      <c r="E5" s="2">
        <f>DesignSheet!D5</f>
        <v>32809</v>
      </c>
      <c r="F5" s="2">
        <f>DesignSheet!I5</f>
        <v>9</v>
      </c>
      <c r="G5" s="27" t="str">
        <f>DesignSheet!E5</f>
        <v>2401</v>
      </c>
    </row>
    <row r="6" spans="1:13">
      <c r="A6" s="1" t="str">
        <f>DesignSheet!A6</f>
        <v>PS</v>
      </c>
      <c r="B6" s="27" t="str">
        <f>DesignSheet!J6</f>
        <v xml:space="preserve">Mac Address - Network Data Processor </v>
      </c>
      <c r="C6" s="2">
        <f>DesignSheet!B6</f>
        <v>0</v>
      </c>
      <c r="D6" s="2">
        <f>DesignSheet!C6</f>
        <v>1</v>
      </c>
      <c r="E6" s="2">
        <f>DesignSheet!D6</f>
        <v>32816</v>
      </c>
      <c r="F6" s="2">
        <f>DesignSheet!I6</f>
        <v>1</v>
      </c>
      <c r="G6" s="27" t="str">
        <f ca="1">DesignSheet!E6</f>
        <v>0001054DD9A1</v>
      </c>
    </row>
    <row r="7" spans="1:13">
      <c r="A7" s="1" t="str">
        <f>DesignSheet!A7</f>
        <v>PS</v>
      </c>
      <c r="B7" s="27" t="str">
        <f>DesignSheet!J7</f>
        <v xml:space="preserve">IP Address - Network Data Processor </v>
      </c>
      <c r="C7" s="2">
        <f>DesignSheet!B7</f>
        <v>0</v>
      </c>
      <c r="D7" s="2">
        <f>DesignSheet!C7</f>
        <v>1</v>
      </c>
      <c r="E7" s="2">
        <f>DesignSheet!D7</f>
        <v>32816</v>
      </c>
      <c r="F7" s="2">
        <f>DesignSheet!I7</f>
        <v>2</v>
      </c>
      <c r="G7" s="27" t="str">
        <f ca="1">DesignSheet!E7</f>
        <v>6401010B</v>
      </c>
    </row>
    <row r="8" spans="1:13">
      <c r="A8" s="1" t="str">
        <f>DesignSheet!A8</f>
        <v>PS</v>
      </c>
      <c r="B8" s="27" t="str">
        <f>DesignSheet!J8</f>
        <v xml:space="preserve">UDP Session Port - Network Data Processor </v>
      </c>
      <c r="C8" s="2">
        <f>DesignSheet!B8</f>
        <v>0</v>
      </c>
      <c r="D8" s="2">
        <f>DesignSheet!C8</f>
        <v>1</v>
      </c>
      <c r="E8" s="2">
        <f>DesignSheet!D8</f>
        <v>32816</v>
      </c>
      <c r="F8" s="2">
        <f>DesignSheet!I8</f>
        <v>3</v>
      </c>
      <c r="G8" s="27" t="str">
        <f>DesignSheet!E8</f>
        <v>5C11</v>
      </c>
    </row>
    <row r="9" spans="1:13">
      <c r="A9" s="1" t="str">
        <f>DesignSheet!A9</f>
        <v>PS</v>
      </c>
      <c r="B9" s="27" t="str">
        <f>DesignSheet!J9</f>
        <v xml:space="preserve">UDP Data Listener Port - Network Data Processor </v>
      </c>
      <c r="C9" s="2">
        <f>DesignSheet!B9</f>
        <v>0</v>
      </c>
      <c r="D9" s="2">
        <f>DesignSheet!C9</f>
        <v>1</v>
      </c>
      <c r="E9" s="2">
        <f>DesignSheet!D9</f>
        <v>32816</v>
      </c>
      <c r="F9" s="2">
        <f>DesignSheet!I9</f>
        <v>4</v>
      </c>
      <c r="G9" s="27" t="str">
        <f ca="1">DesignSheet!E9</f>
        <v>000B</v>
      </c>
    </row>
    <row r="10" spans="1:13">
      <c r="A10" s="1" t="str">
        <f>DesignSheet!A10</f>
        <v>PS</v>
      </c>
      <c r="B10" s="27" t="str">
        <f>DesignSheet!J10</f>
        <v xml:space="preserve">MAC Address - Network Printhead </v>
      </c>
      <c r="C10" s="2">
        <f>DesignSheet!B10</f>
        <v>0</v>
      </c>
      <c r="D10" s="2">
        <f>DesignSheet!C10</f>
        <v>1</v>
      </c>
      <c r="E10" s="2">
        <f>DesignSheet!D10</f>
        <v>32817</v>
      </c>
      <c r="F10" s="2">
        <f>DesignSheet!I10</f>
        <v>1</v>
      </c>
      <c r="G10" s="27" t="str">
        <f ca="1">DesignSheet!E10</f>
        <v>1A1100000008</v>
      </c>
    </row>
    <row r="11" spans="1:13">
      <c r="A11" s="1" t="str">
        <f>DesignSheet!A11</f>
        <v>PS</v>
      </c>
      <c r="B11" s="27" t="str">
        <f>DesignSheet!J11</f>
        <v xml:space="preserve">IP Address - Network Printhead </v>
      </c>
      <c r="C11" s="2">
        <f>DesignSheet!B11</f>
        <v>0</v>
      </c>
      <c r="D11" s="2">
        <f>DesignSheet!C11</f>
        <v>1</v>
      </c>
      <c r="E11" s="2">
        <f>DesignSheet!D11</f>
        <v>32817</v>
      </c>
      <c r="F11" s="2">
        <f>DesignSheet!I11</f>
        <v>2</v>
      </c>
      <c r="G11" s="27" t="str">
        <f ca="1">DesignSheet!E11</f>
        <v>0801010B</v>
      </c>
      <c r="L11" s="1"/>
    </row>
    <row r="12" spans="1:13">
      <c r="A12" s="1" t="str">
        <f>DesignSheet!A12</f>
        <v>PS</v>
      </c>
      <c r="B12" s="27" t="str">
        <f>DesignSheet!J12</f>
        <v>Frame Length - Network Frame Params</v>
      </c>
      <c r="C12" s="2">
        <f>DesignSheet!B12</f>
        <v>0</v>
      </c>
      <c r="D12" s="2">
        <f>DesignSheet!C12</f>
        <v>1</v>
      </c>
      <c r="E12" s="2">
        <f>DesignSheet!D12</f>
        <v>32818</v>
      </c>
      <c r="F12" s="2">
        <f>DesignSheet!I12</f>
        <v>1</v>
      </c>
      <c r="G12" s="27" t="str">
        <f>DesignSheet!E12</f>
        <v>00200000</v>
      </c>
    </row>
    <row r="13" spans="1:13">
      <c r="A13" s="1" t="str">
        <f>DesignSheet!A13</f>
        <v>PS</v>
      </c>
      <c r="B13" s="27" t="str">
        <f>DesignSheet!J13</f>
        <v>RX-Data Watchdog - Network  Printhead</v>
      </c>
      <c r="C13" s="2">
        <f>DesignSheet!B13</f>
        <v>0</v>
      </c>
      <c r="D13" s="2">
        <f>DesignSheet!C13</f>
        <v>1</v>
      </c>
      <c r="E13" s="2">
        <f>DesignSheet!D13</f>
        <v>32817</v>
      </c>
      <c r="F13" s="2">
        <f>DesignSheet!I13</f>
        <v>3</v>
      </c>
      <c r="G13" s="27" t="str">
        <f>DesignSheet!E13</f>
        <v>F0550000</v>
      </c>
    </row>
    <row r="14" spans="1:13">
      <c r="A14" s="1" t="str">
        <f>DesignSheet!A14</f>
        <v>PS</v>
      </c>
      <c r="B14" s="27" t="str">
        <f>DesignSheet!J14</f>
        <v>Session Timeout - Netowork Printhead</v>
      </c>
      <c r="C14" s="2">
        <f>DesignSheet!B14</f>
        <v>0</v>
      </c>
      <c r="D14" s="2">
        <f>DesignSheet!C14</f>
        <v>1</v>
      </c>
      <c r="E14" s="2">
        <f>DesignSheet!D14</f>
        <v>32817</v>
      </c>
      <c r="F14" s="2">
        <f>DesignSheet!I14</f>
        <v>5</v>
      </c>
      <c r="G14" s="27" t="str">
        <f>DesignSheet!E14</f>
        <v>204E0000</v>
      </c>
    </row>
    <row r="15" spans="1:13">
      <c r="A15" s="1" t="str">
        <f>DesignSheet!A15</f>
        <v>PS</v>
      </c>
      <c r="B15" s="27" t="str">
        <f>DesignSheet!J15</f>
        <v>Print Mode Setup</v>
      </c>
      <c r="C15" s="2">
        <f>DesignSheet!B15</f>
        <v>0</v>
      </c>
      <c r="D15" s="2">
        <f>DesignSheet!C15</f>
        <v>1</v>
      </c>
      <c r="E15" s="2">
        <f>DesignSheet!D15</f>
        <v>32768</v>
      </c>
      <c r="F15" s="2">
        <f>DesignSheet!I15</f>
        <v>0</v>
      </c>
      <c r="G15" s="27" t="str">
        <f>DesignSheet!E15</f>
        <v>105C0420</v>
      </c>
    </row>
    <row r="16" spans="1:13">
      <c r="A16" s="1" t="str">
        <f>DesignSheet!A16</f>
        <v>PS</v>
      </c>
      <c r="B16" s="27" t="str">
        <f>DesignSheet!J16</f>
        <v>Printhead Enable</v>
      </c>
      <c r="C16" s="2">
        <f>DesignSheet!B16</f>
        <v>0</v>
      </c>
      <c r="D16" s="2">
        <f>DesignSheet!C16</f>
        <v>1</v>
      </c>
      <c r="E16" s="2">
        <f>DesignSheet!D16</f>
        <v>32806</v>
      </c>
      <c r="F16" s="2">
        <f>DesignSheet!I16</f>
        <v>0</v>
      </c>
      <c r="G16" s="27" t="str">
        <f ca="1">DesignSheet!E16</f>
        <v>0700</v>
      </c>
    </row>
    <row r="17" spans="1:7">
      <c r="A17" s="1" t="str">
        <f>DesignSheet!A17</f>
        <v>PS</v>
      </c>
      <c r="B17" s="27" t="str">
        <f>DesignSheet!J17</f>
        <v>HW Encoder Resolution</v>
      </c>
      <c r="C17" s="2">
        <f>DesignSheet!B17</f>
        <v>0</v>
      </c>
      <c r="D17" s="2">
        <f>DesignSheet!C17</f>
        <v>1</v>
      </c>
      <c r="E17" s="2">
        <f>DesignSheet!D17</f>
        <v>36864</v>
      </c>
      <c r="F17" s="2">
        <f>DesignSheet!I17</f>
        <v>3</v>
      </c>
      <c r="G17" s="27" t="str">
        <f>DesignSheet!E17</f>
        <v>FFFF0000</v>
      </c>
    </row>
    <row r="18" spans="1:7">
      <c r="A18" s="1" t="str">
        <f>DesignSheet!A18</f>
        <v>PS</v>
      </c>
      <c r="B18" s="27" t="str">
        <f>DesignSheet!J18</f>
        <v>Manual Fire Mode</v>
      </c>
      <c r="C18" s="2">
        <f>DesignSheet!B18</f>
        <v>0</v>
      </c>
      <c r="D18" s="2">
        <f>DesignSheet!C18</f>
        <v>1</v>
      </c>
      <c r="E18" s="2">
        <f>DesignSheet!D18</f>
        <v>32804</v>
      </c>
      <c r="F18" s="2">
        <f>DesignSheet!I18</f>
        <v>1</v>
      </c>
      <c r="G18" s="27" t="str">
        <f>DesignSheet!E18</f>
        <v>03000000</v>
      </c>
    </row>
    <row r="19" spans="1:7">
      <c r="A19" s="1" t="str">
        <f>DesignSheet!A19</f>
        <v>PS</v>
      </c>
      <c r="B19" s="27" t="str">
        <f>DesignSheet!J19</f>
        <v>Manual Fire Frequency / Spitting</v>
      </c>
      <c r="C19" s="2">
        <f>DesignSheet!B19</f>
        <v>0</v>
      </c>
      <c r="D19" s="2">
        <f>DesignSheet!C19</f>
        <v>1</v>
      </c>
      <c r="E19" s="2">
        <f>DesignSheet!D19</f>
        <v>32804</v>
      </c>
      <c r="F19" s="2">
        <f>DesignSheet!I19</f>
        <v>2</v>
      </c>
      <c r="G19" s="27" t="str">
        <f>DesignSheet!E19</f>
        <v>32000000</v>
      </c>
    </row>
    <row r="20" spans="1:7">
      <c r="A20" s="1" t="str">
        <f>DesignSheet!A20</f>
        <v>PS</v>
      </c>
      <c r="B20" s="27" t="str">
        <f>DesignSheet!J20</f>
        <v>Manual Fire Drop Size</v>
      </c>
      <c r="C20" s="2">
        <f>DesignSheet!B20</f>
        <v>0</v>
      </c>
      <c r="D20" s="2">
        <f>DesignSheet!C20</f>
        <v>1</v>
      </c>
      <c r="E20" s="2">
        <f>DesignSheet!D20</f>
        <v>32804</v>
      </c>
      <c r="F20" s="2">
        <f>DesignSheet!I20</f>
        <v>3</v>
      </c>
      <c r="G20" s="27" t="str">
        <f>DesignSheet!E20</f>
        <v>0100</v>
      </c>
    </row>
    <row r="21" spans="1:7">
      <c r="A21" s="1" t="str">
        <f>DesignSheet!A21</f>
        <v>PS</v>
      </c>
      <c r="B21" s="27" t="str">
        <f>DesignSheet!J21</f>
        <v>Jetmap Base Setting ch1</v>
      </c>
      <c r="C21" s="2">
        <f>DesignSheet!B21</f>
        <v>0</v>
      </c>
      <c r="D21" s="2">
        <f>DesignSheet!C21</f>
        <v>1</v>
      </c>
      <c r="E21" s="2">
        <f>DesignSheet!D21</f>
        <v>32773</v>
      </c>
      <c r="F21" s="2">
        <f>DesignSheet!I21</f>
        <v>1</v>
      </c>
      <c r="G21" s="27" t="str">
        <f>DesignSheet!E21</f>
        <v>01000000</v>
      </c>
    </row>
    <row r="22" spans="1:7">
      <c r="A22" s="1" t="str">
        <f>DesignSheet!A22</f>
        <v>PS</v>
      </c>
      <c r="B22" s="27" t="str">
        <f>DesignSheet!J22</f>
        <v>Jetmap Base Setting ch2</v>
      </c>
      <c r="C22" s="2">
        <f>DesignSheet!B22</f>
        <v>0</v>
      </c>
      <c r="D22" s="2">
        <f>DesignSheet!C22</f>
        <v>1</v>
      </c>
      <c r="E22" s="2">
        <f>DesignSheet!D22</f>
        <v>32773</v>
      </c>
      <c r="F22" s="2">
        <f>DesignSheet!I22</f>
        <v>2</v>
      </c>
      <c r="G22" s="27" t="str">
        <f>DesignSheet!E22</f>
        <v>01000000</v>
      </c>
    </row>
    <row r="23" spans="1:7">
      <c r="A23" s="1" t="str">
        <f>DesignSheet!A23</f>
        <v>PS</v>
      </c>
      <c r="B23" s="27" t="str">
        <f>DesignSheet!J23</f>
        <v>Jetmap Base Setting ch3</v>
      </c>
      <c r="C23" s="2">
        <f>DesignSheet!B23</f>
        <v>0</v>
      </c>
      <c r="D23" s="2">
        <f>DesignSheet!C23</f>
        <v>1</v>
      </c>
      <c r="E23" s="2">
        <f>DesignSheet!D23</f>
        <v>32773</v>
      </c>
      <c r="F23" s="2">
        <f>DesignSheet!I23</f>
        <v>3</v>
      </c>
      <c r="G23" s="27" t="str">
        <f>DesignSheet!E23</f>
        <v>01000000</v>
      </c>
    </row>
    <row r="24" spans="1:7">
      <c r="A24" s="1" t="str">
        <f>DesignSheet!A24</f>
        <v>PS</v>
      </c>
      <c r="B24" s="27" t="str">
        <f>DesignSheet!J24</f>
        <v>Jetmap Base Setting ch4</v>
      </c>
      <c r="C24" s="2">
        <f>DesignSheet!B24</f>
        <v>0</v>
      </c>
      <c r="D24" s="2">
        <f>DesignSheet!C24</f>
        <v>1</v>
      </c>
      <c r="E24" s="2">
        <f>DesignSheet!D24</f>
        <v>32773</v>
      </c>
      <c r="F24" s="2">
        <f>DesignSheet!I24</f>
        <v>4</v>
      </c>
      <c r="G24" s="27" t="str">
        <f>DesignSheet!E24</f>
        <v>01000000</v>
      </c>
    </row>
    <row r="25" spans="1:7">
      <c r="A25" s="1" t="str">
        <f>DesignSheet!A25</f>
        <v>PS</v>
      </c>
      <c r="B25" s="27" t="str">
        <f>DesignSheet!J25</f>
        <v xml:space="preserve">select PH1 () </v>
      </c>
      <c r="C25" s="2">
        <f>DesignSheet!B25</f>
        <v>0</v>
      </c>
      <c r="D25" s="2">
        <f>DesignSheet!C25</f>
        <v>1</v>
      </c>
      <c r="E25" s="2">
        <f>DesignSheet!D25</f>
        <v>32800</v>
      </c>
      <c r="F25" s="2">
        <f>DesignSheet!I25</f>
        <v>0</v>
      </c>
      <c r="G25" s="27" t="str">
        <f>DesignSheet!E25</f>
        <v>0100</v>
      </c>
    </row>
    <row r="26" spans="1:7">
      <c r="A26" s="1" t="str">
        <f>DesignSheet!A26</f>
        <v>PS</v>
      </c>
      <c r="B26" s="27" t="str">
        <f>DesignSheet!J26</f>
        <v>Amplifier Setup</v>
      </c>
      <c r="C26" s="2">
        <f>DesignSheet!B26</f>
        <v>0</v>
      </c>
      <c r="D26" s="2">
        <f>DesignSheet!C26</f>
        <v>1</v>
      </c>
      <c r="E26" s="2">
        <f>DesignSheet!D26</f>
        <v>32801</v>
      </c>
      <c r="F26" s="2">
        <f>DesignSheet!I26</f>
        <v>1</v>
      </c>
      <c r="G26" s="27" t="str">
        <f>DesignSheet!E26</f>
        <v>0000</v>
      </c>
    </row>
    <row r="27" spans="1:7">
      <c r="A27" s="1" t="str">
        <f>DesignSheet!A27</f>
        <v>PS</v>
      </c>
      <c r="B27" s="27" t="str">
        <f>DesignSheet!J27</f>
        <v>Firing Mode</v>
      </c>
      <c r="C27" s="2">
        <f>DesignSheet!B27</f>
        <v>0</v>
      </c>
      <c r="D27" s="2">
        <f>DesignSheet!C27</f>
        <v>1</v>
      </c>
      <c r="E27" s="2">
        <f>DesignSheet!D27</f>
        <v>32801</v>
      </c>
      <c r="F27" s="2">
        <f>DesignSheet!I27</f>
        <v>2</v>
      </c>
      <c r="G27" s="27" t="str">
        <f>DesignSheet!E27</f>
        <v>0000</v>
      </c>
    </row>
    <row r="28" spans="1:7">
      <c r="A28" s="1" t="str">
        <f>DesignSheet!A28</f>
        <v>PS</v>
      </c>
      <c r="B28" s="27" t="str">
        <f>DesignSheet!J28</f>
        <v xml:space="preserve">Color </v>
      </c>
      <c r="C28" s="2">
        <f>DesignSheet!B28</f>
        <v>0</v>
      </c>
      <c r="D28" s="2">
        <f>DesignSheet!C28</f>
        <v>1</v>
      </c>
      <c r="E28" s="2">
        <f>DesignSheet!D28</f>
        <v>32809</v>
      </c>
      <c r="F28" s="2">
        <f>DesignSheet!I28</f>
        <v>3</v>
      </c>
      <c r="G28" s="27" t="str">
        <f ca="1">DesignSheet!E28</f>
        <v>04000000</v>
      </c>
    </row>
    <row r="29" spans="1:7">
      <c r="A29" s="1" t="str">
        <f>DesignSheet!A29</f>
        <v>PS</v>
      </c>
      <c r="B29" s="27" t="str">
        <f>DesignSheet!J29</f>
        <v xml:space="preserve">X-Offset </v>
      </c>
      <c r="C29" s="2">
        <f>DesignSheet!B29</f>
        <v>0</v>
      </c>
      <c r="D29" s="2">
        <f>DesignSheet!C29</f>
        <v>1</v>
      </c>
      <c r="E29" s="2">
        <f>DesignSheet!D29</f>
        <v>32809</v>
      </c>
      <c r="F29" s="2">
        <f>DesignSheet!I29</f>
        <v>4</v>
      </c>
      <c r="G29" s="27" t="str">
        <f ca="1">DesignSheet!E29</f>
        <v>D4870000</v>
      </c>
    </row>
    <row r="30" spans="1:7">
      <c r="A30" s="1" t="str">
        <f>DesignSheet!A30</f>
        <v>PS</v>
      </c>
      <c r="B30" s="27" t="str">
        <f>DesignSheet!J30</f>
        <v xml:space="preserve">Y-Offset </v>
      </c>
      <c r="C30" s="2">
        <f>DesignSheet!B30</f>
        <v>0</v>
      </c>
      <c r="D30" s="2">
        <f>DesignSheet!C30</f>
        <v>1</v>
      </c>
      <c r="E30" s="2">
        <f>DesignSheet!D30</f>
        <v>32809</v>
      </c>
      <c r="F30" s="2">
        <f>DesignSheet!I30</f>
        <v>5</v>
      </c>
      <c r="G30" s="27" t="str">
        <f ca="1">DesignSheet!E30</f>
        <v>F8040000</v>
      </c>
    </row>
    <row r="31" spans="1:7">
      <c r="A31" s="1" t="str">
        <f>DesignSheet!A31</f>
        <v>PS</v>
      </c>
      <c r="B31" s="27" t="str">
        <f>DesignSheet!J31</f>
        <v>Upper Temperature Threshold</v>
      </c>
      <c r="C31" s="2">
        <f>DesignSheet!B31</f>
        <v>0</v>
      </c>
      <c r="D31" s="2">
        <f>DesignSheet!C31</f>
        <v>1</v>
      </c>
      <c r="E31" s="2">
        <f>DesignSheet!D31</f>
        <v>32809</v>
      </c>
      <c r="F31" s="2">
        <f>DesignSheet!I31</f>
        <v>7</v>
      </c>
      <c r="G31" s="27" t="str">
        <f>DesignSheet!E31</f>
        <v>F401</v>
      </c>
    </row>
    <row r="32" spans="1:7">
      <c r="A32" s="1" t="str">
        <f>DesignSheet!A32</f>
        <v>PS</v>
      </c>
      <c r="B32" s="27" t="str">
        <f>DesignSheet!J32</f>
        <v>Over-Temperature</v>
      </c>
      <c r="C32" s="2">
        <f>DesignSheet!B32</f>
        <v>0</v>
      </c>
      <c r="D32" s="2">
        <f>DesignSheet!C32</f>
        <v>1</v>
      </c>
      <c r="E32" s="2">
        <f>DesignSheet!D32</f>
        <v>32805</v>
      </c>
      <c r="F32" s="2">
        <f>DesignSheet!I32</f>
        <v>2</v>
      </c>
      <c r="G32" s="27" t="str">
        <f ca="1">DesignSheet!E32</f>
        <v>00008C42</v>
      </c>
    </row>
    <row r="33" spans="1:7">
      <c r="A33" s="1" t="str">
        <f>DesignSheet!A33</f>
        <v>PS</v>
      </c>
      <c r="B33" s="27" t="str">
        <f>DesignSheet!J33</f>
        <v>Controller Kp</v>
      </c>
      <c r="C33" s="2">
        <f>DesignSheet!B33</f>
        <v>0</v>
      </c>
      <c r="D33" s="2">
        <f>DesignSheet!C33</f>
        <v>1</v>
      </c>
      <c r="E33" s="2">
        <f>DesignSheet!D33</f>
        <v>32805</v>
      </c>
      <c r="F33" s="2">
        <f>DesignSheet!I33</f>
        <v>3</v>
      </c>
      <c r="G33" s="27" t="str">
        <f ca="1">DesignSheet!E33</f>
        <v>0000F041</v>
      </c>
    </row>
    <row r="34" spans="1:7">
      <c r="A34" s="1" t="str">
        <f>DesignSheet!A34</f>
        <v>PS</v>
      </c>
      <c r="B34" s="27" t="str">
        <f>DesignSheet!J34</f>
        <v>Controller Ki</v>
      </c>
      <c r="C34" s="2">
        <f>DesignSheet!B34</f>
        <v>0</v>
      </c>
      <c r="D34" s="2">
        <f>DesignSheet!C34</f>
        <v>1</v>
      </c>
      <c r="E34" s="2">
        <f>DesignSheet!D34</f>
        <v>32805</v>
      </c>
      <c r="F34" s="2">
        <f>DesignSheet!I34</f>
        <v>4</v>
      </c>
      <c r="G34" s="27" t="str">
        <f ca="1">DesignSheet!E34</f>
        <v>00000000</v>
      </c>
    </row>
    <row r="35" spans="1:7">
      <c r="A35" s="1" t="str">
        <f>DesignSheet!A35</f>
        <v>PS</v>
      </c>
      <c r="B35" s="27" t="str">
        <f>DesignSheet!J35</f>
        <v>Calibration Offset</v>
      </c>
      <c r="C35" s="2">
        <f>DesignSheet!B35</f>
        <v>0</v>
      </c>
      <c r="D35" s="2">
        <f>DesignSheet!C35</f>
        <v>1</v>
      </c>
      <c r="E35" s="2">
        <f>DesignSheet!D35</f>
        <v>32805</v>
      </c>
      <c r="F35" s="2">
        <f>DesignSheet!I35</f>
        <v>7</v>
      </c>
      <c r="G35" s="27" t="str">
        <f ca="1">DesignSheet!E35</f>
        <v>9A998940</v>
      </c>
    </row>
    <row r="36" spans="1:7">
      <c r="A36" s="1" t="str">
        <f>DesignSheet!A36</f>
        <v>PS</v>
      </c>
      <c r="B36" s="27" t="str">
        <f>DesignSheet!J36</f>
        <v>Printhead Fire Voltage Reference Row A</v>
      </c>
      <c r="C36" s="2">
        <f>DesignSheet!B36</f>
        <v>0</v>
      </c>
      <c r="D36" s="2">
        <f>DesignSheet!C36</f>
        <v>1</v>
      </c>
      <c r="E36" s="2">
        <f>DesignSheet!D36</f>
        <v>32802</v>
      </c>
      <c r="F36" s="2">
        <f>DesignSheet!I36</f>
        <v>1</v>
      </c>
      <c r="G36" s="27" t="str">
        <f ca="1">DesignSheet!E36</f>
        <v>C105</v>
      </c>
    </row>
    <row r="37" spans="1:7">
      <c r="A37" s="1" t="str">
        <f>DesignSheet!A37</f>
        <v>PS</v>
      </c>
      <c r="B37" s="27" t="str">
        <f>DesignSheet!J37</f>
        <v>Printhead Fire Voltage Reference Row B</v>
      </c>
      <c r="C37" s="2">
        <f>DesignSheet!B37</f>
        <v>0</v>
      </c>
      <c r="D37" s="2">
        <f>DesignSheet!C37</f>
        <v>1</v>
      </c>
      <c r="E37" s="2">
        <f>DesignSheet!D37</f>
        <v>32802</v>
      </c>
      <c r="F37" s="2">
        <f>DesignSheet!I37</f>
        <v>2</v>
      </c>
      <c r="G37" s="27" t="str">
        <f ca="1">DesignSheet!E37</f>
        <v>AF05</v>
      </c>
    </row>
    <row r="38" spans="1:7">
      <c r="A38" s="1" t="str">
        <f>DesignSheet!A38</f>
        <v>PS</v>
      </c>
      <c r="B38" s="27" t="str">
        <f>DesignSheet!J38</f>
        <v>Printhead Fire Voltage Reference Row C</v>
      </c>
      <c r="C38" s="2">
        <f>DesignSheet!B38</f>
        <v>0</v>
      </c>
      <c r="D38" s="2">
        <f>DesignSheet!C38</f>
        <v>1</v>
      </c>
      <c r="E38" s="2">
        <f>DesignSheet!D38</f>
        <v>32802</v>
      </c>
      <c r="F38" s="2">
        <f>DesignSheet!I38</f>
        <v>3</v>
      </c>
      <c r="G38" s="27" t="str">
        <f ca="1">DesignSheet!E38</f>
        <v>AF05</v>
      </c>
    </row>
    <row r="39" spans="1:7">
      <c r="A39" s="1" t="str">
        <f>DesignSheet!A39</f>
        <v>PS</v>
      </c>
      <c r="B39" s="27" t="str">
        <f>DesignSheet!J39</f>
        <v>Printhead Fire Voltage Reference Row D</v>
      </c>
      <c r="C39" s="2">
        <f>DesignSheet!B39</f>
        <v>0</v>
      </c>
      <c r="D39" s="2">
        <f>DesignSheet!C39</f>
        <v>1</v>
      </c>
      <c r="E39" s="2">
        <f>DesignSheet!D39</f>
        <v>32802</v>
      </c>
      <c r="F39" s="2">
        <f>DesignSheet!I39</f>
        <v>4</v>
      </c>
      <c r="G39" s="27" t="str">
        <f ca="1">DesignSheet!E39</f>
        <v>9205</v>
      </c>
    </row>
    <row r="40" spans="1:7">
      <c r="A40" s="1" t="str">
        <f>DesignSheet!A40</f>
        <v>PS</v>
      </c>
      <c r="B40" s="27" t="str">
        <f>DesignSheet!J40</f>
        <v>Waveform Setup</v>
      </c>
      <c r="C40" s="2">
        <f>DesignSheet!B40</f>
        <v>0</v>
      </c>
      <c r="D40" s="2">
        <f>DesignSheet!C40</f>
        <v>1</v>
      </c>
      <c r="E40" s="2">
        <f>DesignSheet!D40</f>
        <v>32803</v>
      </c>
      <c r="F40" s="2">
        <f>DesignSheet!I40</f>
        <v>1</v>
      </c>
      <c r="G40" s="27" t="str">
        <f>DesignSheet!E40</f>
        <v>0100</v>
      </c>
    </row>
    <row r="41" spans="1:7">
      <c r="A41" s="1" t="str">
        <f>DesignSheet!A41</f>
        <v>PS</v>
      </c>
      <c r="B41" s="27" t="str">
        <f>DesignSheet!J41</f>
        <v>Waveform Set</v>
      </c>
      <c r="C41" s="2">
        <f>DesignSheet!B41</f>
        <v>0</v>
      </c>
      <c r="D41" s="2">
        <f>DesignSheet!C41</f>
        <v>1</v>
      </c>
      <c r="E41" s="2">
        <f>DesignSheet!D41</f>
        <v>32803</v>
      </c>
      <c r="F41" s="2">
        <f>DesignSheet!I41</f>
        <v>2</v>
      </c>
      <c r="G41" s="27" t="str">
        <f>DesignSheet!E41</f>
        <v>0100</v>
      </c>
    </row>
    <row r="42" spans="1:7">
      <c r="A42" s="1" t="str">
        <f>DesignSheet!A42</f>
        <v>PS</v>
      </c>
      <c r="B42" s="27" t="str">
        <f>DesignSheet!J42</f>
        <v>Max. Grayscale</v>
      </c>
      <c r="C42" s="2">
        <f>DesignSheet!B42</f>
        <v>0</v>
      </c>
      <c r="D42" s="2">
        <f>DesignSheet!C42</f>
        <v>1</v>
      </c>
      <c r="E42" s="2">
        <f>DesignSheet!D42</f>
        <v>32803</v>
      </c>
      <c r="F42" s="2">
        <f>DesignSheet!I42</f>
        <v>3</v>
      </c>
      <c r="G42" s="27" t="str">
        <f>DesignSheet!E42</f>
        <v>0700</v>
      </c>
    </row>
    <row r="43" spans="1:7">
      <c r="A43" s="1" t="str">
        <f>DesignSheet!A43</f>
        <v>PS</v>
      </c>
      <c r="B43" s="27" t="str">
        <f>DesignSheet!J43</f>
        <v>Printhead Automatic Scaling</v>
      </c>
      <c r="C43" s="2">
        <f>DesignSheet!B43</f>
        <v>0</v>
      </c>
      <c r="D43" s="2">
        <f>DesignSheet!C43</f>
        <v>1</v>
      </c>
      <c r="E43" s="2">
        <f>DesignSheet!D43</f>
        <v>32808</v>
      </c>
      <c r="F43" s="2">
        <f>DesignSheet!I43</f>
        <v>1</v>
      </c>
      <c r="G43" s="27" t="str">
        <f>DesignSheet!E43</f>
        <v>0100</v>
      </c>
    </row>
    <row r="44" spans="1:7">
      <c r="A44" s="1" t="str">
        <f>DesignSheet!A44</f>
        <v>PS</v>
      </c>
      <c r="B44" s="27" t="str">
        <f>DesignSheet!J44</f>
        <v>Printhead Voltage Offset - RowA</v>
      </c>
      <c r="C44" s="2">
        <f>DesignSheet!B44</f>
        <v>0</v>
      </c>
      <c r="D44" s="2">
        <f>DesignSheet!C44</f>
        <v>1</v>
      </c>
      <c r="E44" s="2">
        <f>DesignSheet!D44</f>
        <v>32807</v>
      </c>
      <c r="F44" s="2">
        <f>DesignSheet!I44</f>
        <v>1</v>
      </c>
      <c r="G44" s="27" t="str">
        <f>DesignSheet!E44</f>
        <v>7500</v>
      </c>
    </row>
    <row r="45" spans="1:7">
      <c r="A45" s="1" t="str">
        <f>DesignSheet!A45</f>
        <v>PS</v>
      </c>
      <c r="B45" s="27" t="str">
        <f>DesignSheet!J45</f>
        <v>Printhead Voltage Offset - RowB</v>
      </c>
      <c r="C45" s="2">
        <f>DesignSheet!B45</f>
        <v>0</v>
      </c>
      <c r="D45" s="2">
        <f>DesignSheet!C45</f>
        <v>1</v>
      </c>
      <c r="E45" s="2">
        <f>DesignSheet!D45</f>
        <v>32807</v>
      </c>
      <c r="F45" s="2">
        <f>DesignSheet!I45</f>
        <v>2</v>
      </c>
      <c r="G45" s="27" t="str">
        <f>DesignSheet!E45</f>
        <v>7500</v>
      </c>
    </row>
    <row r="46" spans="1:7">
      <c r="A46" s="1" t="str">
        <f>DesignSheet!A46</f>
        <v>PS</v>
      </c>
      <c r="B46" s="27" t="str">
        <f>DesignSheet!J46</f>
        <v>Printhead Voltage Offset - RowC</v>
      </c>
      <c r="C46" s="2">
        <f>DesignSheet!B46</f>
        <v>0</v>
      </c>
      <c r="D46" s="2">
        <f>DesignSheet!C46</f>
        <v>1</v>
      </c>
      <c r="E46" s="2">
        <f>DesignSheet!D46</f>
        <v>32807</v>
      </c>
      <c r="F46" s="2">
        <f>DesignSheet!I46</f>
        <v>3</v>
      </c>
      <c r="G46" s="27" t="str">
        <f>DesignSheet!E46</f>
        <v>7500</v>
      </c>
    </row>
    <row r="47" spans="1:7">
      <c r="A47" s="1" t="str">
        <f>DesignSheet!A47</f>
        <v>PS</v>
      </c>
      <c r="B47" s="27" t="str">
        <f>DesignSheet!J47</f>
        <v>Printhead Voltage Offset - RowD</v>
      </c>
      <c r="C47" s="2">
        <f>DesignSheet!B47</f>
        <v>0</v>
      </c>
      <c r="D47" s="2">
        <f>DesignSheet!C47</f>
        <v>1</v>
      </c>
      <c r="E47" s="2">
        <f>DesignSheet!D47</f>
        <v>32807</v>
      </c>
      <c r="F47" s="2">
        <f>DesignSheet!I47</f>
        <v>4</v>
      </c>
      <c r="G47" s="27" t="str">
        <f>DesignSheet!E47</f>
        <v>7500</v>
      </c>
    </row>
    <row r="48" spans="1:7">
      <c r="A48" s="1" t="str">
        <f>DesignSheet!A48</f>
        <v>PS</v>
      </c>
      <c r="B48" s="27" t="str">
        <f>DesignSheet!J48</f>
        <v>Printhead Voltage Scaling - RowA</v>
      </c>
      <c r="C48" s="2">
        <f>DesignSheet!B48</f>
        <v>0</v>
      </c>
      <c r="D48" s="2">
        <f>DesignSheet!C48</f>
        <v>1</v>
      </c>
      <c r="E48" s="2">
        <f>DesignSheet!D48</f>
        <v>32808</v>
      </c>
      <c r="F48" s="2">
        <f>DesignSheet!I48</f>
        <v>2</v>
      </c>
      <c r="G48" s="27" t="str">
        <f>DesignSheet!E48</f>
        <v>9B02</v>
      </c>
    </row>
    <row r="49" spans="1:7">
      <c r="A49" s="1" t="str">
        <f>DesignSheet!A49</f>
        <v>PS</v>
      </c>
      <c r="B49" s="27" t="str">
        <f>DesignSheet!J49</f>
        <v>Printhead Voltage Scaling - RowB</v>
      </c>
      <c r="C49" s="2">
        <f>DesignSheet!B49</f>
        <v>0</v>
      </c>
      <c r="D49" s="2">
        <f>DesignSheet!C49</f>
        <v>1</v>
      </c>
      <c r="E49" s="2">
        <f>DesignSheet!D49</f>
        <v>32808</v>
      </c>
      <c r="F49" s="2">
        <f>DesignSheet!I49</f>
        <v>3</v>
      </c>
      <c r="G49" s="27" t="str">
        <f>DesignSheet!E49</f>
        <v>9B02</v>
      </c>
    </row>
    <row r="50" spans="1:7">
      <c r="A50" s="1" t="str">
        <f>DesignSheet!A50</f>
        <v>PS</v>
      </c>
      <c r="B50" s="27" t="str">
        <f>DesignSheet!J50</f>
        <v>Printhead Voltage Scaling - RowC</v>
      </c>
      <c r="C50" s="2">
        <f>DesignSheet!B50</f>
        <v>0</v>
      </c>
      <c r="D50" s="2">
        <f>DesignSheet!C50</f>
        <v>1</v>
      </c>
      <c r="E50" s="2">
        <f>DesignSheet!D50</f>
        <v>32808</v>
      </c>
      <c r="F50" s="2">
        <f>DesignSheet!I50</f>
        <v>4</v>
      </c>
      <c r="G50" s="27" t="str">
        <f>DesignSheet!E50</f>
        <v>9B02</v>
      </c>
    </row>
    <row r="51" spans="1:7">
      <c r="A51" s="1" t="str">
        <f>DesignSheet!A51</f>
        <v>PS</v>
      </c>
      <c r="B51" s="27" t="str">
        <f>DesignSheet!J51</f>
        <v>Printhead Voltage Scaling - RowD</v>
      </c>
      <c r="C51" s="2">
        <f>DesignSheet!B51</f>
        <v>0</v>
      </c>
      <c r="D51" s="2">
        <f>DesignSheet!C51</f>
        <v>1</v>
      </c>
      <c r="E51" s="2">
        <f>DesignSheet!D51</f>
        <v>32808</v>
      </c>
      <c r="F51" s="2">
        <f>DesignSheet!I51</f>
        <v>5</v>
      </c>
      <c r="G51" s="27" t="str">
        <f>DesignSheet!E51</f>
        <v>9B02</v>
      </c>
    </row>
    <row r="52" spans="1:7">
      <c r="A52" s="1" t="str">
        <f>DesignSheet!A52</f>
        <v>PS</v>
      </c>
      <c r="B52" s="27" t="str">
        <f>DesignSheet!J52</f>
        <v xml:space="preserve">select PH2 () </v>
      </c>
      <c r="C52" s="2">
        <f>DesignSheet!B52</f>
        <v>0</v>
      </c>
      <c r="D52" s="2">
        <f>DesignSheet!C52</f>
        <v>1</v>
      </c>
      <c r="E52" s="2">
        <f>DesignSheet!D52</f>
        <v>32800</v>
      </c>
      <c r="F52" s="2">
        <f>DesignSheet!I52</f>
        <v>0</v>
      </c>
      <c r="G52" s="27" t="str">
        <f>DesignSheet!E52</f>
        <v>0200</v>
      </c>
    </row>
    <row r="53" spans="1:7">
      <c r="A53" s="1" t="str">
        <f>DesignSheet!A53</f>
        <v>PS</v>
      </c>
      <c r="B53" s="27" t="str">
        <f>DesignSheet!J53</f>
        <v>Amplifier Setup</v>
      </c>
      <c r="C53" s="2">
        <f>DesignSheet!B53</f>
        <v>0</v>
      </c>
      <c r="D53" s="2">
        <f>DesignSheet!C53</f>
        <v>1</v>
      </c>
      <c r="E53" s="2">
        <f>DesignSheet!D53</f>
        <v>32801</v>
      </c>
      <c r="F53" s="2">
        <f>DesignSheet!I53</f>
        <v>1</v>
      </c>
      <c r="G53" s="27" t="str">
        <f>DesignSheet!E53</f>
        <v>0000</v>
      </c>
    </row>
    <row r="54" spans="1:7">
      <c r="A54" s="1" t="str">
        <f>DesignSheet!A54</f>
        <v>PS</v>
      </c>
      <c r="B54" s="27" t="str">
        <f>DesignSheet!J54</f>
        <v>Firing Mode</v>
      </c>
      <c r="C54" s="2">
        <f>DesignSheet!B54</f>
        <v>0</v>
      </c>
      <c r="D54" s="2">
        <f>DesignSheet!C54</f>
        <v>1</v>
      </c>
      <c r="E54" s="2">
        <f>DesignSheet!D54</f>
        <v>32801</v>
      </c>
      <c r="F54" s="2">
        <f>DesignSheet!I54</f>
        <v>2</v>
      </c>
      <c r="G54" s="27" t="str">
        <f>DesignSheet!E54</f>
        <v>0000</v>
      </c>
    </row>
    <row r="55" spans="1:7">
      <c r="A55" s="1" t="str">
        <f>DesignSheet!A55</f>
        <v>PS</v>
      </c>
      <c r="B55" s="27" t="str">
        <f>DesignSheet!J55</f>
        <v xml:space="preserve">Color </v>
      </c>
      <c r="C55" s="2">
        <f>DesignSheet!B55</f>
        <v>0</v>
      </c>
      <c r="D55" s="2">
        <f>DesignSheet!C55</f>
        <v>1</v>
      </c>
      <c r="E55" s="2">
        <f>DesignSheet!D55</f>
        <v>32809</v>
      </c>
      <c r="F55" s="2">
        <f>DesignSheet!I55</f>
        <v>3</v>
      </c>
      <c r="G55" s="27" t="str">
        <f ca="1">DesignSheet!E55</f>
        <v>04000000</v>
      </c>
    </row>
    <row r="56" spans="1:7">
      <c r="A56" s="1" t="str">
        <f>DesignSheet!A56</f>
        <v>PS</v>
      </c>
      <c r="B56" s="27" t="str">
        <f>DesignSheet!J56</f>
        <v xml:space="preserve">X-Offset </v>
      </c>
      <c r="C56" s="2">
        <f>DesignSheet!B56</f>
        <v>0</v>
      </c>
      <c r="D56" s="2">
        <f>DesignSheet!C56</f>
        <v>1</v>
      </c>
      <c r="E56" s="2">
        <f>DesignSheet!D56</f>
        <v>32809</v>
      </c>
      <c r="F56" s="2">
        <f>DesignSheet!I56</f>
        <v>4</v>
      </c>
      <c r="G56" s="27" t="str">
        <f ca="1">DesignSheet!E56</f>
        <v>D4870000</v>
      </c>
    </row>
    <row r="57" spans="1:7">
      <c r="A57" s="1" t="str">
        <f>DesignSheet!A57</f>
        <v>PS</v>
      </c>
      <c r="B57" s="27" t="str">
        <f>DesignSheet!J57</f>
        <v xml:space="preserve">Y-Offset </v>
      </c>
      <c r="C57" s="2">
        <f>DesignSheet!B57</f>
        <v>0</v>
      </c>
      <c r="D57" s="2">
        <f>DesignSheet!C57</f>
        <v>1</v>
      </c>
      <c r="E57" s="2">
        <f>DesignSheet!D57</f>
        <v>32809</v>
      </c>
      <c r="F57" s="2">
        <f>DesignSheet!I57</f>
        <v>5</v>
      </c>
      <c r="G57" s="27" t="str">
        <f ca="1">DesignSheet!E57</f>
        <v>E70E0000</v>
      </c>
    </row>
    <row r="58" spans="1:7">
      <c r="A58" s="1" t="str">
        <f>DesignSheet!A58</f>
        <v>PS</v>
      </c>
      <c r="B58" s="27" t="str">
        <f>DesignSheet!J58</f>
        <v>Upper Temperature Threshold</v>
      </c>
      <c r="C58" s="2">
        <f>DesignSheet!B58</f>
        <v>0</v>
      </c>
      <c r="D58" s="2">
        <f>DesignSheet!C58</f>
        <v>1</v>
      </c>
      <c r="E58" s="2">
        <f>DesignSheet!D58</f>
        <v>32809</v>
      </c>
      <c r="F58" s="2">
        <f>DesignSheet!I58</f>
        <v>7</v>
      </c>
      <c r="G58" s="27" t="str">
        <f>DesignSheet!E58</f>
        <v>F401</v>
      </c>
    </row>
    <row r="59" spans="1:7">
      <c r="A59" s="1" t="str">
        <f>DesignSheet!A59</f>
        <v>PS</v>
      </c>
      <c r="B59" s="27" t="str">
        <f>DesignSheet!J59</f>
        <v>Over-Temperature</v>
      </c>
      <c r="C59" s="2">
        <f>DesignSheet!B59</f>
        <v>0</v>
      </c>
      <c r="D59" s="2">
        <f>DesignSheet!C59</f>
        <v>1</v>
      </c>
      <c r="E59" s="2">
        <f>DesignSheet!D59</f>
        <v>32805</v>
      </c>
      <c r="F59" s="2">
        <f>DesignSheet!I59</f>
        <v>2</v>
      </c>
      <c r="G59" s="27" t="str">
        <f ca="1">DesignSheet!E59</f>
        <v>00008C42</v>
      </c>
    </row>
    <row r="60" spans="1:7">
      <c r="A60" s="1" t="str">
        <f>DesignSheet!A60</f>
        <v>PS</v>
      </c>
      <c r="B60" s="27" t="str">
        <f>DesignSheet!J60</f>
        <v>Controller Kp</v>
      </c>
      <c r="C60" s="2">
        <f>DesignSheet!B60</f>
        <v>0</v>
      </c>
      <c r="D60" s="2">
        <f>DesignSheet!C60</f>
        <v>1</v>
      </c>
      <c r="E60" s="2">
        <f>DesignSheet!D60</f>
        <v>32805</v>
      </c>
      <c r="F60" s="2">
        <f>DesignSheet!I60</f>
        <v>3</v>
      </c>
      <c r="G60" s="27" t="str">
        <f ca="1">DesignSheet!E60</f>
        <v>0000F041</v>
      </c>
    </row>
    <row r="61" spans="1:7">
      <c r="A61" s="1" t="str">
        <f>DesignSheet!A61</f>
        <v>PS</v>
      </c>
      <c r="B61" s="27" t="str">
        <f>DesignSheet!J61</f>
        <v>Controller Ki</v>
      </c>
      <c r="C61" s="2">
        <f>DesignSheet!B61</f>
        <v>0</v>
      </c>
      <c r="D61" s="2">
        <f>DesignSheet!C61</f>
        <v>1</v>
      </c>
      <c r="E61" s="2">
        <f>DesignSheet!D61</f>
        <v>32805</v>
      </c>
      <c r="F61" s="2">
        <f>DesignSheet!I61</f>
        <v>4</v>
      </c>
      <c r="G61" s="27" t="str">
        <f ca="1">DesignSheet!E61</f>
        <v>00000000</v>
      </c>
    </row>
    <row r="62" spans="1:7">
      <c r="A62" s="1" t="str">
        <f>DesignSheet!A62</f>
        <v>PS</v>
      </c>
      <c r="B62" s="27" t="str">
        <f>DesignSheet!J62</f>
        <v>Calibration Offset</v>
      </c>
      <c r="C62" s="2">
        <f>DesignSheet!B62</f>
        <v>0</v>
      </c>
      <c r="D62" s="2">
        <f>DesignSheet!C62</f>
        <v>1</v>
      </c>
      <c r="E62" s="2">
        <f>DesignSheet!D62</f>
        <v>32805</v>
      </c>
      <c r="F62" s="2">
        <f>DesignSheet!I62</f>
        <v>7</v>
      </c>
      <c r="G62" s="27" t="str">
        <f ca="1">DesignSheet!E62</f>
        <v>9A998940</v>
      </c>
    </row>
    <row r="63" spans="1:7">
      <c r="A63" s="1" t="str">
        <f>DesignSheet!A63</f>
        <v>PS</v>
      </c>
      <c r="B63" s="27" t="str">
        <f>DesignSheet!J63</f>
        <v>Printhead Fire Voltage Reference Row A</v>
      </c>
      <c r="C63" s="2">
        <f>DesignSheet!B63</f>
        <v>0</v>
      </c>
      <c r="D63" s="2">
        <f>DesignSheet!C63</f>
        <v>1</v>
      </c>
      <c r="E63" s="2">
        <f>DesignSheet!D63</f>
        <v>32802</v>
      </c>
      <c r="F63" s="2">
        <f>DesignSheet!I63</f>
        <v>1</v>
      </c>
      <c r="G63" s="27" t="str">
        <f ca="1">DesignSheet!E63</f>
        <v>0E06</v>
      </c>
    </row>
    <row r="64" spans="1:7">
      <c r="A64" s="1" t="str">
        <f>DesignSheet!A64</f>
        <v>PS</v>
      </c>
      <c r="B64" s="27" t="str">
        <f>DesignSheet!J64</f>
        <v>Printhead Fire Voltage Reference Row B</v>
      </c>
      <c r="C64" s="2">
        <f>DesignSheet!B64</f>
        <v>0</v>
      </c>
      <c r="D64" s="2">
        <f>DesignSheet!C64</f>
        <v>1</v>
      </c>
      <c r="E64" s="2">
        <f>DesignSheet!D64</f>
        <v>32802</v>
      </c>
      <c r="F64" s="2">
        <f>DesignSheet!I64</f>
        <v>2</v>
      </c>
      <c r="G64" s="27" t="str">
        <f ca="1">DesignSheet!E64</f>
        <v>F105</v>
      </c>
    </row>
    <row r="65" spans="1:7">
      <c r="A65" s="1" t="str">
        <f>DesignSheet!A65</f>
        <v>PS</v>
      </c>
      <c r="B65" s="27" t="str">
        <f>DesignSheet!J65</f>
        <v>Printhead Fire Voltage Reference Row C</v>
      </c>
      <c r="C65" s="2">
        <f>DesignSheet!B65</f>
        <v>0</v>
      </c>
      <c r="D65" s="2">
        <f>DesignSheet!C65</f>
        <v>1</v>
      </c>
      <c r="E65" s="2">
        <f>DesignSheet!D65</f>
        <v>32802</v>
      </c>
      <c r="F65" s="2">
        <f>DesignSheet!I65</f>
        <v>3</v>
      </c>
      <c r="G65" s="27" t="str">
        <f ca="1">DesignSheet!E65</f>
        <v>DE05</v>
      </c>
    </row>
    <row r="66" spans="1:7">
      <c r="A66" s="1" t="str">
        <f>DesignSheet!A66</f>
        <v>PS</v>
      </c>
      <c r="B66" s="27" t="str">
        <f>DesignSheet!J66</f>
        <v>Printhead Fire Voltage Reference Row D</v>
      </c>
      <c r="C66" s="2">
        <f>DesignSheet!B66</f>
        <v>0</v>
      </c>
      <c r="D66" s="2">
        <f>DesignSheet!C66</f>
        <v>1</v>
      </c>
      <c r="E66" s="2">
        <f>DesignSheet!D66</f>
        <v>32802</v>
      </c>
      <c r="F66" s="2">
        <f>DesignSheet!I66</f>
        <v>4</v>
      </c>
      <c r="G66" s="27" t="str">
        <f ca="1">DesignSheet!E66</f>
        <v>D405</v>
      </c>
    </row>
    <row r="67" spans="1:7">
      <c r="A67" s="1" t="str">
        <f>DesignSheet!A67</f>
        <v>PS</v>
      </c>
      <c r="B67" s="27" t="str">
        <f>DesignSheet!J67</f>
        <v>Waveform Setup</v>
      </c>
      <c r="C67" s="2">
        <f>DesignSheet!B67</f>
        <v>0</v>
      </c>
      <c r="D67" s="2">
        <f>DesignSheet!C67</f>
        <v>1</v>
      </c>
      <c r="E67" s="2">
        <f>DesignSheet!D67</f>
        <v>32803</v>
      </c>
      <c r="F67" s="2">
        <f>DesignSheet!I67</f>
        <v>1</v>
      </c>
      <c r="G67" s="27" t="str">
        <f>DesignSheet!E67</f>
        <v>0100</v>
      </c>
    </row>
    <row r="68" spans="1:7">
      <c r="A68" s="1" t="str">
        <f>DesignSheet!A68</f>
        <v>PS</v>
      </c>
      <c r="B68" s="27" t="str">
        <f>DesignSheet!J68</f>
        <v>Waveform Set</v>
      </c>
      <c r="C68" s="2">
        <f>DesignSheet!B68</f>
        <v>0</v>
      </c>
      <c r="D68" s="2">
        <f>DesignSheet!C68</f>
        <v>1</v>
      </c>
      <c r="E68" s="2">
        <f>DesignSheet!D68</f>
        <v>32803</v>
      </c>
      <c r="F68" s="2">
        <f>DesignSheet!I68</f>
        <v>2</v>
      </c>
      <c r="G68" s="27" t="str">
        <f>DesignSheet!E68</f>
        <v>0100</v>
      </c>
    </row>
    <row r="69" spans="1:7">
      <c r="A69" s="1" t="str">
        <f>DesignSheet!A69</f>
        <v>PS</v>
      </c>
      <c r="B69" s="27" t="str">
        <f>DesignSheet!J69</f>
        <v>Max. Grayscale</v>
      </c>
      <c r="C69" s="2">
        <f>DesignSheet!B69</f>
        <v>0</v>
      </c>
      <c r="D69" s="2">
        <f>DesignSheet!C69</f>
        <v>1</v>
      </c>
      <c r="E69" s="2">
        <f>DesignSheet!D69</f>
        <v>32803</v>
      </c>
      <c r="F69" s="2">
        <f>DesignSheet!I69</f>
        <v>3</v>
      </c>
      <c r="G69" s="27" t="str">
        <f>DesignSheet!E69</f>
        <v>0700</v>
      </c>
    </row>
    <row r="70" spans="1:7">
      <c r="A70" s="1" t="str">
        <f>DesignSheet!A70</f>
        <v>PS</v>
      </c>
      <c r="B70" s="27" t="str">
        <f>DesignSheet!J70</f>
        <v>Printhead Automatic Scaling</v>
      </c>
      <c r="C70" s="2">
        <f>DesignSheet!B70</f>
        <v>0</v>
      </c>
      <c r="D70" s="2">
        <f>DesignSheet!C70</f>
        <v>1</v>
      </c>
      <c r="E70" s="2">
        <f>DesignSheet!D70</f>
        <v>32808</v>
      </c>
      <c r="F70" s="2">
        <f>DesignSheet!I70</f>
        <v>1</v>
      </c>
      <c r="G70" s="27" t="str">
        <f>DesignSheet!E70</f>
        <v>0100</v>
      </c>
    </row>
    <row r="71" spans="1:7">
      <c r="A71" s="1" t="str">
        <f>DesignSheet!A71</f>
        <v>PS</v>
      </c>
      <c r="B71" s="27" t="str">
        <f>DesignSheet!J71</f>
        <v>Printhead Voltage Offset - RowA</v>
      </c>
      <c r="C71" s="2">
        <f>DesignSheet!B71</f>
        <v>0</v>
      </c>
      <c r="D71" s="2">
        <f>DesignSheet!C71</f>
        <v>1</v>
      </c>
      <c r="E71" s="2">
        <f>DesignSheet!D71</f>
        <v>32807</v>
      </c>
      <c r="F71" s="2">
        <f>DesignSheet!I71</f>
        <v>1</v>
      </c>
      <c r="G71" s="27" t="str">
        <f>DesignSheet!E71</f>
        <v>7500</v>
      </c>
    </row>
    <row r="72" spans="1:7">
      <c r="A72" s="1" t="str">
        <f>DesignSheet!A72</f>
        <v>PS</v>
      </c>
      <c r="B72" s="27" t="str">
        <f>DesignSheet!J72</f>
        <v>Printhead Voltage Offset - RowB</v>
      </c>
      <c r="C72" s="2">
        <f>DesignSheet!B72</f>
        <v>0</v>
      </c>
      <c r="D72" s="2">
        <f>DesignSheet!C72</f>
        <v>1</v>
      </c>
      <c r="E72" s="2">
        <f>DesignSheet!D72</f>
        <v>32807</v>
      </c>
      <c r="F72" s="2">
        <f>DesignSheet!I72</f>
        <v>2</v>
      </c>
      <c r="G72" s="27" t="str">
        <f>DesignSheet!E72</f>
        <v>7500</v>
      </c>
    </row>
    <row r="73" spans="1:7">
      <c r="A73" s="1" t="str">
        <f>DesignSheet!A73</f>
        <v>PS</v>
      </c>
      <c r="B73" s="27" t="str">
        <f>DesignSheet!J73</f>
        <v>Printhead Voltage Offset - RowC</v>
      </c>
      <c r="C73" s="2">
        <f>DesignSheet!B73</f>
        <v>0</v>
      </c>
      <c r="D73" s="2">
        <f>DesignSheet!C73</f>
        <v>1</v>
      </c>
      <c r="E73" s="2">
        <f>DesignSheet!D73</f>
        <v>32807</v>
      </c>
      <c r="F73" s="2">
        <f>DesignSheet!I73</f>
        <v>3</v>
      </c>
      <c r="G73" s="27" t="str">
        <f>DesignSheet!E73</f>
        <v>7500</v>
      </c>
    </row>
    <row r="74" spans="1:7">
      <c r="A74" s="1" t="str">
        <f>DesignSheet!A74</f>
        <v>PS</v>
      </c>
      <c r="B74" s="27" t="str">
        <f>DesignSheet!J74</f>
        <v>Printhead Voltage Offset - RowD</v>
      </c>
      <c r="C74" s="2">
        <f>DesignSheet!B74</f>
        <v>0</v>
      </c>
      <c r="D74" s="2">
        <f>DesignSheet!C74</f>
        <v>1</v>
      </c>
      <c r="E74" s="2">
        <f>DesignSheet!D74</f>
        <v>32807</v>
      </c>
      <c r="F74" s="2">
        <f>DesignSheet!I74</f>
        <v>4</v>
      </c>
      <c r="G74" s="27" t="str">
        <f>DesignSheet!E74</f>
        <v>7500</v>
      </c>
    </row>
    <row r="75" spans="1:7">
      <c r="A75" s="1" t="str">
        <f>DesignSheet!A75</f>
        <v>PS</v>
      </c>
      <c r="B75" s="27" t="str">
        <f>DesignSheet!J75</f>
        <v>Printhead Voltage Scaling - RowA</v>
      </c>
      <c r="C75" s="2">
        <f>DesignSheet!B75</f>
        <v>0</v>
      </c>
      <c r="D75" s="2">
        <f>DesignSheet!C75</f>
        <v>1</v>
      </c>
      <c r="E75" s="2">
        <f>DesignSheet!D75</f>
        <v>32808</v>
      </c>
      <c r="F75" s="2">
        <f>DesignSheet!I75</f>
        <v>2</v>
      </c>
      <c r="G75" s="27" t="str">
        <f>DesignSheet!E75</f>
        <v>9B02</v>
      </c>
    </row>
    <row r="76" spans="1:7">
      <c r="A76" s="1" t="str">
        <f>DesignSheet!A76</f>
        <v>PS</v>
      </c>
      <c r="B76" s="27" t="str">
        <f>DesignSheet!J76</f>
        <v>Printhead Voltage Scaling - RowB</v>
      </c>
      <c r="C76" s="2">
        <f>DesignSheet!B76</f>
        <v>0</v>
      </c>
      <c r="D76" s="2">
        <f>DesignSheet!C76</f>
        <v>1</v>
      </c>
      <c r="E76" s="2">
        <f>DesignSheet!D76</f>
        <v>32808</v>
      </c>
      <c r="F76" s="2">
        <f>DesignSheet!I76</f>
        <v>3</v>
      </c>
      <c r="G76" s="27" t="str">
        <f>DesignSheet!E76</f>
        <v>9B02</v>
      </c>
    </row>
    <row r="77" spans="1:7">
      <c r="A77" s="1" t="str">
        <f>DesignSheet!A77</f>
        <v>PS</v>
      </c>
      <c r="B77" s="27" t="str">
        <f>DesignSheet!J77</f>
        <v>Printhead Voltage Scaling - RowC</v>
      </c>
      <c r="C77" s="2">
        <f>DesignSheet!B77</f>
        <v>0</v>
      </c>
      <c r="D77" s="2">
        <f>DesignSheet!C77</f>
        <v>1</v>
      </c>
      <c r="E77" s="2">
        <f>DesignSheet!D77</f>
        <v>32808</v>
      </c>
      <c r="F77" s="2">
        <f>DesignSheet!I77</f>
        <v>4</v>
      </c>
      <c r="G77" s="27" t="str">
        <f>DesignSheet!E77</f>
        <v>9B02</v>
      </c>
    </row>
    <row r="78" spans="1:7">
      <c r="A78" s="1" t="str">
        <f>DesignSheet!A78</f>
        <v>PS</v>
      </c>
      <c r="B78" s="27" t="str">
        <f>DesignSheet!J78</f>
        <v>Printhead Voltage Scaling - RowD</v>
      </c>
      <c r="C78" s="2">
        <f>DesignSheet!B78</f>
        <v>0</v>
      </c>
      <c r="D78" s="2">
        <f>DesignSheet!C78</f>
        <v>1</v>
      </c>
      <c r="E78" s="2">
        <f>DesignSheet!D78</f>
        <v>32808</v>
      </c>
      <c r="F78" s="2">
        <f>DesignSheet!I78</f>
        <v>5</v>
      </c>
      <c r="G78" s="27" t="str">
        <f>DesignSheet!E78</f>
        <v>9B02</v>
      </c>
    </row>
    <row r="79" spans="1:7">
      <c r="A79" s="1" t="str">
        <f>DesignSheet!A79</f>
        <v>PS</v>
      </c>
      <c r="B79" s="27" t="str">
        <f>DesignSheet!J79</f>
        <v xml:space="preserve">select PH3 () </v>
      </c>
      <c r="C79" s="2">
        <f>DesignSheet!B79</f>
        <v>0</v>
      </c>
      <c r="D79" s="2">
        <f>DesignSheet!C79</f>
        <v>1</v>
      </c>
      <c r="E79" s="2">
        <f>DesignSheet!D79</f>
        <v>32800</v>
      </c>
      <c r="F79" s="2">
        <f>DesignSheet!I79</f>
        <v>0</v>
      </c>
      <c r="G79" s="27" t="str">
        <f>DesignSheet!E79</f>
        <v>0300</v>
      </c>
    </row>
    <row r="80" spans="1:7">
      <c r="A80" s="1" t="str">
        <f>DesignSheet!A80</f>
        <v>PS</v>
      </c>
      <c r="B80" s="27" t="str">
        <f>DesignSheet!J80</f>
        <v>Amplifier Setup</v>
      </c>
      <c r="C80" s="2">
        <f>DesignSheet!B80</f>
        <v>0</v>
      </c>
      <c r="D80" s="2">
        <f>DesignSheet!C80</f>
        <v>1</v>
      </c>
      <c r="E80" s="2">
        <f>DesignSheet!D80</f>
        <v>32801</v>
      </c>
      <c r="F80" s="2">
        <f>DesignSheet!I80</f>
        <v>1</v>
      </c>
      <c r="G80" s="27" t="str">
        <f>DesignSheet!E80</f>
        <v>0000</v>
      </c>
    </row>
    <row r="81" spans="1:7">
      <c r="A81" s="1" t="str">
        <f>DesignSheet!A81</f>
        <v>PS</v>
      </c>
      <c r="B81" s="27" t="str">
        <f>DesignSheet!J81</f>
        <v>Firing Mode</v>
      </c>
      <c r="C81" s="2">
        <f>DesignSheet!B81</f>
        <v>0</v>
      </c>
      <c r="D81" s="2">
        <f>DesignSheet!C81</f>
        <v>1</v>
      </c>
      <c r="E81" s="2">
        <f>DesignSheet!D81</f>
        <v>32801</v>
      </c>
      <c r="F81" s="2">
        <f>DesignSheet!I81</f>
        <v>2</v>
      </c>
      <c r="G81" s="27" t="str">
        <f>DesignSheet!E81</f>
        <v>0000</v>
      </c>
    </row>
    <row r="82" spans="1:7">
      <c r="A82" s="1" t="str">
        <f>DesignSheet!A82</f>
        <v>PS</v>
      </c>
      <c r="B82" s="27" t="str">
        <f>DesignSheet!J82</f>
        <v xml:space="preserve">Color </v>
      </c>
      <c r="C82" s="2">
        <f>DesignSheet!B82</f>
        <v>0</v>
      </c>
      <c r="D82" s="2">
        <f>DesignSheet!C82</f>
        <v>1</v>
      </c>
      <c r="E82" s="2">
        <f>DesignSheet!D82</f>
        <v>32809</v>
      </c>
      <c r="F82" s="2">
        <f>DesignSheet!I82</f>
        <v>3</v>
      </c>
      <c r="G82" s="27" t="str">
        <f ca="1">DesignSheet!E82</f>
        <v>04000000</v>
      </c>
    </row>
    <row r="83" spans="1:7">
      <c r="A83" s="1" t="str">
        <f>DesignSheet!A83</f>
        <v>PS</v>
      </c>
      <c r="B83" s="27" t="str">
        <f>DesignSheet!J83</f>
        <v xml:space="preserve">X-Offset </v>
      </c>
      <c r="C83" s="2">
        <f>DesignSheet!B83</f>
        <v>0</v>
      </c>
      <c r="D83" s="2">
        <f>DesignSheet!C83</f>
        <v>1</v>
      </c>
      <c r="E83" s="2">
        <f>DesignSheet!D83</f>
        <v>32809</v>
      </c>
      <c r="F83" s="2">
        <f>DesignSheet!I83</f>
        <v>4</v>
      </c>
      <c r="G83" s="27" t="str">
        <f ca="1">DesignSheet!E83</f>
        <v>D4870000</v>
      </c>
    </row>
    <row r="84" spans="1:7">
      <c r="A84" s="1" t="str">
        <f>DesignSheet!A84</f>
        <v>PS</v>
      </c>
      <c r="B84" s="27" t="str">
        <f>DesignSheet!J84</f>
        <v xml:space="preserve">Y-Offset </v>
      </c>
      <c r="C84" s="2">
        <f>DesignSheet!B84</f>
        <v>0</v>
      </c>
      <c r="D84" s="2">
        <f>DesignSheet!C84</f>
        <v>1</v>
      </c>
      <c r="E84" s="2">
        <f>DesignSheet!D84</f>
        <v>32809</v>
      </c>
      <c r="F84" s="2">
        <f>DesignSheet!I84</f>
        <v>5</v>
      </c>
      <c r="G84" s="27" t="str">
        <f ca="1">DesignSheet!E84</f>
        <v>D7180000</v>
      </c>
    </row>
    <row r="85" spans="1:7">
      <c r="A85" s="1" t="str">
        <f>DesignSheet!A85</f>
        <v>PS</v>
      </c>
      <c r="B85" s="27" t="str">
        <f>DesignSheet!J85</f>
        <v>Upper Temperature Threshold</v>
      </c>
      <c r="C85" s="2">
        <f>DesignSheet!B85</f>
        <v>0</v>
      </c>
      <c r="D85" s="2">
        <f>DesignSheet!C85</f>
        <v>1</v>
      </c>
      <c r="E85" s="2">
        <f>DesignSheet!D85</f>
        <v>32809</v>
      </c>
      <c r="F85" s="2">
        <f>DesignSheet!I85</f>
        <v>7</v>
      </c>
      <c r="G85" s="27" t="str">
        <f>DesignSheet!E85</f>
        <v>F401</v>
      </c>
    </row>
    <row r="86" spans="1:7">
      <c r="A86" s="1" t="str">
        <f>DesignSheet!A86</f>
        <v>PS</v>
      </c>
      <c r="B86" s="27" t="str">
        <f>DesignSheet!J86</f>
        <v>Over-Temperature</v>
      </c>
      <c r="C86" s="2">
        <f>DesignSheet!B86</f>
        <v>0</v>
      </c>
      <c r="D86" s="2">
        <f>DesignSheet!C86</f>
        <v>1</v>
      </c>
      <c r="E86" s="2">
        <f>DesignSheet!D86</f>
        <v>32805</v>
      </c>
      <c r="F86" s="2">
        <f>DesignSheet!I86</f>
        <v>2</v>
      </c>
      <c r="G86" s="27" t="str">
        <f ca="1">DesignSheet!E86</f>
        <v>00008C42</v>
      </c>
    </row>
    <row r="87" spans="1:7">
      <c r="A87" s="1" t="str">
        <f>DesignSheet!A87</f>
        <v>PS</v>
      </c>
      <c r="B87" s="27" t="str">
        <f>DesignSheet!J87</f>
        <v>Controller Kp</v>
      </c>
      <c r="C87" s="2">
        <f>DesignSheet!B87</f>
        <v>0</v>
      </c>
      <c r="D87" s="2">
        <f>DesignSheet!C87</f>
        <v>1</v>
      </c>
      <c r="E87" s="2">
        <f>DesignSheet!D87</f>
        <v>32805</v>
      </c>
      <c r="F87" s="2">
        <f>DesignSheet!I87</f>
        <v>3</v>
      </c>
      <c r="G87" s="27" t="str">
        <f ca="1">DesignSheet!E87</f>
        <v>0000F041</v>
      </c>
    </row>
    <row r="88" spans="1:7">
      <c r="A88" s="1" t="str">
        <f>DesignSheet!A88</f>
        <v>PS</v>
      </c>
      <c r="B88" s="27" t="str">
        <f>DesignSheet!J88</f>
        <v>Controller Ki</v>
      </c>
      <c r="C88" s="2">
        <f>DesignSheet!B88</f>
        <v>0</v>
      </c>
      <c r="D88" s="2">
        <f>DesignSheet!C88</f>
        <v>1</v>
      </c>
      <c r="E88" s="2">
        <f>DesignSheet!D88</f>
        <v>32805</v>
      </c>
      <c r="F88" s="2">
        <f>DesignSheet!I88</f>
        <v>4</v>
      </c>
      <c r="G88" s="27" t="str">
        <f ca="1">DesignSheet!E88</f>
        <v>00000000</v>
      </c>
    </row>
    <row r="89" spans="1:7">
      <c r="A89" s="1" t="str">
        <f>DesignSheet!A89</f>
        <v>PS</v>
      </c>
      <c r="B89" s="27" t="str">
        <f>DesignSheet!J89</f>
        <v>Calibration Offset</v>
      </c>
      <c r="C89" s="2">
        <f>DesignSheet!B89</f>
        <v>0</v>
      </c>
      <c r="D89" s="2">
        <f>DesignSheet!C89</f>
        <v>1</v>
      </c>
      <c r="E89" s="2">
        <f>DesignSheet!D89</f>
        <v>32805</v>
      </c>
      <c r="F89" s="2">
        <f>DesignSheet!I89</f>
        <v>7</v>
      </c>
      <c r="G89" s="27" t="str">
        <f ca="1">DesignSheet!E89</f>
        <v>9A998940</v>
      </c>
    </row>
    <row r="90" spans="1:7">
      <c r="A90" s="1" t="str">
        <f>DesignSheet!A90</f>
        <v>PS</v>
      </c>
      <c r="B90" s="27" t="str">
        <f>DesignSheet!J90</f>
        <v>Printhead Fire Voltage Reference Row A</v>
      </c>
      <c r="C90" s="2">
        <f>DesignSheet!B90</f>
        <v>0</v>
      </c>
      <c r="D90" s="2">
        <f>DesignSheet!C90</f>
        <v>1</v>
      </c>
      <c r="E90" s="2">
        <f>DesignSheet!D90</f>
        <v>32802</v>
      </c>
      <c r="F90" s="2">
        <f>DesignSheet!I90</f>
        <v>1</v>
      </c>
      <c r="G90" s="27" t="str">
        <f ca="1">DesignSheet!E90</f>
        <v>FA05</v>
      </c>
    </row>
    <row r="91" spans="1:7">
      <c r="A91" s="1" t="str">
        <f>DesignSheet!A91</f>
        <v>PS</v>
      </c>
      <c r="B91" s="27" t="str">
        <f>DesignSheet!J91</f>
        <v>Printhead Fire Voltage Reference Row B</v>
      </c>
      <c r="C91" s="2">
        <f>DesignSheet!B91</f>
        <v>0</v>
      </c>
      <c r="D91" s="2">
        <f>DesignSheet!C91</f>
        <v>1</v>
      </c>
      <c r="E91" s="2">
        <f>DesignSheet!D91</f>
        <v>32802</v>
      </c>
      <c r="F91" s="2">
        <f>DesignSheet!I91</f>
        <v>2</v>
      </c>
      <c r="G91" s="27" t="str">
        <f ca="1">DesignSheet!E91</f>
        <v>D405</v>
      </c>
    </row>
    <row r="92" spans="1:7">
      <c r="A92" s="1" t="str">
        <f>DesignSheet!A92</f>
        <v>PS</v>
      </c>
      <c r="B92" s="27" t="str">
        <f>DesignSheet!J92</f>
        <v>Printhead Fire Voltage Reference Row C</v>
      </c>
      <c r="C92" s="2">
        <f>DesignSheet!B92</f>
        <v>0</v>
      </c>
      <c r="D92" s="2">
        <f>DesignSheet!C92</f>
        <v>1</v>
      </c>
      <c r="E92" s="2">
        <f>DesignSheet!D92</f>
        <v>32802</v>
      </c>
      <c r="F92" s="2">
        <f>DesignSheet!I92</f>
        <v>3</v>
      </c>
      <c r="G92" s="27" t="str">
        <f ca="1">DesignSheet!E92</f>
        <v>DE05</v>
      </c>
    </row>
    <row r="93" spans="1:7">
      <c r="A93" s="1" t="str">
        <f>DesignSheet!A93</f>
        <v>PS</v>
      </c>
      <c r="B93" s="27" t="str">
        <f>DesignSheet!J93</f>
        <v>Printhead Fire Voltage Reference Row D</v>
      </c>
      <c r="C93" s="2">
        <f>DesignSheet!B93</f>
        <v>0</v>
      </c>
      <c r="D93" s="2">
        <f>DesignSheet!C93</f>
        <v>1</v>
      </c>
      <c r="E93" s="2">
        <f>DesignSheet!D93</f>
        <v>32802</v>
      </c>
      <c r="F93" s="2">
        <f>DesignSheet!I93</f>
        <v>4</v>
      </c>
      <c r="G93" s="27" t="str">
        <f ca="1">DesignSheet!E93</f>
        <v>CB05</v>
      </c>
    </row>
    <row r="94" spans="1:7">
      <c r="A94" s="1" t="str">
        <f>DesignSheet!A94</f>
        <v>PS</v>
      </c>
      <c r="B94" s="27" t="str">
        <f>DesignSheet!J94</f>
        <v>Waveform Setup</v>
      </c>
      <c r="C94" s="2">
        <f>DesignSheet!B94</f>
        <v>0</v>
      </c>
      <c r="D94" s="2">
        <f>DesignSheet!C94</f>
        <v>1</v>
      </c>
      <c r="E94" s="2">
        <f>DesignSheet!D94</f>
        <v>32803</v>
      </c>
      <c r="F94" s="2">
        <f>DesignSheet!I94</f>
        <v>1</v>
      </c>
      <c r="G94" s="27" t="str">
        <f>DesignSheet!E94</f>
        <v>0100</v>
      </c>
    </row>
    <row r="95" spans="1:7">
      <c r="A95" s="1" t="str">
        <f>DesignSheet!A95</f>
        <v>PS</v>
      </c>
      <c r="B95" s="27" t="str">
        <f>DesignSheet!J95</f>
        <v>Waveform Set</v>
      </c>
      <c r="C95" s="2">
        <f>DesignSheet!B95</f>
        <v>0</v>
      </c>
      <c r="D95" s="2">
        <f>DesignSheet!C95</f>
        <v>1</v>
      </c>
      <c r="E95" s="2">
        <f>DesignSheet!D95</f>
        <v>32803</v>
      </c>
      <c r="F95" s="2">
        <f>DesignSheet!I95</f>
        <v>2</v>
      </c>
      <c r="G95" s="27" t="str">
        <f>DesignSheet!E95</f>
        <v>0100</v>
      </c>
    </row>
    <row r="96" spans="1:7">
      <c r="A96" s="1" t="str">
        <f>DesignSheet!A96</f>
        <v>PS</v>
      </c>
      <c r="B96" s="27" t="str">
        <f>DesignSheet!J96</f>
        <v>Max. Grayscale</v>
      </c>
      <c r="C96" s="2">
        <f>DesignSheet!B96</f>
        <v>0</v>
      </c>
      <c r="D96" s="2">
        <f>DesignSheet!C96</f>
        <v>1</v>
      </c>
      <c r="E96" s="2">
        <f>DesignSheet!D96</f>
        <v>32803</v>
      </c>
      <c r="F96" s="2">
        <f>DesignSheet!I96</f>
        <v>3</v>
      </c>
      <c r="G96" s="27" t="str">
        <f>DesignSheet!E96</f>
        <v>0700</v>
      </c>
    </row>
    <row r="97" spans="1:7">
      <c r="A97" s="1" t="str">
        <f>DesignSheet!A97</f>
        <v>PS</v>
      </c>
      <c r="B97" s="27" t="str">
        <f>DesignSheet!J97</f>
        <v>Printhead Automatic Scaling</v>
      </c>
      <c r="C97" s="2">
        <f>DesignSheet!B97</f>
        <v>0</v>
      </c>
      <c r="D97" s="2">
        <f>DesignSheet!C97</f>
        <v>1</v>
      </c>
      <c r="E97" s="2">
        <f>DesignSheet!D97</f>
        <v>32808</v>
      </c>
      <c r="F97" s="2">
        <f>DesignSheet!I97</f>
        <v>1</v>
      </c>
      <c r="G97" s="27" t="str">
        <f>DesignSheet!E97</f>
        <v>0100</v>
      </c>
    </row>
    <row r="98" spans="1:7">
      <c r="A98" s="1" t="str">
        <f>DesignSheet!A98</f>
        <v>PS</v>
      </c>
      <c r="B98" s="27" t="str">
        <f>DesignSheet!J98</f>
        <v>Printhead Voltage Offset - RowA</v>
      </c>
      <c r="C98" s="2">
        <f>DesignSheet!B98</f>
        <v>0</v>
      </c>
      <c r="D98" s="2">
        <f>DesignSheet!C98</f>
        <v>1</v>
      </c>
      <c r="E98" s="2">
        <f>DesignSheet!D98</f>
        <v>32807</v>
      </c>
      <c r="F98" s="2">
        <f>DesignSheet!I98</f>
        <v>1</v>
      </c>
      <c r="G98" s="27" t="str">
        <f>DesignSheet!E98</f>
        <v>7500</v>
      </c>
    </row>
    <row r="99" spans="1:7">
      <c r="A99" s="1" t="str">
        <f>DesignSheet!A99</f>
        <v>PS</v>
      </c>
      <c r="B99" s="27" t="str">
        <f>DesignSheet!J99</f>
        <v>Printhead Voltage Offset - RowB</v>
      </c>
      <c r="C99" s="2">
        <f>DesignSheet!B99</f>
        <v>0</v>
      </c>
      <c r="D99" s="2">
        <f>DesignSheet!C99</f>
        <v>1</v>
      </c>
      <c r="E99" s="2">
        <f>DesignSheet!D99</f>
        <v>32807</v>
      </c>
      <c r="F99" s="2">
        <f>DesignSheet!I99</f>
        <v>2</v>
      </c>
      <c r="G99" s="27" t="str">
        <f>DesignSheet!E99</f>
        <v>7500</v>
      </c>
    </row>
    <row r="100" spans="1:7">
      <c r="A100" s="1" t="str">
        <f>DesignSheet!A100</f>
        <v>PS</v>
      </c>
      <c r="B100" s="27" t="str">
        <f>DesignSheet!J100</f>
        <v>Printhead Voltage Offset - RowC</v>
      </c>
      <c r="C100" s="2">
        <f>DesignSheet!B100</f>
        <v>0</v>
      </c>
      <c r="D100" s="2">
        <f>DesignSheet!C100</f>
        <v>1</v>
      </c>
      <c r="E100" s="2">
        <f>DesignSheet!D100</f>
        <v>32807</v>
      </c>
      <c r="F100" s="2">
        <f>DesignSheet!I100</f>
        <v>3</v>
      </c>
      <c r="G100" s="27" t="str">
        <f>DesignSheet!E100</f>
        <v>7500</v>
      </c>
    </row>
    <row r="101" spans="1:7">
      <c r="A101" s="1" t="str">
        <f>DesignSheet!A101</f>
        <v>PS</v>
      </c>
      <c r="B101" s="27" t="str">
        <f>DesignSheet!J101</f>
        <v>Printhead Voltage Offset - RowD</v>
      </c>
      <c r="C101" s="2">
        <f>DesignSheet!B101</f>
        <v>0</v>
      </c>
      <c r="D101" s="2">
        <f>DesignSheet!C101</f>
        <v>1</v>
      </c>
      <c r="E101" s="2">
        <f>DesignSheet!D101</f>
        <v>32807</v>
      </c>
      <c r="F101" s="2">
        <f>DesignSheet!I101</f>
        <v>4</v>
      </c>
      <c r="G101" s="27" t="str">
        <f>DesignSheet!E101</f>
        <v>7500</v>
      </c>
    </row>
    <row r="102" spans="1:7">
      <c r="A102" s="1" t="str">
        <f>DesignSheet!A102</f>
        <v>PS</v>
      </c>
      <c r="B102" s="27" t="str">
        <f>DesignSheet!J102</f>
        <v>Printhead Voltage Scaling - RowA</v>
      </c>
      <c r="C102" s="2">
        <f>DesignSheet!B102</f>
        <v>0</v>
      </c>
      <c r="D102" s="2">
        <f>DesignSheet!C102</f>
        <v>1</v>
      </c>
      <c r="E102" s="2">
        <f>DesignSheet!D102</f>
        <v>32808</v>
      </c>
      <c r="F102" s="2">
        <f>DesignSheet!I102</f>
        <v>2</v>
      </c>
      <c r="G102" s="27" t="str">
        <f>DesignSheet!E102</f>
        <v>9B02</v>
      </c>
    </row>
    <row r="103" spans="1:7">
      <c r="A103" s="1" t="str">
        <f>DesignSheet!A103</f>
        <v>PS</v>
      </c>
      <c r="B103" s="27" t="str">
        <f>DesignSheet!J103</f>
        <v>Printhead Voltage Scaling - RowB</v>
      </c>
      <c r="C103" s="2">
        <f>DesignSheet!B103</f>
        <v>0</v>
      </c>
      <c r="D103" s="2">
        <f>DesignSheet!C103</f>
        <v>1</v>
      </c>
      <c r="E103" s="2">
        <f>DesignSheet!D103</f>
        <v>32808</v>
      </c>
      <c r="F103" s="2">
        <f>DesignSheet!I103</f>
        <v>3</v>
      </c>
      <c r="G103" s="27" t="str">
        <f>DesignSheet!E103</f>
        <v>9B02</v>
      </c>
    </row>
    <row r="104" spans="1:7">
      <c r="A104" s="1" t="str">
        <f>DesignSheet!A104</f>
        <v>PS</v>
      </c>
      <c r="B104" s="27" t="str">
        <f>DesignSheet!J104</f>
        <v>Printhead Voltage Scaling - RowC</v>
      </c>
      <c r="C104" s="2">
        <f>DesignSheet!B104</f>
        <v>0</v>
      </c>
      <c r="D104" s="2">
        <f>DesignSheet!C104</f>
        <v>1</v>
      </c>
      <c r="E104" s="2">
        <f>DesignSheet!D104</f>
        <v>32808</v>
      </c>
      <c r="F104" s="2">
        <f>DesignSheet!I104</f>
        <v>4</v>
      </c>
      <c r="G104" s="27" t="str">
        <f>DesignSheet!E104</f>
        <v>9B02</v>
      </c>
    </row>
    <row r="105" spans="1:7">
      <c r="A105" s="1" t="str">
        <f>DesignSheet!A105</f>
        <v>PS</v>
      </c>
      <c r="B105" s="27" t="str">
        <f>DesignSheet!J105</f>
        <v>Printhead Voltage Scaling - RowD</v>
      </c>
      <c r="C105" s="2">
        <f>DesignSheet!B105</f>
        <v>0</v>
      </c>
      <c r="D105" s="2">
        <f>DesignSheet!C105</f>
        <v>1</v>
      </c>
      <c r="E105" s="2">
        <f>DesignSheet!D105</f>
        <v>32808</v>
      </c>
      <c r="F105" s="2">
        <f>DesignSheet!I105</f>
        <v>5</v>
      </c>
      <c r="G105" s="27" t="str">
        <f>DesignSheet!E105</f>
        <v>9B02</v>
      </c>
    </row>
    <row r="106" spans="1:7">
      <c r="A106" s="1" t="str">
        <f>DesignSheet!A106</f>
        <v>PS</v>
      </c>
      <c r="B106" s="27" t="str">
        <f>DesignSheet!J106</f>
        <v xml:space="preserve">select PH4 () </v>
      </c>
      <c r="C106" s="2">
        <f>DesignSheet!B106</f>
        <v>0</v>
      </c>
      <c r="D106" s="2">
        <f>DesignSheet!C106</f>
        <v>1</v>
      </c>
      <c r="E106" s="2">
        <f>DesignSheet!D106</f>
        <v>32800</v>
      </c>
      <c r="F106" s="2">
        <f>DesignSheet!I106</f>
        <v>0</v>
      </c>
      <c r="G106" s="27" t="str">
        <f>DesignSheet!E106</f>
        <v>0400</v>
      </c>
    </row>
    <row r="107" spans="1:7">
      <c r="A107" s="1" t="str">
        <f>DesignSheet!A107</f>
        <v>PS</v>
      </c>
      <c r="B107" s="27" t="str">
        <f>DesignSheet!J107</f>
        <v>Amplifier Setup</v>
      </c>
      <c r="C107" s="2">
        <f>DesignSheet!B107</f>
        <v>0</v>
      </c>
      <c r="D107" s="2">
        <f>DesignSheet!C107</f>
        <v>1</v>
      </c>
      <c r="E107" s="2">
        <f>DesignSheet!D107</f>
        <v>32801</v>
      </c>
      <c r="F107" s="2">
        <f>DesignSheet!I107</f>
        <v>1</v>
      </c>
      <c r="G107" s="27" t="str">
        <f>DesignSheet!E107</f>
        <v>0000</v>
      </c>
    </row>
    <row r="108" spans="1:7">
      <c r="A108" s="1" t="str">
        <f>DesignSheet!A108</f>
        <v>PS</v>
      </c>
      <c r="B108" s="27" t="str">
        <f>DesignSheet!J108</f>
        <v>Firing Mode</v>
      </c>
      <c r="C108" s="2">
        <f>DesignSheet!B108</f>
        <v>0</v>
      </c>
      <c r="D108" s="2">
        <f>DesignSheet!C108</f>
        <v>1</v>
      </c>
      <c r="E108" s="2">
        <f>DesignSheet!D108</f>
        <v>32801</v>
      </c>
      <c r="F108" s="2">
        <f>DesignSheet!I108</f>
        <v>2</v>
      </c>
      <c r="G108" s="27" t="str">
        <f>DesignSheet!E108</f>
        <v>0000</v>
      </c>
    </row>
    <row r="109" spans="1:7">
      <c r="A109" s="1" t="str">
        <f>DesignSheet!A109</f>
        <v>PS</v>
      </c>
      <c r="B109" s="27" t="str">
        <f>DesignSheet!J109</f>
        <v xml:space="preserve">Color </v>
      </c>
      <c r="C109" s="2">
        <f>DesignSheet!B109</f>
        <v>0</v>
      </c>
      <c r="D109" s="2">
        <f>DesignSheet!C109</f>
        <v>1</v>
      </c>
      <c r="E109" s="2">
        <f>DesignSheet!D109</f>
        <v>32809</v>
      </c>
      <c r="F109" s="2">
        <f>DesignSheet!I109</f>
        <v>3</v>
      </c>
      <c r="G109" s="27" t="str">
        <f ca="1">DesignSheet!E109</f>
        <v>04000000</v>
      </c>
    </row>
    <row r="110" spans="1:7">
      <c r="A110" s="1" t="str">
        <f>DesignSheet!A110</f>
        <v>PS</v>
      </c>
      <c r="B110" s="27" t="str">
        <f>DesignSheet!J110</f>
        <v xml:space="preserve">X-Offset </v>
      </c>
      <c r="C110" s="2">
        <f>DesignSheet!B110</f>
        <v>0</v>
      </c>
      <c r="D110" s="2">
        <f>DesignSheet!C110</f>
        <v>1</v>
      </c>
      <c r="E110" s="2">
        <f>DesignSheet!D110</f>
        <v>32809</v>
      </c>
      <c r="F110" s="2">
        <f>DesignSheet!I110</f>
        <v>4</v>
      </c>
      <c r="G110" s="27" t="str">
        <f ca="1">DesignSheet!E110</f>
        <v>D4870000</v>
      </c>
    </row>
    <row r="111" spans="1:7">
      <c r="A111" s="1" t="str">
        <f>DesignSheet!A111</f>
        <v>PS</v>
      </c>
      <c r="B111" s="27" t="str">
        <f>DesignSheet!J111</f>
        <v xml:space="preserve">Y-Offset </v>
      </c>
      <c r="C111" s="2">
        <f>DesignSheet!B111</f>
        <v>0</v>
      </c>
      <c r="D111" s="2">
        <f>DesignSheet!C111</f>
        <v>1</v>
      </c>
      <c r="E111" s="2">
        <f>DesignSheet!D111</f>
        <v>32809</v>
      </c>
      <c r="F111" s="2">
        <f>DesignSheet!I111</f>
        <v>5</v>
      </c>
      <c r="G111" s="27" t="str">
        <f ca="1">DesignSheet!E111</f>
        <v>00000000</v>
      </c>
    </row>
    <row r="112" spans="1:7">
      <c r="A112" s="1" t="str">
        <f>DesignSheet!A112</f>
        <v>PS</v>
      </c>
      <c r="B112" s="27" t="str">
        <f>DesignSheet!J112</f>
        <v>Upper Temperature Threshold</v>
      </c>
      <c r="C112" s="2">
        <f>DesignSheet!B112</f>
        <v>0</v>
      </c>
      <c r="D112" s="2">
        <f>DesignSheet!C112</f>
        <v>1</v>
      </c>
      <c r="E112" s="2">
        <f>DesignSheet!D112</f>
        <v>32809</v>
      </c>
      <c r="F112" s="2">
        <f>DesignSheet!I112</f>
        <v>7</v>
      </c>
      <c r="G112" s="27" t="str">
        <f>DesignSheet!E112</f>
        <v>F401</v>
      </c>
    </row>
    <row r="113" spans="1:7">
      <c r="A113" s="1" t="str">
        <f>DesignSheet!A113</f>
        <v>PS</v>
      </c>
      <c r="B113" s="27" t="str">
        <f>DesignSheet!J113</f>
        <v>Over-Temperature</v>
      </c>
      <c r="C113" s="2">
        <f>DesignSheet!B113</f>
        <v>0</v>
      </c>
      <c r="D113" s="2">
        <f>DesignSheet!C113</f>
        <v>1</v>
      </c>
      <c r="E113" s="2">
        <f>DesignSheet!D113</f>
        <v>32805</v>
      </c>
      <c r="F113" s="2">
        <f>DesignSheet!I113</f>
        <v>2</v>
      </c>
      <c r="G113" s="27" t="str">
        <f ca="1">DesignSheet!E113</f>
        <v>00008C42</v>
      </c>
    </row>
    <row r="114" spans="1:7">
      <c r="A114" s="1" t="str">
        <f>DesignSheet!A114</f>
        <v>PS</v>
      </c>
      <c r="B114" s="27" t="str">
        <f>DesignSheet!J114</f>
        <v>Controller Kp</v>
      </c>
      <c r="C114" s="2">
        <f>DesignSheet!B114</f>
        <v>0</v>
      </c>
      <c r="D114" s="2">
        <f>DesignSheet!C114</f>
        <v>1</v>
      </c>
      <c r="E114" s="2">
        <f>DesignSheet!D114</f>
        <v>32805</v>
      </c>
      <c r="F114" s="2">
        <f>DesignSheet!I114</f>
        <v>3</v>
      </c>
      <c r="G114" s="27" t="str">
        <f ca="1">DesignSheet!E114</f>
        <v>0000F041</v>
      </c>
    </row>
    <row r="115" spans="1:7">
      <c r="A115" s="1" t="str">
        <f>DesignSheet!A115</f>
        <v>PS</v>
      </c>
      <c r="B115" s="27" t="str">
        <f>DesignSheet!J115</f>
        <v>Controller Ki</v>
      </c>
      <c r="C115" s="2">
        <f>DesignSheet!B115</f>
        <v>0</v>
      </c>
      <c r="D115" s="2">
        <f>DesignSheet!C115</f>
        <v>1</v>
      </c>
      <c r="E115" s="2">
        <f>DesignSheet!D115</f>
        <v>32805</v>
      </c>
      <c r="F115" s="2">
        <f>DesignSheet!I115</f>
        <v>4</v>
      </c>
      <c r="G115" s="27" t="str">
        <f ca="1">DesignSheet!E115</f>
        <v>00000000</v>
      </c>
    </row>
    <row r="116" spans="1:7">
      <c r="A116" s="1" t="str">
        <f>DesignSheet!A116</f>
        <v>PS</v>
      </c>
      <c r="B116" s="27" t="str">
        <f>DesignSheet!J116</f>
        <v>Calibration Offset</v>
      </c>
      <c r="C116" s="2">
        <f>DesignSheet!B116</f>
        <v>0</v>
      </c>
      <c r="D116" s="2">
        <f>DesignSheet!C116</f>
        <v>1</v>
      </c>
      <c r="E116" s="2">
        <f>DesignSheet!D116</f>
        <v>32805</v>
      </c>
      <c r="F116" s="2">
        <f>DesignSheet!I116</f>
        <v>7</v>
      </c>
      <c r="G116" s="27" t="str">
        <f ca="1">DesignSheet!E116</f>
        <v>9A998940</v>
      </c>
    </row>
    <row r="117" spans="1:7">
      <c r="A117" s="1" t="str">
        <f>DesignSheet!A117</f>
        <v>PS</v>
      </c>
      <c r="B117" s="27" t="str">
        <f>DesignSheet!J117</f>
        <v>Printhead Fire Voltage Reference Row A</v>
      </c>
      <c r="C117" s="2">
        <f>DesignSheet!B117</f>
        <v>0</v>
      </c>
      <c r="D117" s="2">
        <f>DesignSheet!C117</f>
        <v>1</v>
      </c>
      <c r="E117" s="2">
        <f>DesignSheet!D117</f>
        <v>32802</v>
      </c>
      <c r="F117" s="2">
        <f>DesignSheet!I117</f>
        <v>1</v>
      </c>
      <c r="G117" s="27" t="str">
        <f ca="1">DesignSheet!E117</f>
        <v>0000</v>
      </c>
    </row>
    <row r="118" spans="1:7">
      <c r="A118" s="1" t="str">
        <f>DesignSheet!A118</f>
        <v>PS</v>
      </c>
      <c r="B118" s="27" t="str">
        <f>DesignSheet!J118</f>
        <v>Printhead Fire Voltage Reference Row B</v>
      </c>
      <c r="C118" s="2">
        <f>DesignSheet!B118</f>
        <v>0</v>
      </c>
      <c r="D118" s="2">
        <f>DesignSheet!C118</f>
        <v>1</v>
      </c>
      <c r="E118" s="2">
        <f>DesignSheet!D118</f>
        <v>32802</v>
      </c>
      <c r="F118" s="2">
        <f>DesignSheet!I118</f>
        <v>2</v>
      </c>
      <c r="G118" s="27" t="str">
        <f ca="1">DesignSheet!E118</f>
        <v>0000</v>
      </c>
    </row>
    <row r="119" spans="1:7">
      <c r="A119" s="1" t="str">
        <f>DesignSheet!A119</f>
        <v>PS</v>
      </c>
      <c r="B119" s="27" t="str">
        <f>DesignSheet!J119</f>
        <v>Printhead Fire Voltage Reference Row C</v>
      </c>
      <c r="C119" s="2">
        <f>DesignSheet!B119</f>
        <v>0</v>
      </c>
      <c r="D119" s="2">
        <f>DesignSheet!C119</f>
        <v>1</v>
      </c>
      <c r="E119" s="2">
        <f>DesignSheet!D119</f>
        <v>32802</v>
      </c>
      <c r="F119" s="2">
        <f>DesignSheet!I119</f>
        <v>3</v>
      </c>
      <c r="G119" s="27" t="str">
        <f ca="1">DesignSheet!E119</f>
        <v>0000</v>
      </c>
    </row>
    <row r="120" spans="1:7">
      <c r="A120" s="1" t="str">
        <f>DesignSheet!A120</f>
        <v>PS</v>
      </c>
      <c r="B120" s="27" t="str">
        <f>DesignSheet!J120</f>
        <v>Printhead Fire Voltage Reference Row D</v>
      </c>
      <c r="C120" s="2">
        <f>DesignSheet!B120</f>
        <v>0</v>
      </c>
      <c r="D120" s="2">
        <f>DesignSheet!C120</f>
        <v>1</v>
      </c>
      <c r="E120" s="2">
        <f>DesignSheet!D120</f>
        <v>32802</v>
      </c>
      <c r="F120" s="2">
        <f>DesignSheet!I120</f>
        <v>4</v>
      </c>
      <c r="G120" s="27" t="str">
        <f ca="1">DesignSheet!E120</f>
        <v>0000</v>
      </c>
    </row>
    <row r="121" spans="1:7">
      <c r="A121" s="1" t="str">
        <f>DesignSheet!A121</f>
        <v>PS</v>
      </c>
      <c r="B121" s="27" t="str">
        <f>DesignSheet!J121</f>
        <v>Waveform Setup</v>
      </c>
      <c r="C121" s="2">
        <f>DesignSheet!B121</f>
        <v>0</v>
      </c>
      <c r="D121" s="2">
        <f>DesignSheet!C121</f>
        <v>1</v>
      </c>
      <c r="E121" s="2">
        <f>DesignSheet!D121</f>
        <v>32803</v>
      </c>
      <c r="F121" s="2">
        <f>DesignSheet!I121</f>
        <v>1</v>
      </c>
      <c r="G121" s="27" t="str">
        <f>DesignSheet!E121</f>
        <v>0100</v>
      </c>
    </row>
    <row r="122" spans="1:7">
      <c r="A122" s="1" t="str">
        <f>DesignSheet!A122</f>
        <v>PS</v>
      </c>
      <c r="B122" s="27" t="str">
        <f>DesignSheet!J122</f>
        <v>Waveform Set</v>
      </c>
      <c r="C122" s="2">
        <f>DesignSheet!B122</f>
        <v>0</v>
      </c>
      <c r="D122" s="2">
        <f>DesignSheet!C122</f>
        <v>1</v>
      </c>
      <c r="E122" s="2">
        <f>DesignSheet!D122</f>
        <v>32803</v>
      </c>
      <c r="F122" s="2">
        <f>DesignSheet!I122</f>
        <v>2</v>
      </c>
      <c r="G122" s="27" t="str">
        <f>DesignSheet!E122</f>
        <v>0100</v>
      </c>
    </row>
    <row r="123" spans="1:7">
      <c r="A123" s="1" t="str">
        <f>DesignSheet!A123</f>
        <v>PS</v>
      </c>
      <c r="B123" s="27" t="str">
        <f>DesignSheet!J123</f>
        <v>Max. Grayscale</v>
      </c>
      <c r="C123" s="2">
        <f>DesignSheet!B123</f>
        <v>0</v>
      </c>
      <c r="D123" s="2">
        <f>DesignSheet!C123</f>
        <v>1</v>
      </c>
      <c r="E123" s="2">
        <f>DesignSheet!D123</f>
        <v>32803</v>
      </c>
      <c r="F123" s="2">
        <f>DesignSheet!I123</f>
        <v>3</v>
      </c>
      <c r="G123" s="27" t="str">
        <f>DesignSheet!E123</f>
        <v>0700</v>
      </c>
    </row>
    <row r="124" spans="1:7">
      <c r="A124" s="1" t="str">
        <f>DesignSheet!A124</f>
        <v>PS</v>
      </c>
      <c r="B124" s="27" t="str">
        <f>DesignSheet!J124</f>
        <v>Printhead Automatic Scaling</v>
      </c>
      <c r="C124" s="2">
        <f>DesignSheet!B124</f>
        <v>0</v>
      </c>
      <c r="D124" s="2">
        <f>DesignSheet!C124</f>
        <v>1</v>
      </c>
      <c r="E124" s="2">
        <f>DesignSheet!D124</f>
        <v>32808</v>
      </c>
      <c r="F124" s="2">
        <f>DesignSheet!I124</f>
        <v>1</v>
      </c>
      <c r="G124" s="27" t="str">
        <f>DesignSheet!E124</f>
        <v>0100</v>
      </c>
    </row>
    <row r="125" spans="1:7">
      <c r="A125" s="1" t="str">
        <f>DesignSheet!A125</f>
        <v>PS</v>
      </c>
      <c r="B125" s="27" t="str">
        <f>DesignSheet!J125</f>
        <v>Printhead Voltage Offset - RowA</v>
      </c>
      <c r="C125" s="2">
        <f>DesignSheet!B125</f>
        <v>0</v>
      </c>
      <c r="D125" s="2">
        <f>DesignSheet!C125</f>
        <v>1</v>
      </c>
      <c r="E125" s="2">
        <f>DesignSheet!D125</f>
        <v>32807</v>
      </c>
      <c r="F125" s="2">
        <f>DesignSheet!I125</f>
        <v>1</v>
      </c>
      <c r="G125" s="27" t="str">
        <f>DesignSheet!E125</f>
        <v>7500</v>
      </c>
    </row>
    <row r="126" spans="1:7">
      <c r="A126" s="1" t="str">
        <f>DesignSheet!A126</f>
        <v>PS</v>
      </c>
      <c r="B126" s="27" t="str">
        <f>DesignSheet!J126</f>
        <v>Printhead Voltage Offset - RowB</v>
      </c>
      <c r="C126" s="2">
        <f>DesignSheet!B126</f>
        <v>0</v>
      </c>
      <c r="D126" s="2">
        <f>DesignSheet!C126</f>
        <v>1</v>
      </c>
      <c r="E126" s="2">
        <f>DesignSheet!D126</f>
        <v>32807</v>
      </c>
      <c r="F126" s="2">
        <f>DesignSheet!I126</f>
        <v>2</v>
      </c>
      <c r="G126" s="27" t="str">
        <f>DesignSheet!E126</f>
        <v>7500</v>
      </c>
    </row>
    <row r="127" spans="1:7">
      <c r="A127" s="1" t="str">
        <f>DesignSheet!A127</f>
        <v>PS</v>
      </c>
      <c r="B127" s="27" t="str">
        <f>DesignSheet!J127</f>
        <v>Printhead Voltage Offset - RowC</v>
      </c>
      <c r="C127" s="2">
        <f>DesignSheet!B127</f>
        <v>0</v>
      </c>
      <c r="D127" s="2">
        <f>DesignSheet!C127</f>
        <v>1</v>
      </c>
      <c r="E127" s="2">
        <f>DesignSheet!D127</f>
        <v>32807</v>
      </c>
      <c r="F127" s="2">
        <f>DesignSheet!I127</f>
        <v>3</v>
      </c>
      <c r="G127" s="27" t="str">
        <f>DesignSheet!E127</f>
        <v>7500</v>
      </c>
    </row>
    <row r="128" spans="1:7">
      <c r="A128" s="1" t="str">
        <f>DesignSheet!A128</f>
        <v>PS</v>
      </c>
      <c r="B128" s="27" t="str">
        <f>DesignSheet!J128</f>
        <v>Printhead Voltage Offset - RowD</v>
      </c>
      <c r="C128" s="2">
        <f>DesignSheet!B128</f>
        <v>0</v>
      </c>
      <c r="D128" s="2">
        <f>DesignSheet!C128</f>
        <v>1</v>
      </c>
      <c r="E128" s="2">
        <f>DesignSheet!D128</f>
        <v>32807</v>
      </c>
      <c r="F128" s="2">
        <f>DesignSheet!I128</f>
        <v>4</v>
      </c>
      <c r="G128" s="27" t="str">
        <f>DesignSheet!E128</f>
        <v>7500</v>
      </c>
    </row>
    <row r="129" spans="1:7">
      <c r="A129" s="1" t="str">
        <f>DesignSheet!A129</f>
        <v>PS</v>
      </c>
      <c r="B129" s="27" t="str">
        <f>DesignSheet!J129</f>
        <v>Printhead Voltage Scaling - RowA</v>
      </c>
      <c r="C129" s="2">
        <f>DesignSheet!B129</f>
        <v>0</v>
      </c>
      <c r="D129" s="2">
        <f>DesignSheet!C129</f>
        <v>1</v>
      </c>
      <c r="E129" s="2">
        <f>DesignSheet!D129</f>
        <v>32808</v>
      </c>
      <c r="F129" s="2">
        <f>DesignSheet!I129</f>
        <v>2</v>
      </c>
      <c r="G129" s="27" t="str">
        <f>DesignSheet!E129</f>
        <v>9B02</v>
      </c>
    </row>
    <row r="130" spans="1:7">
      <c r="A130" s="1" t="str">
        <f>DesignSheet!A130</f>
        <v>PS</v>
      </c>
      <c r="B130" s="27" t="str">
        <f>DesignSheet!J130</f>
        <v>Printhead Voltage Scaling - RowB</v>
      </c>
      <c r="C130" s="2">
        <f>DesignSheet!B130</f>
        <v>0</v>
      </c>
      <c r="D130" s="2">
        <f>DesignSheet!C130</f>
        <v>1</v>
      </c>
      <c r="E130" s="2">
        <f>DesignSheet!D130</f>
        <v>32808</v>
      </c>
      <c r="F130" s="2">
        <f>DesignSheet!I130</f>
        <v>3</v>
      </c>
      <c r="G130" s="27" t="str">
        <f>DesignSheet!E130</f>
        <v>9B02</v>
      </c>
    </row>
    <row r="131" spans="1:7">
      <c r="A131" s="1" t="str">
        <f>DesignSheet!A131</f>
        <v>PS</v>
      </c>
      <c r="B131" s="27" t="str">
        <f>DesignSheet!J131</f>
        <v>Printhead Voltage Scaling - RowC</v>
      </c>
      <c r="C131" s="2">
        <f>DesignSheet!B131</f>
        <v>0</v>
      </c>
      <c r="D131" s="2">
        <f>DesignSheet!C131</f>
        <v>1</v>
      </c>
      <c r="E131" s="2">
        <f>DesignSheet!D131</f>
        <v>32808</v>
      </c>
      <c r="F131" s="2">
        <f>DesignSheet!I131</f>
        <v>4</v>
      </c>
      <c r="G131" s="27" t="str">
        <f>DesignSheet!E131</f>
        <v>9B02</v>
      </c>
    </row>
    <row r="132" spans="1:7">
      <c r="A132" s="1" t="str">
        <f>DesignSheet!A132</f>
        <v>PS</v>
      </c>
      <c r="B132" s="27" t="str">
        <f>DesignSheet!J132</f>
        <v>Printhead Voltage Scaling - RowD</v>
      </c>
      <c r="C132" s="2">
        <f>DesignSheet!B132</f>
        <v>0</v>
      </c>
      <c r="D132" s="2">
        <f>DesignSheet!C132</f>
        <v>1</v>
      </c>
      <c r="E132" s="2">
        <f>DesignSheet!D132</f>
        <v>32808</v>
      </c>
      <c r="F132" s="2">
        <f>DesignSheet!I132</f>
        <v>5</v>
      </c>
      <c r="G132" s="27" t="str">
        <f>DesignSheet!E132</f>
        <v>9B02</v>
      </c>
    </row>
    <row r="133" spans="1:7">
      <c r="A133" s="1"/>
      <c r="B133" s="27"/>
      <c r="C133" s="2"/>
      <c r="D133" s="2"/>
      <c r="E133" s="2"/>
      <c r="F133" s="2"/>
      <c r="G133" s="27"/>
    </row>
    <row r="134" spans="1:7">
      <c r="A134" s="1"/>
      <c r="B134" s="27"/>
      <c r="C134" s="2"/>
      <c r="D134" s="2"/>
      <c r="E134" s="2"/>
      <c r="F134" s="2"/>
      <c r="G134" s="27"/>
    </row>
    <row r="135" spans="1:7">
      <c r="A135" s="1"/>
      <c r="B135" s="27"/>
      <c r="C135" s="2"/>
      <c r="D135" s="2"/>
      <c r="E135" s="2"/>
      <c r="F135" s="2"/>
      <c r="G135" s="27"/>
    </row>
    <row r="136" spans="1:7">
      <c r="A136" s="1"/>
      <c r="B136" s="27"/>
      <c r="C136" s="2"/>
      <c r="D136" s="2"/>
      <c r="E136" s="2"/>
      <c r="F136" s="2"/>
      <c r="G136" s="27"/>
    </row>
    <row r="137" spans="1:7">
      <c r="A137" s="1"/>
      <c r="B137" s="27"/>
      <c r="C137" s="2"/>
      <c r="D137" s="2"/>
      <c r="E137" s="2"/>
      <c r="F137" s="2"/>
      <c r="G137" s="27"/>
    </row>
    <row r="138" spans="1:7">
      <c r="A138" s="1"/>
      <c r="B138" s="27"/>
      <c r="C138" s="2"/>
      <c r="D138" s="2"/>
      <c r="E138" s="2"/>
      <c r="F138" s="2"/>
      <c r="G138" s="27"/>
    </row>
    <row r="139" spans="1:7">
      <c r="A139" s="1"/>
      <c r="B139" s="27"/>
      <c r="C139" s="2"/>
      <c r="D139" s="2"/>
      <c r="E139" s="2"/>
      <c r="F139" s="2"/>
      <c r="G139" s="27"/>
    </row>
    <row r="140" spans="1:7">
      <c r="A140" s="1"/>
      <c r="B140" s="27"/>
      <c r="C140" s="2"/>
      <c r="D140" s="2"/>
      <c r="E140" s="2"/>
      <c r="F140" s="2"/>
      <c r="G140" s="27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XML">
                <anchor moveWithCells="1" sizeWithCells="1">
                  <from>
                    <xdr:col>11</xdr:col>
                    <xdr:colOff>9525</xdr:colOff>
                    <xdr:row>2</xdr:row>
                    <xdr:rowOff>0</xdr:rowOff>
                  </from>
                  <to>
                    <xdr:col>14</xdr:col>
                    <xdr:colOff>38100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7030A0"/>
  </sheetPr>
  <dimension ref="A1:AE132"/>
  <sheetViews>
    <sheetView tabSelected="1" zoomScale="70" zoomScaleNormal="70" workbookViewId="0">
      <selection activeCell="U3" sqref="U3"/>
    </sheetView>
  </sheetViews>
  <sheetFormatPr baseColWidth="10" defaultColWidth="11.42578125" defaultRowHeight="12.75"/>
  <cols>
    <col min="1" max="1" width="4.140625" style="21" customWidth="1"/>
    <col min="2" max="2" width="8.42578125" style="21" bestFit="1" customWidth="1"/>
    <col min="3" max="3" width="2" style="21" customWidth="1"/>
    <col min="4" max="4" width="8.42578125" style="21" bestFit="1" customWidth="1"/>
    <col min="5" max="5" width="17.140625" style="21" bestFit="1" customWidth="1"/>
    <col min="6" max="6" width="7.85546875" style="7" customWidth="1"/>
    <col min="7" max="7" width="7.7109375" style="7" customWidth="1"/>
    <col min="8" max="8" width="6.140625" style="5" bestFit="1" customWidth="1"/>
    <col min="9" max="9" width="3.7109375" style="5" customWidth="1"/>
    <col min="10" max="10" width="67.140625" style="7" customWidth="1"/>
    <col min="11" max="11" width="17.140625" style="7" bestFit="1" customWidth="1"/>
    <col min="12" max="12" width="3.140625" style="7" customWidth="1"/>
    <col min="13" max="13" width="11.28515625" style="14" customWidth="1"/>
    <col min="14" max="14" width="8" style="7" customWidth="1"/>
    <col min="15" max="15" width="11.28515625" style="31" customWidth="1"/>
    <col min="16" max="16" width="11.85546875" style="7" bestFit="1" customWidth="1"/>
    <col min="17" max="17" width="15" style="14" customWidth="1"/>
    <col min="18" max="18" width="8.7109375" style="14" customWidth="1"/>
    <col min="19" max="19" width="5.28515625" style="35" customWidth="1"/>
    <col min="20" max="20" width="3.85546875" style="7" customWidth="1"/>
    <col min="21" max="21" width="19.28515625" style="7" customWidth="1"/>
    <col min="22" max="22" width="32.5703125" style="7" customWidth="1"/>
    <col min="23" max="26" width="5.85546875" style="7" customWidth="1"/>
    <col min="27" max="47" width="12.5703125" style="7" customWidth="1"/>
    <col min="48" max="16384" width="11.42578125" style="7"/>
  </cols>
  <sheetData>
    <row r="1" spans="1:31" ht="13.5" thickBot="1">
      <c r="A1" s="19" t="s">
        <v>0</v>
      </c>
      <c r="B1" s="17" t="s">
        <v>2</v>
      </c>
      <c r="C1" s="17" t="s">
        <v>3</v>
      </c>
      <c r="D1" s="17" t="s">
        <v>4</v>
      </c>
      <c r="E1" s="20" t="s">
        <v>6</v>
      </c>
      <c r="H1" s="28" t="s">
        <v>4</v>
      </c>
      <c r="I1" s="15" t="s">
        <v>8</v>
      </c>
      <c r="J1" s="16" t="s">
        <v>1</v>
      </c>
      <c r="K1" s="16" t="s">
        <v>10</v>
      </c>
      <c r="L1" s="16" t="s">
        <v>21</v>
      </c>
      <c r="M1" s="17" t="s">
        <v>22</v>
      </c>
      <c r="N1" s="43" t="s">
        <v>12</v>
      </c>
      <c r="O1" s="30" t="s">
        <v>13</v>
      </c>
      <c r="P1" s="15" t="s">
        <v>11</v>
      </c>
      <c r="Q1" s="18" t="s">
        <v>15</v>
      </c>
      <c r="R1" s="56" t="s">
        <v>16</v>
      </c>
      <c r="S1" s="36"/>
      <c r="U1" s="65" t="s">
        <v>107</v>
      </c>
      <c r="V1" s="65"/>
      <c r="W1" s="65"/>
      <c r="X1" s="65"/>
      <c r="Y1" s="65"/>
      <c r="Z1" s="65"/>
      <c r="AA1" s="65"/>
      <c r="AB1" s="65"/>
      <c r="AC1" s="65"/>
      <c r="AD1" s="65"/>
      <c r="AE1" s="65"/>
    </row>
    <row r="2" spans="1:31">
      <c r="A2" s="21" t="s">
        <v>7</v>
      </c>
      <c r="B2" s="21">
        <v>0</v>
      </c>
      <c r="C2" s="21">
        <v>1</v>
      </c>
      <c r="D2" s="21">
        <f>HEX2DEC(H2)</f>
        <v>41040</v>
      </c>
      <c r="E2" s="21" t="str">
        <f t="shared" ref="E2" si="0">IF(L2=1,MID(K2,7,2) &amp; MID(K2,5,2) &amp; MID(K2,3,2) &amp; MID(K2,1,2),K2)</f>
        <v>0500</v>
      </c>
      <c r="H2" s="6" t="s">
        <v>14</v>
      </c>
      <c r="I2" s="5">
        <v>1</v>
      </c>
      <c r="J2" s="26" t="str">
        <f>CONCATENATE("Logger Level -&gt; set to DEBUG"," ",S2)</f>
        <v xml:space="preserve">Logger Level -&gt; set to DEBUG </v>
      </c>
      <c r="K2" s="3" t="str">
        <f>RIGHT(CONCATENATE("000",Q2), 8)</f>
        <v>0005</v>
      </c>
      <c r="L2" s="3">
        <v>1</v>
      </c>
      <c r="M2" s="13" t="str">
        <f t="shared" ref="M2:M52" si="1">"("&amp;HEX2DEC(K2)&amp;")"</f>
        <v>(5)</v>
      </c>
      <c r="Q2" s="45" t="str">
        <f>DEC2HEX(R2)</f>
        <v>5</v>
      </c>
      <c r="R2" s="34">
        <v>5</v>
      </c>
      <c r="U2" s="50">
        <f>StartUpXML!K2</f>
        <v>8</v>
      </c>
      <c r="V2" s="7" t="s">
        <v>33</v>
      </c>
    </row>
    <row r="3" spans="1:31">
      <c r="A3" s="21" t="s">
        <v>7</v>
      </c>
      <c r="B3" s="21">
        <v>0</v>
      </c>
      <c r="C3" s="21">
        <v>1</v>
      </c>
      <c r="D3" s="21">
        <f t="shared" ref="D3:D66" si="2">HEX2DEC(H3)</f>
        <v>32832</v>
      </c>
      <c r="E3" s="21" t="str">
        <f t="shared" ref="E3:E66" si="3">IF(L3=1,MID(K3,7,2) &amp; MID(K3,5,2) &amp; MID(K3,3,2) &amp; MID(K3,1,2),K3)</f>
        <v>00080000</v>
      </c>
      <c r="H3" s="6" t="s">
        <v>9</v>
      </c>
      <c r="I3" s="5">
        <v>1</v>
      </c>
      <c r="J3" s="25" t="str">
        <f>CONCATENATE("Section Width"," ",S3)</f>
        <v xml:space="preserve">Section Width </v>
      </c>
      <c r="K3" s="3" t="str">
        <f>RIGHT(CONCATENATE("00000000",Q3), 8)</f>
        <v>00000800</v>
      </c>
      <c r="L3" s="3">
        <v>1</v>
      </c>
      <c r="M3" s="13" t="str">
        <f>"("&amp;HEX2DEC(K3)&amp;")"</f>
        <v>(2048)</v>
      </c>
      <c r="Q3" s="45" t="str">
        <f>DEC2HEX(R3)</f>
        <v>800</v>
      </c>
      <c r="R3" s="34">
        <f>1024+512+256+256</f>
        <v>2048</v>
      </c>
      <c r="U3" s="44" t="str">
        <f ca="1">INDIRECT(ADDRESS(6+U2,1,,,"translations"))</f>
        <v>CB_4.2</v>
      </c>
      <c r="V3" s="7" t="s">
        <v>93</v>
      </c>
    </row>
    <row r="4" spans="1:31">
      <c r="A4" s="21" t="s">
        <v>7</v>
      </c>
      <c r="B4" s="21">
        <v>0</v>
      </c>
      <c r="C4" s="21">
        <v>1</v>
      </c>
      <c r="D4" s="21">
        <f t="shared" si="2"/>
        <v>32832</v>
      </c>
      <c r="E4" s="21" t="str">
        <f t="shared" si="3"/>
        <v>00600000</v>
      </c>
      <c r="H4" s="6" t="s">
        <v>9</v>
      </c>
      <c r="I4" s="5">
        <v>2</v>
      </c>
      <c r="J4" s="25" t="str">
        <f>CONCATENATE("Section Depth"," ",S4)</f>
        <v xml:space="preserve">Section Depth </v>
      </c>
      <c r="K4" s="3" t="str">
        <f>RIGHT(CONCATENATE("00000000",Q4), 8)</f>
        <v>00006000</v>
      </c>
      <c r="L4" s="3">
        <v>1</v>
      </c>
      <c r="M4" s="13" t="str">
        <f t="shared" si="1"/>
        <v>(24576)</v>
      </c>
      <c r="Q4" s="45" t="str">
        <f>DEC2HEX(R4)</f>
        <v>6000</v>
      </c>
      <c r="R4" s="34">
        <v>24576</v>
      </c>
    </row>
    <row r="5" spans="1:31">
      <c r="A5" s="21" t="s">
        <v>7</v>
      </c>
      <c r="B5" s="21">
        <v>0</v>
      </c>
      <c r="C5" s="21">
        <v>1</v>
      </c>
      <c r="D5" s="21">
        <f t="shared" si="2"/>
        <v>32809</v>
      </c>
      <c r="E5" s="21" t="str">
        <f t="shared" si="3"/>
        <v>2401</v>
      </c>
      <c r="H5" s="3" t="s">
        <v>121</v>
      </c>
      <c r="I5" s="5">
        <v>9</v>
      </c>
      <c r="J5" s="25" t="s">
        <v>24</v>
      </c>
      <c r="K5" s="3" t="str">
        <f>RIGHT(CONCATENATE("0000",Q5), 4)</f>
        <v>0124</v>
      </c>
      <c r="L5" s="22">
        <v>1</v>
      </c>
      <c r="M5" s="13" t="str">
        <f t="shared" si="1"/>
        <v>(292)</v>
      </c>
      <c r="Q5" s="45" t="str">
        <f>DEC2HEX(R5)</f>
        <v>124</v>
      </c>
      <c r="R5" s="34">
        <v>292</v>
      </c>
    </row>
    <row r="6" spans="1:31">
      <c r="A6" s="21" t="s">
        <v>7</v>
      </c>
      <c r="B6" s="21">
        <v>0</v>
      </c>
      <c r="C6" s="21">
        <v>1</v>
      </c>
      <c r="D6" s="21">
        <f t="shared" si="2"/>
        <v>32816</v>
      </c>
      <c r="E6" s="21" t="str">
        <f t="shared" ca="1" si="3"/>
        <v>0001054DD9A1</v>
      </c>
      <c r="H6" s="12">
        <v>8030</v>
      </c>
      <c r="I6" s="5">
        <v>1</v>
      </c>
      <c r="J6" s="8" t="str">
        <f>CONCATENATE("Mac Address - Network Data Processor"," ",S6)</f>
        <v xml:space="preserve">Mac Address - Network Data Processor </v>
      </c>
      <c r="K6" s="3" t="str">
        <f ca="1">Q6</f>
        <v>0001054DD9A1</v>
      </c>
      <c r="L6" s="3">
        <v>0</v>
      </c>
      <c r="M6" s="13"/>
      <c r="Q6" s="50" t="str">
        <f ca="1">INDIRECT(ADDRESS(6+$U$2,4,,,"translations"))</f>
        <v>0001054DD9A1</v>
      </c>
      <c r="R6" s="46"/>
    </row>
    <row r="7" spans="1:31">
      <c r="A7" s="21" t="s">
        <v>7</v>
      </c>
      <c r="B7" s="21">
        <v>0</v>
      </c>
      <c r="C7" s="21">
        <v>1</v>
      </c>
      <c r="D7" s="21">
        <f t="shared" si="2"/>
        <v>32816</v>
      </c>
      <c r="E7" s="21" t="str">
        <f t="shared" ca="1" si="3"/>
        <v>6401010B</v>
      </c>
      <c r="H7" s="12">
        <v>8030</v>
      </c>
      <c r="I7" s="5">
        <v>2</v>
      </c>
      <c r="J7" s="8" t="str">
        <f>CONCATENATE("IP Address - Network Data Processor"," ",S7)</f>
        <v xml:space="preserve">IP Address - Network Data Processor </v>
      </c>
      <c r="K7" s="7" t="str">
        <f ca="1">Q7</f>
        <v>0B010164</v>
      </c>
      <c r="L7" s="7">
        <v>1</v>
      </c>
      <c r="M7" s="13" t="str">
        <f t="shared" ca="1" si="1"/>
        <v>(184615268)</v>
      </c>
      <c r="Q7" s="50" t="str">
        <f ca="1">INDIRECT(ADDRESS(6+$U$2,5,,,"translations"))</f>
        <v>0B010164</v>
      </c>
      <c r="R7" s="46"/>
    </row>
    <row r="8" spans="1:31">
      <c r="A8" s="21" t="s">
        <v>7</v>
      </c>
      <c r="B8" s="21">
        <v>0</v>
      </c>
      <c r="C8" s="21">
        <v>1</v>
      </c>
      <c r="D8" s="21">
        <f t="shared" si="2"/>
        <v>32816</v>
      </c>
      <c r="E8" s="21" t="str">
        <f t="shared" si="3"/>
        <v>5C11</v>
      </c>
      <c r="H8" s="5">
        <v>8030</v>
      </c>
      <c r="I8" s="5">
        <v>3</v>
      </c>
      <c r="J8" s="8" t="str">
        <f>CONCATENATE("UDP Session Port - Network Data Processor"," ",S8)</f>
        <v xml:space="preserve">UDP Session Port - Network Data Processor </v>
      </c>
      <c r="K8" s="3" t="str">
        <f>RIGHT(CONCATENATE("0000",Q8), 4)</f>
        <v>115C</v>
      </c>
      <c r="L8" s="7">
        <v>1</v>
      </c>
      <c r="M8" s="13" t="str">
        <f t="shared" si="1"/>
        <v>(4444)</v>
      </c>
      <c r="Q8" s="45" t="str">
        <f>DEC2HEX(R8)</f>
        <v>115C</v>
      </c>
      <c r="R8" s="34">
        <v>4444</v>
      </c>
    </row>
    <row r="9" spans="1:31">
      <c r="A9" s="21" t="s">
        <v>7</v>
      </c>
      <c r="B9" s="21">
        <v>0</v>
      </c>
      <c r="C9" s="21">
        <v>1</v>
      </c>
      <c r="D9" s="21">
        <f t="shared" si="2"/>
        <v>32816</v>
      </c>
      <c r="E9" s="21" t="str">
        <f t="shared" ca="1" si="3"/>
        <v>000B</v>
      </c>
      <c r="H9" s="5">
        <v>8030</v>
      </c>
      <c r="I9" s="5">
        <v>4</v>
      </c>
      <c r="J9" s="8" t="str">
        <f>CONCATENATE("UDP Data Listener Port - Network Data Processor"," ",S9)</f>
        <v xml:space="preserve">UDP Data Listener Port - Network Data Processor </v>
      </c>
      <c r="K9" s="3" t="str">
        <f ca="1">RIGHT(CONCATENATE("0000",Q9), 4)</f>
        <v>0B00</v>
      </c>
      <c r="L9" s="7">
        <v>1</v>
      </c>
      <c r="M9" s="13" t="str">
        <f t="shared" ca="1" si="1"/>
        <v>(2816)</v>
      </c>
      <c r="Q9" s="50" t="str">
        <f ca="1">INDIRECT(ADDRESS(6+$U$2,8,,,"translations"))</f>
        <v>B00</v>
      </c>
      <c r="R9" s="46"/>
    </row>
    <row r="10" spans="1:31">
      <c r="A10" s="21" t="s">
        <v>7</v>
      </c>
      <c r="B10" s="21">
        <v>0</v>
      </c>
      <c r="C10" s="21">
        <v>1</v>
      </c>
      <c r="D10" s="21">
        <f t="shared" si="2"/>
        <v>32817</v>
      </c>
      <c r="E10" s="21" t="str">
        <f t="shared" ca="1" si="3"/>
        <v>1A1100000008</v>
      </c>
      <c r="H10" s="5">
        <v>8031</v>
      </c>
      <c r="I10" s="5">
        <v>1</v>
      </c>
      <c r="J10" s="8" t="str">
        <f>CONCATENATE("MAC Address - Network Printhead"," ",S10)</f>
        <v xml:space="preserve">MAC Address - Network Printhead </v>
      </c>
      <c r="K10" s="7" t="str">
        <f ca="1">Q10</f>
        <v>1A1100000008</v>
      </c>
      <c r="L10" s="7">
        <v>0</v>
      </c>
      <c r="M10" s="13"/>
      <c r="Q10" s="50" t="str">
        <f ca="1">INDIRECT(ADDRESS(6+$U$2,6,,,"translations"))</f>
        <v>1A1100000008</v>
      </c>
      <c r="R10" s="46"/>
    </row>
    <row r="11" spans="1:31">
      <c r="A11" s="21" t="s">
        <v>7</v>
      </c>
      <c r="B11" s="21">
        <v>0</v>
      </c>
      <c r="C11" s="21">
        <v>1</v>
      </c>
      <c r="D11" s="21">
        <f t="shared" si="2"/>
        <v>32817</v>
      </c>
      <c r="E11" s="21" t="str">
        <f t="shared" ca="1" si="3"/>
        <v>0801010B</v>
      </c>
      <c r="H11" s="5">
        <v>8031</v>
      </c>
      <c r="I11" s="5">
        <v>2</v>
      </c>
      <c r="J11" s="8" t="str">
        <f>CONCATENATE("IP Address - Network Printhead"," ",S11)</f>
        <v xml:space="preserve">IP Address - Network Printhead </v>
      </c>
      <c r="K11" s="7" t="str">
        <f ca="1">Q11</f>
        <v>0B010108</v>
      </c>
      <c r="L11" s="7">
        <v>1</v>
      </c>
      <c r="M11" s="13" t="str">
        <f t="shared" ca="1" si="1"/>
        <v>(184615176)</v>
      </c>
      <c r="Q11" s="50" t="str">
        <f ca="1">INDIRECT(ADDRESS(6+$U$2,7,,,"translations"))</f>
        <v>0B010108</v>
      </c>
      <c r="R11" s="46"/>
    </row>
    <row r="12" spans="1:31">
      <c r="A12" s="21" t="s">
        <v>7</v>
      </c>
      <c r="B12" s="21">
        <v>0</v>
      </c>
      <c r="C12" s="21">
        <v>1</v>
      </c>
      <c r="D12" s="21">
        <f t="shared" si="2"/>
        <v>32818</v>
      </c>
      <c r="E12" s="21" t="str">
        <f t="shared" si="3"/>
        <v>00200000</v>
      </c>
      <c r="H12" s="5">
        <v>8032</v>
      </c>
      <c r="I12" s="5">
        <v>1</v>
      </c>
      <c r="J12" s="8" t="s">
        <v>23</v>
      </c>
      <c r="K12" s="3" t="str">
        <f>RIGHT(CONCATENATE("00000000",Q12), 8)</f>
        <v>00002000</v>
      </c>
      <c r="L12" s="7">
        <v>1</v>
      </c>
      <c r="M12" s="13" t="str">
        <f>"("&amp;HEX2DEC(K12)&amp;")"</f>
        <v>(8192)</v>
      </c>
      <c r="Q12" s="45" t="str">
        <f>DEC2HEX(R12)</f>
        <v>2000</v>
      </c>
      <c r="R12" s="34">
        <v>8192</v>
      </c>
    </row>
    <row r="13" spans="1:31">
      <c r="A13" s="21" t="s">
        <v>7</v>
      </c>
      <c r="B13" s="21">
        <v>0</v>
      </c>
      <c r="C13" s="21">
        <v>1</v>
      </c>
      <c r="D13" s="21">
        <f t="shared" si="2"/>
        <v>32817</v>
      </c>
      <c r="E13" s="21" t="str">
        <f t="shared" si="3"/>
        <v>F0550000</v>
      </c>
      <c r="H13" s="5">
        <v>8031</v>
      </c>
      <c r="I13" s="5">
        <v>3</v>
      </c>
      <c r="J13" s="8" t="s">
        <v>43</v>
      </c>
      <c r="K13" s="3" t="str">
        <f>RIGHT(CONCATENATE("00000000",Q13), 8)</f>
        <v>000055F0</v>
      </c>
      <c r="L13" s="7">
        <v>1</v>
      </c>
      <c r="M13" s="13" t="str">
        <f t="shared" ref="M13:M14" si="4">"("&amp;HEX2DEC(K13)&amp;")"</f>
        <v>(22000)</v>
      </c>
      <c r="Q13" s="45" t="str">
        <f>DEC2HEX(R13)</f>
        <v>55F0</v>
      </c>
      <c r="R13" s="34">
        <v>22000</v>
      </c>
      <c r="V13" s="35"/>
      <c r="W13" s="35"/>
      <c r="X13" s="35"/>
      <c r="Y13" s="35"/>
      <c r="Z13" s="35"/>
    </row>
    <row r="14" spans="1:31">
      <c r="A14" s="21" t="s">
        <v>7</v>
      </c>
      <c r="B14" s="21">
        <v>0</v>
      </c>
      <c r="C14" s="21">
        <v>1</v>
      </c>
      <c r="D14" s="21">
        <f t="shared" si="2"/>
        <v>32817</v>
      </c>
      <c r="E14" s="21" t="str">
        <f t="shared" si="3"/>
        <v>204E0000</v>
      </c>
      <c r="H14" s="5">
        <v>8031</v>
      </c>
      <c r="I14" s="5">
        <v>5</v>
      </c>
      <c r="J14" s="8" t="s">
        <v>44</v>
      </c>
      <c r="K14" s="3" t="str">
        <f>RIGHT(CONCATENATE("00000000",Q14), 8)</f>
        <v>00004E20</v>
      </c>
      <c r="L14" s="7">
        <v>1</v>
      </c>
      <c r="M14" s="13" t="str">
        <f t="shared" si="4"/>
        <v>(20000)</v>
      </c>
      <c r="Q14" s="45" t="str">
        <f>DEC2HEX(R14)</f>
        <v>4E20</v>
      </c>
      <c r="R14" s="34">
        <v>20000</v>
      </c>
      <c r="V14" s="35"/>
      <c r="W14" s="35"/>
      <c r="X14" s="35"/>
      <c r="Y14" s="35"/>
      <c r="Z14" s="35"/>
    </row>
    <row r="15" spans="1:31">
      <c r="A15" s="21" t="s">
        <v>7</v>
      </c>
      <c r="B15" s="21">
        <v>0</v>
      </c>
      <c r="C15" s="21">
        <v>1</v>
      </c>
      <c r="D15" s="21">
        <f t="shared" si="2"/>
        <v>32768</v>
      </c>
      <c r="E15" s="21" t="str">
        <f t="shared" si="3"/>
        <v>105C0420</v>
      </c>
      <c r="H15" s="5">
        <v>8000</v>
      </c>
      <c r="I15" s="5">
        <v>0</v>
      </c>
      <c r="J15" s="32" t="s">
        <v>45</v>
      </c>
      <c r="K15" s="7" t="str">
        <f>Q15</f>
        <v>20045C10</v>
      </c>
      <c r="L15" s="7">
        <v>1</v>
      </c>
      <c r="M15" s="13" t="str">
        <f t="shared" si="1"/>
        <v>(537156624)</v>
      </c>
      <c r="Q15" s="47" t="s">
        <v>264</v>
      </c>
      <c r="R15" s="46"/>
      <c r="T15" s="7" t="s">
        <v>125</v>
      </c>
      <c r="U15" s="7" t="s">
        <v>122</v>
      </c>
      <c r="V15" s="7" t="s">
        <v>46</v>
      </c>
      <c r="W15" s="35"/>
      <c r="X15" s="35"/>
      <c r="Y15" s="35"/>
      <c r="Z15" s="35"/>
    </row>
    <row r="16" spans="1:31">
      <c r="A16" s="21" t="s">
        <v>7</v>
      </c>
      <c r="B16" s="21">
        <v>0</v>
      </c>
      <c r="C16" s="21">
        <v>1</v>
      </c>
      <c r="D16" s="21">
        <f t="shared" si="2"/>
        <v>32806</v>
      </c>
      <c r="E16" s="21" t="str">
        <f t="shared" ca="1" si="3"/>
        <v>0700</v>
      </c>
      <c r="H16" s="5">
        <v>8026</v>
      </c>
      <c r="I16" s="5">
        <v>0</v>
      </c>
      <c r="J16" s="32" t="s">
        <v>47</v>
      </c>
      <c r="K16" s="3" t="str">
        <f ca="1">RIGHT(CONCATENATE("0000",Q16), 4)</f>
        <v>0007</v>
      </c>
      <c r="L16" s="7">
        <v>1</v>
      </c>
      <c r="M16" s="13" t="str">
        <f t="shared" ca="1" si="1"/>
        <v>(7)</v>
      </c>
      <c r="Q16" s="50">
        <f ca="1">INDIRECT(ADDRESS(6+$U$2,2,,,"translations"))</f>
        <v>7</v>
      </c>
      <c r="R16" s="46"/>
      <c r="S16" s="33"/>
      <c r="U16" s="7" t="s">
        <v>123</v>
      </c>
      <c r="V16" s="7" t="s">
        <v>124</v>
      </c>
      <c r="W16" s="35"/>
      <c r="X16" s="35"/>
      <c r="Y16" s="35"/>
      <c r="Z16" s="35"/>
    </row>
    <row r="17" spans="1:26">
      <c r="A17" s="21" t="s">
        <v>7</v>
      </c>
      <c r="B17" s="21">
        <v>0</v>
      </c>
      <c r="C17" s="21">
        <v>1</v>
      </c>
      <c r="D17" s="21">
        <f t="shared" si="2"/>
        <v>36864</v>
      </c>
      <c r="E17" s="21" t="str">
        <f t="shared" si="3"/>
        <v>FFFF0000</v>
      </c>
      <c r="H17" s="5">
        <v>9000</v>
      </c>
      <c r="I17" s="5">
        <v>3</v>
      </c>
      <c r="J17" s="32" t="s">
        <v>117</v>
      </c>
      <c r="K17" s="3" t="str">
        <f>RIGHT(CONCATENATE("0000",Q17), 8)</f>
        <v>0000FFFF</v>
      </c>
      <c r="L17" s="7">
        <v>1</v>
      </c>
      <c r="M17" s="13" t="str">
        <f t="shared" si="1"/>
        <v>(65535)</v>
      </c>
      <c r="Q17" s="45" t="str">
        <f t="shared" ref="Q17:Q20" si="5">DEC2HEX(R17)</f>
        <v>FFFF</v>
      </c>
      <c r="R17" s="34">
        <f>2^16-1</f>
        <v>65535</v>
      </c>
      <c r="S17" s="33"/>
      <c r="U17" s="7" t="s">
        <v>193</v>
      </c>
      <c r="V17" s="7" t="s">
        <v>192</v>
      </c>
      <c r="W17" s="90" t="s">
        <v>196</v>
      </c>
      <c r="X17" s="35"/>
      <c r="Y17" s="35"/>
      <c r="Z17" s="35"/>
    </row>
    <row r="18" spans="1:26">
      <c r="A18" s="21" t="s">
        <v>7</v>
      </c>
      <c r="B18" s="21">
        <v>0</v>
      </c>
      <c r="C18" s="21">
        <v>1</v>
      </c>
      <c r="D18" s="21">
        <f t="shared" si="2"/>
        <v>32804</v>
      </c>
      <c r="E18" s="21" t="str">
        <f t="shared" si="3"/>
        <v>03000000</v>
      </c>
      <c r="H18" s="5">
        <v>8024</v>
      </c>
      <c r="I18" s="5">
        <v>1</v>
      </c>
      <c r="J18" s="32" t="s">
        <v>118</v>
      </c>
      <c r="K18" s="3" t="str">
        <f>RIGHT(CONCATENATE("00000000",Q18), 8)</f>
        <v>00000003</v>
      </c>
      <c r="L18" s="7">
        <v>1</v>
      </c>
      <c r="M18" s="13"/>
      <c r="Q18" s="45" t="str">
        <f t="shared" si="5"/>
        <v>3</v>
      </c>
      <c r="R18" s="47">
        <v>3</v>
      </c>
      <c r="S18" s="33"/>
      <c r="U18" s="7" t="s">
        <v>193</v>
      </c>
      <c r="V18" s="7" t="s">
        <v>194</v>
      </c>
      <c r="W18" s="90" t="s">
        <v>195</v>
      </c>
      <c r="X18" s="35"/>
      <c r="Y18" s="35"/>
      <c r="Z18" s="35"/>
    </row>
    <row r="19" spans="1:26">
      <c r="A19" s="21" t="s">
        <v>7</v>
      </c>
      <c r="B19" s="21">
        <v>0</v>
      </c>
      <c r="C19" s="21">
        <v>1</v>
      </c>
      <c r="D19" s="21">
        <f t="shared" si="2"/>
        <v>32804</v>
      </c>
      <c r="E19" s="21" t="str">
        <f t="shared" si="3"/>
        <v>32000000</v>
      </c>
      <c r="H19" s="5">
        <v>8024</v>
      </c>
      <c r="I19" s="5">
        <v>2</v>
      </c>
      <c r="J19" s="32" t="s">
        <v>119</v>
      </c>
      <c r="K19" s="3" t="str">
        <f>RIGHT(CONCATENATE("00000000",Q19), 8)</f>
        <v>00000032</v>
      </c>
      <c r="L19" s="7">
        <v>1</v>
      </c>
      <c r="M19" s="13"/>
      <c r="Q19" s="45" t="str">
        <f t="shared" si="5"/>
        <v>32</v>
      </c>
      <c r="R19" s="47">
        <v>50</v>
      </c>
      <c r="S19" s="33"/>
      <c r="V19" s="36"/>
      <c r="W19" s="35"/>
      <c r="X19" s="35"/>
      <c r="Y19" s="35"/>
      <c r="Z19" s="35"/>
    </row>
    <row r="20" spans="1:26">
      <c r="A20" s="21" t="s">
        <v>7</v>
      </c>
      <c r="B20" s="21">
        <v>0</v>
      </c>
      <c r="C20" s="21">
        <v>1</v>
      </c>
      <c r="D20" s="21">
        <f t="shared" si="2"/>
        <v>32804</v>
      </c>
      <c r="E20" s="21" t="str">
        <f t="shared" si="3"/>
        <v>0100</v>
      </c>
      <c r="H20" s="5">
        <v>8024</v>
      </c>
      <c r="I20" s="5">
        <v>3</v>
      </c>
      <c r="J20" s="32" t="s">
        <v>120</v>
      </c>
      <c r="K20" s="3" t="str">
        <f>RIGHT(CONCATENATE("000",Q20), 8)</f>
        <v>0001</v>
      </c>
      <c r="L20" s="7">
        <v>1</v>
      </c>
      <c r="M20" s="13"/>
      <c r="Q20" s="45" t="str">
        <f t="shared" si="5"/>
        <v>1</v>
      </c>
      <c r="R20" s="47">
        <v>1</v>
      </c>
      <c r="S20" s="33"/>
      <c r="V20" s="36"/>
      <c r="W20" s="35"/>
      <c r="X20" s="35"/>
      <c r="Y20" s="35"/>
      <c r="Z20" s="35"/>
    </row>
    <row r="21" spans="1:26">
      <c r="A21" s="21" t="s">
        <v>7</v>
      </c>
      <c r="B21" s="21">
        <v>0</v>
      </c>
      <c r="C21" s="21">
        <v>1</v>
      </c>
      <c r="D21" s="21">
        <f t="shared" si="2"/>
        <v>32773</v>
      </c>
      <c r="E21" s="21" t="str">
        <f t="shared" si="3"/>
        <v>01000000</v>
      </c>
      <c r="H21" s="5">
        <v>8005</v>
      </c>
      <c r="I21" s="5">
        <v>1</v>
      </c>
      <c r="J21" s="32" t="s">
        <v>198</v>
      </c>
      <c r="K21" s="3" t="str">
        <f>RIGHT(CONCATENATE("00000000",Q21), 8)</f>
        <v>00000001</v>
      </c>
      <c r="L21" s="3">
        <v>1</v>
      </c>
      <c r="M21" s="13" t="str">
        <f>"("&amp;HEX2DEC(K21)&amp;")"</f>
        <v>(1)</v>
      </c>
      <c r="Q21" s="45" t="str">
        <f>DEC2HEX(R21)</f>
        <v>1</v>
      </c>
      <c r="R21" s="34">
        <v>1</v>
      </c>
      <c r="S21" s="33"/>
      <c r="U21" s="7" t="s">
        <v>202</v>
      </c>
      <c r="V21" s="36"/>
      <c r="W21" s="35"/>
      <c r="X21" s="35"/>
      <c r="Y21" s="35"/>
      <c r="Z21" s="35"/>
    </row>
    <row r="22" spans="1:26">
      <c r="A22" s="21" t="s">
        <v>7</v>
      </c>
      <c r="B22" s="21">
        <v>0</v>
      </c>
      <c r="C22" s="21">
        <v>1</v>
      </c>
      <c r="D22" s="21">
        <f t="shared" si="2"/>
        <v>32773</v>
      </c>
      <c r="E22" s="21" t="str">
        <f t="shared" si="3"/>
        <v>01000000</v>
      </c>
      <c r="H22" s="5">
        <v>8005</v>
      </c>
      <c r="I22" s="5">
        <v>2</v>
      </c>
      <c r="J22" s="32" t="s">
        <v>199</v>
      </c>
      <c r="K22" s="3" t="str">
        <f>RIGHT(CONCATENATE("00000000",Q22), 8)</f>
        <v>00000001</v>
      </c>
      <c r="L22" s="3">
        <v>1</v>
      </c>
      <c r="M22" s="13" t="str">
        <f>"("&amp;HEX2DEC(K22)&amp;")"</f>
        <v>(1)</v>
      </c>
      <c r="Q22" s="45" t="str">
        <f>DEC2HEX(R22)</f>
        <v>1</v>
      </c>
      <c r="R22" s="34">
        <v>1</v>
      </c>
      <c r="S22" s="33"/>
      <c r="U22" s="7" t="s">
        <v>202</v>
      </c>
      <c r="V22" s="36"/>
      <c r="W22" s="35"/>
      <c r="X22" s="35"/>
      <c r="Y22" s="35"/>
      <c r="Z22" s="35"/>
    </row>
    <row r="23" spans="1:26">
      <c r="A23" s="21" t="s">
        <v>7</v>
      </c>
      <c r="B23" s="21">
        <v>0</v>
      </c>
      <c r="C23" s="21">
        <v>1</v>
      </c>
      <c r="D23" s="21">
        <f t="shared" si="2"/>
        <v>32773</v>
      </c>
      <c r="E23" s="21" t="str">
        <f t="shared" si="3"/>
        <v>01000000</v>
      </c>
      <c r="H23" s="5">
        <v>8005</v>
      </c>
      <c r="I23" s="5">
        <v>3</v>
      </c>
      <c r="J23" s="32" t="s">
        <v>200</v>
      </c>
      <c r="K23" s="3" t="str">
        <f>RIGHT(CONCATENATE("00000000",Q23), 8)</f>
        <v>00000001</v>
      </c>
      <c r="L23" s="3">
        <v>1</v>
      </c>
      <c r="M23" s="13" t="str">
        <f>"("&amp;HEX2DEC(K23)&amp;")"</f>
        <v>(1)</v>
      </c>
      <c r="Q23" s="45" t="str">
        <f>DEC2HEX(R23)</f>
        <v>1</v>
      </c>
      <c r="R23" s="34">
        <v>1</v>
      </c>
      <c r="S23" s="33"/>
      <c r="U23" s="7" t="s">
        <v>202</v>
      </c>
      <c r="V23" s="36"/>
      <c r="W23" s="35"/>
      <c r="X23" s="35"/>
      <c r="Y23" s="35"/>
      <c r="Z23" s="35"/>
    </row>
    <row r="24" spans="1:26">
      <c r="A24" s="21" t="s">
        <v>7</v>
      </c>
      <c r="B24" s="21">
        <v>0</v>
      </c>
      <c r="C24" s="21">
        <v>1</v>
      </c>
      <c r="D24" s="21">
        <f t="shared" si="2"/>
        <v>32773</v>
      </c>
      <c r="E24" s="21" t="str">
        <f t="shared" si="3"/>
        <v>01000000</v>
      </c>
      <c r="H24" s="5">
        <v>8005</v>
      </c>
      <c r="I24" s="5">
        <v>4</v>
      </c>
      <c r="J24" s="32" t="s">
        <v>201</v>
      </c>
      <c r="K24" s="3" t="str">
        <f>RIGHT(CONCATENATE("00000000",Q24), 8)</f>
        <v>00000001</v>
      </c>
      <c r="L24" s="3">
        <v>1</v>
      </c>
      <c r="M24" s="13" t="str">
        <f>"("&amp;HEX2DEC(K24)&amp;")"</f>
        <v>(1)</v>
      </c>
      <c r="Q24" s="45" t="str">
        <f>DEC2HEX(R24)</f>
        <v>1</v>
      </c>
      <c r="R24" s="34">
        <v>1</v>
      </c>
      <c r="S24" s="33"/>
      <c r="U24" s="7" t="s">
        <v>202</v>
      </c>
      <c r="V24" s="36"/>
      <c r="W24" s="35"/>
      <c r="X24" s="35"/>
      <c r="Y24" s="35"/>
      <c r="Z24" s="35"/>
    </row>
    <row r="25" spans="1:26">
      <c r="A25" s="21" t="s">
        <v>7</v>
      </c>
      <c r="B25" s="21">
        <v>0</v>
      </c>
      <c r="C25" s="21">
        <v>1</v>
      </c>
      <c r="D25" s="21">
        <f t="shared" si="2"/>
        <v>32800</v>
      </c>
      <c r="E25" s="21" t="str">
        <f t="shared" si="3"/>
        <v>0100</v>
      </c>
      <c r="H25" s="12" t="s">
        <v>34</v>
      </c>
      <c r="I25" s="5">
        <v>0</v>
      </c>
      <c r="J25" s="23" t="str">
        <f>CONCATENATE("select PH1 ","(",V25,") ",S25)</f>
        <v xml:space="preserve">select PH1 () </v>
      </c>
      <c r="K25" s="6" t="s">
        <v>35</v>
      </c>
      <c r="L25" s="3">
        <v>1</v>
      </c>
      <c r="M25" s="13" t="str">
        <f t="shared" si="1"/>
        <v>(1)</v>
      </c>
      <c r="Q25" s="46"/>
      <c r="R25" s="46"/>
      <c r="V25" s="35"/>
      <c r="W25" s="35"/>
      <c r="X25" s="35"/>
      <c r="Y25" s="35"/>
      <c r="Z25" s="35"/>
    </row>
    <row r="26" spans="1:26">
      <c r="A26" s="21" t="s">
        <v>7</v>
      </c>
      <c r="B26" s="21">
        <v>0</v>
      </c>
      <c r="C26" s="21">
        <v>1</v>
      </c>
      <c r="D26" s="21">
        <f t="shared" si="2"/>
        <v>32801</v>
      </c>
      <c r="E26" s="21" t="str">
        <f t="shared" si="3"/>
        <v>0000</v>
      </c>
      <c r="H26" s="12" t="s">
        <v>36</v>
      </c>
      <c r="I26" s="5">
        <v>1</v>
      </c>
      <c r="J26" s="24" t="s">
        <v>48</v>
      </c>
      <c r="K26" s="3" t="str">
        <f>RIGHT(CONCATENATE("0000",Q26), 4)</f>
        <v>0000</v>
      </c>
      <c r="L26" s="22">
        <v>1</v>
      </c>
      <c r="M26" s="13" t="str">
        <f t="shared" si="1"/>
        <v>(0)</v>
      </c>
      <c r="Q26" s="47">
        <v>0</v>
      </c>
      <c r="R26" s="46"/>
      <c r="T26" s="35"/>
      <c r="U26" s="35"/>
      <c r="V26" s="35"/>
      <c r="W26" s="35"/>
      <c r="X26" s="35"/>
      <c r="Y26" s="35"/>
      <c r="Z26" s="35"/>
    </row>
    <row r="27" spans="1:26">
      <c r="A27" s="21" t="s">
        <v>7</v>
      </c>
      <c r="B27" s="21">
        <v>0</v>
      </c>
      <c r="C27" s="21">
        <v>1</v>
      </c>
      <c r="D27" s="21">
        <f t="shared" si="2"/>
        <v>32801</v>
      </c>
      <c r="E27" s="21" t="str">
        <f t="shared" si="3"/>
        <v>0000</v>
      </c>
      <c r="H27" s="12" t="s">
        <v>36</v>
      </c>
      <c r="I27" s="5">
        <v>2</v>
      </c>
      <c r="J27" s="24" t="s">
        <v>49</v>
      </c>
      <c r="K27" s="3" t="str">
        <f>RIGHT(CONCATENATE("0000",Q27), 4)</f>
        <v>0000</v>
      </c>
      <c r="L27" s="22">
        <v>1</v>
      </c>
      <c r="M27" s="13" t="str">
        <f t="shared" si="1"/>
        <v>(0)</v>
      </c>
      <c r="Q27" s="47">
        <v>0</v>
      </c>
      <c r="R27" s="46"/>
      <c r="T27" s="35"/>
      <c r="U27" s="35"/>
      <c r="V27" s="35"/>
      <c r="W27" s="35"/>
      <c r="X27" s="35"/>
      <c r="Y27" s="35"/>
      <c r="Z27" s="35"/>
    </row>
    <row r="28" spans="1:26">
      <c r="A28" s="21" t="s">
        <v>7</v>
      </c>
      <c r="B28" s="21">
        <v>0</v>
      </c>
      <c r="C28" s="21">
        <v>1</v>
      </c>
      <c r="D28" s="21">
        <f t="shared" si="2"/>
        <v>32809</v>
      </c>
      <c r="E28" s="21" t="str">
        <f t="shared" ca="1" si="3"/>
        <v>04000000</v>
      </c>
      <c r="H28" s="6" t="s">
        <v>121</v>
      </c>
      <c r="I28" s="5">
        <v>3</v>
      </c>
      <c r="J28" s="24" t="str">
        <f>CONCATENATE("Color"," ",S28)</f>
        <v xml:space="preserve">Color </v>
      </c>
      <c r="K28" s="3" t="str">
        <f ca="1">RIGHT(CONCATENATE("00000000",Q28), 8)</f>
        <v>00000004</v>
      </c>
      <c r="L28" s="3">
        <v>1</v>
      </c>
      <c r="M28" s="13" t="str">
        <f ca="1">"("&amp;HEX2DEC(K28)&amp;")"</f>
        <v>(4)</v>
      </c>
      <c r="Q28" s="45" t="str">
        <f t="shared" ref="Q28:Q31" ca="1" si="6">DEC2HEX(R28)</f>
        <v>4</v>
      </c>
      <c r="R28" s="50">
        <f ca="1">INDIRECT(ADDRESS(6+U2,9,,,"translations"))</f>
        <v>4</v>
      </c>
      <c r="T28" s="35"/>
      <c r="U28" s="35"/>
      <c r="V28" s="35"/>
      <c r="W28" s="35"/>
      <c r="X28" s="37"/>
      <c r="Y28" s="37"/>
      <c r="Z28" s="35"/>
    </row>
    <row r="29" spans="1:26">
      <c r="A29" s="21" t="s">
        <v>7</v>
      </c>
      <c r="B29" s="21">
        <v>0</v>
      </c>
      <c r="C29" s="21">
        <v>1</v>
      </c>
      <c r="D29" s="21">
        <f t="shared" si="2"/>
        <v>32809</v>
      </c>
      <c r="E29" s="21" t="str">
        <f t="shared" ca="1" si="3"/>
        <v>D4870000</v>
      </c>
      <c r="H29" s="6" t="s">
        <v>121</v>
      </c>
      <c r="I29" s="5">
        <v>4</v>
      </c>
      <c r="J29" s="24" t="str">
        <f>CONCATENATE("X-Offset"," ",S29)</f>
        <v xml:space="preserve">X-Offset </v>
      </c>
      <c r="K29" s="3" t="str">
        <f t="shared" ref="K29:K30" ca="1" si="7">RIGHT(CONCATENATE("00000000",Q29), 8)</f>
        <v>000087D4</v>
      </c>
      <c r="L29" s="3">
        <v>1</v>
      </c>
      <c r="M29" s="13" t="str">
        <f ca="1">"("&amp;HEX2DEC(K29)&amp;")"</f>
        <v>(34772)</v>
      </c>
      <c r="Q29" s="45" t="str">
        <f t="shared" ca="1" si="6"/>
        <v>87D4</v>
      </c>
      <c r="R29" s="50">
        <f ca="1">INDIRECT(ADDRESS(6+$U$2,11,,,"translations"))</f>
        <v>34772</v>
      </c>
      <c r="T29" s="35"/>
      <c r="U29" s="35"/>
      <c r="V29" s="35"/>
      <c r="W29" s="36"/>
      <c r="X29" s="38"/>
      <c r="Y29" s="37"/>
      <c r="Z29" s="35"/>
    </row>
    <row r="30" spans="1:26">
      <c r="A30" s="21" t="s">
        <v>7</v>
      </c>
      <c r="B30" s="21">
        <v>0</v>
      </c>
      <c r="C30" s="21">
        <v>1</v>
      </c>
      <c r="D30" s="21">
        <f t="shared" si="2"/>
        <v>32809</v>
      </c>
      <c r="E30" s="21" t="str">
        <f t="shared" ca="1" si="3"/>
        <v>F8040000</v>
      </c>
      <c r="H30" s="6" t="s">
        <v>121</v>
      </c>
      <c r="I30" s="5">
        <v>5</v>
      </c>
      <c r="J30" s="24" t="str">
        <f>CONCATENATE("Y-Offset"," ",S30)</f>
        <v xml:space="preserve">Y-Offset </v>
      </c>
      <c r="K30" s="3" t="str">
        <f t="shared" ca="1" si="7"/>
        <v>000004F8</v>
      </c>
      <c r="L30" s="3">
        <v>1</v>
      </c>
      <c r="M30" s="13" t="str">
        <f ca="1">"("&amp;HEX2DEC(K30)&amp;")"</f>
        <v>(1272)</v>
      </c>
      <c r="Q30" s="45" t="str">
        <f t="shared" ca="1" si="6"/>
        <v>4F8</v>
      </c>
      <c r="R30" s="50">
        <f ca="1">INDIRECT(ADDRESS(6+$U$2,12,,,"translations"))</f>
        <v>1272</v>
      </c>
      <c r="S30" s="33"/>
      <c r="T30" s="35"/>
      <c r="U30" s="35"/>
      <c r="V30" s="35"/>
      <c r="W30" s="36"/>
      <c r="X30" s="38"/>
      <c r="Y30" s="37"/>
      <c r="Z30" s="35"/>
    </row>
    <row r="31" spans="1:26">
      <c r="A31" s="21" t="s">
        <v>7</v>
      </c>
      <c r="B31" s="21">
        <v>0</v>
      </c>
      <c r="C31" s="21">
        <v>1</v>
      </c>
      <c r="D31" s="21">
        <f t="shared" si="2"/>
        <v>32809</v>
      </c>
      <c r="E31" s="21" t="str">
        <f t="shared" si="3"/>
        <v>F401</v>
      </c>
      <c r="H31" s="29" t="s">
        <v>121</v>
      </c>
      <c r="I31" s="5">
        <v>7</v>
      </c>
      <c r="J31" s="24" t="s">
        <v>50</v>
      </c>
      <c r="K31" s="3" t="str">
        <f t="shared" ref="K31" si="8">RIGHT(CONCATENATE("0000",Q31), 4)</f>
        <v>01F4</v>
      </c>
      <c r="L31" s="3">
        <v>1</v>
      </c>
      <c r="M31" s="13" t="str">
        <f t="shared" ref="M31:M35" si="9">"("&amp;HEX2DEC(K31)&amp;")"</f>
        <v>(500)</v>
      </c>
      <c r="Q31" s="45" t="str">
        <f t="shared" si="6"/>
        <v>1F4</v>
      </c>
      <c r="R31" s="34">
        <v>500</v>
      </c>
      <c r="T31" s="35"/>
      <c r="U31" s="35" t="s">
        <v>215</v>
      </c>
      <c r="V31" s="35"/>
      <c r="W31" s="35"/>
      <c r="X31" s="35"/>
      <c r="Y31" s="35"/>
      <c r="Z31" s="35"/>
    </row>
    <row r="32" spans="1:26">
      <c r="A32" s="21" t="s">
        <v>7</v>
      </c>
      <c r="B32" s="21">
        <v>0</v>
      </c>
      <c r="C32" s="21">
        <v>1</v>
      </c>
      <c r="D32" s="21">
        <f t="shared" si="2"/>
        <v>32805</v>
      </c>
      <c r="E32" s="21" t="str">
        <f t="shared" ca="1" si="3"/>
        <v>00008C42</v>
      </c>
      <c r="H32" s="29" t="s">
        <v>37</v>
      </c>
      <c r="I32" s="5">
        <v>2</v>
      </c>
      <c r="J32" s="24" t="s">
        <v>211</v>
      </c>
      <c r="K32" s="3" t="str">
        <f ca="1">RIGHT(CONCATENATE("00000000",Q32), 8)</f>
        <v>428C0000</v>
      </c>
      <c r="L32" s="3">
        <v>1</v>
      </c>
      <c r="M32" s="13" t="str">
        <f t="shared" ca="1" si="9"/>
        <v>(1116471296)</v>
      </c>
      <c r="Q32" s="50" t="str">
        <f ca="1">INDIRECT(ADDRESS(6+$U$2,41,,,"translations"))</f>
        <v>428C0000</v>
      </c>
      <c r="R32" s="46"/>
      <c r="T32" s="35"/>
      <c r="U32" s="35"/>
      <c r="V32" s="35"/>
      <c r="W32" s="36"/>
      <c r="X32" s="35"/>
      <c r="Y32" s="35"/>
      <c r="Z32" s="35"/>
    </row>
    <row r="33" spans="1:26">
      <c r="A33" s="21" t="s">
        <v>7</v>
      </c>
      <c r="B33" s="21">
        <v>0</v>
      </c>
      <c r="C33" s="21">
        <v>1</v>
      </c>
      <c r="D33" s="21">
        <f t="shared" si="2"/>
        <v>32805</v>
      </c>
      <c r="E33" s="21" t="str">
        <f t="shared" ca="1" si="3"/>
        <v>0000F041</v>
      </c>
      <c r="H33" s="29" t="s">
        <v>37</v>
      </c>
      <c r="I33" s="5">
        <v>3</v>
      </c>
      <c r="J33" s="24" t="s">
        <v>212</v>
      </c>
      <c r="K33" s="3" t="str">
        <f ca="1">RIGHT(CONCATENATE("00000000",Q33), 8)</f>
        <v>41F00000</v>
      </c>
      <c r="L33" s="3">
        <v>1</v>
      </c>
      <c r="M33" s="13" t="str">
        <f t="shared" ca="1" si="9"/>
        <v>(1106247680)</v>
      </c>
      <c r="Q33" s="50" t="str">
        <f ca="1">INDIRECT(ADDRESS(6+$U$2,42,,,"translations"))</f>
        <v>41F00000</v>
      </c>
      <c r="R33" s="46"/>
      <c r="T33" s="35"/>
      <c r="U33" s="35"/>
      <c r="V33" s="35"/>
      <c r="W33" s="36"/>
      <c r="X33" s="35"/>
      <c r="Y33" s="35"/>
      <c r="Z33" s="35"/>
    </row>
    <row r="34" spans="1:26">
      <c r="A34" s="21" t="s">
        <v>7</v>
      </c>
      <c r="B34" s="21">
        <v>0</v>
      </c>
      <c r="C34" s="21">
        <v>1</v>
      </c>
      <c r="D34" s="21">
        <f t="shared" si="2"/>
        <v>32805</v>
      </c>
      <c r="E34" s="21" t="str">
        <f t="shared" ca="1" si="3"/>
        <v>00000000</v>
      </c>
      <c r="H34" s="29" t="s">
        <v>37</v>
      </c>
      <c r="I34" s="5">
        <v>4</v>
      </c>
      <c r="J34" s="24" t="s">
        <v>213</v>
      </c>
      <c r="K34" s="3" t="str">
        <f ca="1">RIGHT(CONCATENATE("00000000",Q34), 8)</f>
        <v>00000000</v>
      </c>
      <c r="L34" s="3">
        <v>1</v>
      </c>
      <c r="M34" s="13" t="str">
        <f t="shared" ca="1" si="9"/>
        <v>(0)</v>
      </c>
      <c r="Q34" s="50" t="str">
        <f ca="1">INDIRECT(ADDRESS(6+$U$2,43,,,"translations"))</f>
        <v>00000000</v>
      </c>
      <c r="R34" s="46"/>
      <c r="T34" s="35"/>
      <c r="U34" s="35"/>
      <c r="V34" s="35"/>
      <c r="W34" s="36"/>
      <c r="X34" s="35"/>
      <c r="Y34" s="35"/>
      <c r="Z34" s="35"/>
    </row>
    <row r="35" spans="1:26">
      <c r="A35" s="21" t="s">
        <v>7</v>
      </c>
      <c r="B35" s="21">
        <v>0</v>
      </c>
      <c r="C35" s="21">
        <v>1</v>
      </c>
      <c r="D35" s="21">
        <f t="shared" si="2"/>
        <v>32805</v>
      </c>
      <c r="E35" s="21" t="str">
        <f t="shared" ca="1" si="3"/>
        <v>9A998940</v>
      </c>
      <c r="H35" s="29" t="s">
        <v>37</v>
      </c>
      <c r="I35" s="5">
        <v>7</v>
      </c>
      <c r="J35" s="24" t="s">
        <v>214</v>
      </c>
      <c r="K35" s="3" t="str">
        <f ca="1">RIGHT(CONCATENATE("00000000",Q35), 8)</f>
        <v>4089999A</v>
      </c>
      <c r="L35" s="3">
        <v>1</v>
      </c>
      <c r="M35" s="13" t="str">
        <f t="shared" ca="1" si="9"/>
        <v>(1082759578)</v>
      </c>
      <c r="Q35" s="50" t="str">
        <f ca="1">INDIRECT(ADDRESS(6+$U$2,45,,,"translations"))</f>
        <v>4089999A</v>
      </c>
      <c r="R35" s="46"/>
      <c r="T35" s="35"/>
      <c r="U35" s="35"/>
      <c r="V35" s="35"/>
      <c r="W35" s="36"/>
      <c r="X35" s="35"/>
      <c r="Y35" s="35"/>
      <c r="Z35" s="35"/>
    </row>
    <row r="36" spans="1:26">
      <c r="A36" s="21" t="s">
        <v>7</v>
      </c>
      <c r="B36" s="21">
        <v>0</v>
      </c>
      <c r="C36" s="21">
        <v>1</v>
      </c>
      <c r="D36" s="21">
        <f t="shared" si="2"/>
        <v>32802</v>
      </c>
      <c r="E36" s="21" t="str">
        <f t="shared" ca="1" si="3"/>
        <v>C105</v>
      </c>
      <c r="H36" s="29">
        <v>8022</v>
      </c>
      <c r="I36" s="5">
        <v>1</v>
      </c>
      <c r="J36" s="24" t="s">
        <v>51</v>
      </c>
      <c r="K36" s="3" t="str">
        <f ca="1">RIGHT(CONCATENATE("0000",Q36), 4)</f>
        <v>05C1</v>
      </c>
      <c r="L36" s="3">
        <v>1</v>
      </c>
      <c r="M36" s="13" t="str">
        <f ca="1">"("&amp;HEX2DEC(K36)&amp;")"</f>
        <v>(1473)</v>
      </c>
      <c r="Q36" s="45" t="str">
        <f ca="1">DEC2HEX(R36*100)</f>
        <v>5C1</v>
      </c>
      <c r="R36" s="50">
        <f ca="1">INDIRECT(ADDRESS(6+$U$2,13,,,"translations"))</f>
        <v>14.739999999999998</v>
      </c>
      <c r="T36" s="35"/>
      <c r="U36" s="35"/>
      <c r="V36" s="35"/>
      <c r="W36" s="36"/>
      <c r="X36" s="35"/>
      <c r="Y36" s="35"/>
      <c r="Z36" s="35"/>
    </row>
    <row r="37" spans="1:26">
      <c r="A37" s="21" t="s">
        <v>7</v>
      </c>
      <c r="B37" s="21">
        <v>0</v>
      </c>
      <c r="C37" s="21">
        <v>1</v>
      </c>
      <c r="D37" s="21">
        <f t="shared" si="2"/>
        <v>32802</v>
      </c>
      <c r="E37" s="21" t="str">
        <f t="shared" ca="1" si="3"/>
        <v>AF05</v>
      </c>
      <c r="H37" s="29">
        <v>8022</v>
      </c>
      <c r="I37" s="5">
        <v>2</v>
      </c>
      <c r="J37" s="24" t="s">
        <v>52</v>
      </c>
      <c r="K37" s="3" t="str">
        <f t="shared" ref="K37:K41" ca="1" si="10">RIGHT(CONCATENATE("0000",Q37), 4)</f>
        <v>05AF</v>
      </c>
      <c r="L37" s="3">
        <v>1</v>
      </c>
      <c r="M37" s="13" t="str">
        <f t="shared" ca="1" si="1"/>
        <v>(1455)</v>
      </c>
      <c r="Q37" s="45" t="str">
        <f t="shared" ref="Q37:Q39" ca="1" si="11">DEC2HEX(R37*100)</f>
        <v>5AF</v>
      </c>
      <c r="R37" s="50">
        <f ca="1">INDIRECT(ADDRESS(6+$U$2,14,,,"translations"))</f>
        <v>14.55</v>
      </c>
      <c r="S37" s="48"/>
      <c r="T37" s="35"/>
      <c r="U37" s="35"/>
      <c r="V37" s="35"/>
      <c r="W37" s="35"/>
      <c r="X37" s="35"/>
      <c r="Y37" s="35"/>
      <c r="Z37" s="35"/>
    </row>
    <row r="38" spans="1:26">
      <c r="A38" s="21" t="s">
        <v>7</v>
      </c>
      <c r="B38" s="21">
        <v>0</v>
      </c>
      <c r="C38" s="21">
        <v>1</v>
      </c>
      <c r="D38" s="21">
        <f t="shared" si="2"/>
        <v>32802</v>
      </c>
      <c r="E38" s="21" t="str">
        <f t="shared" ca="1" si="3"/>
        <v>AF05</v>
      </c>
      <c r="H38" s="29">
        <v>8022</v>
      </c>
      <c r="I38" s="5">
        <v>3</v>
      </c>
      <c r="J38" s="24" t="s">
        <v>53</v>
      </c>
      <c r="K38" s="3" t="str">
        <f t="shared" ca="1" si="10"/>
        <v>05AF</v>
      </c>
      <c r="L38" s="3">
        <v>1</v>
      </c>
      <c r="M38" s="13" t="str">
        <f t="shared" ca="1" si="1"/>
        <v>(1455)</v>
      </c>
      <c r="Q38" s="45" t="str">
        <f t="shared" ca="1" si="11"/>
        <v>5AF</v>
      </c>
      <c r="R38" s="50">
        <f ca="1">INDIRECT(ADDRESS(6+$U$2,15,,,"translations"))</f>
        <v>14.55</v>
      </c>
      <c r="S38" s="48"/>
      <c r="T38" s="35"/>
      <c r="U38" s="35"/>
      <c r="V38" s="35"/>
      <c r="W38" s="35"/>
      <c r="X38" s="35"/>
      <c r="Y38" s="35"/>
      <c r="Z38" s="35"/>
    </row>
    <row r="39" spans="1:26">
      <c r="A39" s="21" t="s">
        <v>7</v>
      </c>
      <c r="B39" s="21">
        <v>0</v>
      </c>
      <c r="C39" s="21">
        <v>1</v>
      </c>
      <c r="D39" s="21">
        <f t="shared" si="2"/>
        <v>32802</v>
      </c>
      <c r="E39" s="21" t="str">
        <f t="shared" ca="1" si="3"/>
        <v>9205</v>
      </c>
      <c r="H39" s="29">
        <v>8022</v>
      </c>
      <c r="I39" s="5">
        <v>4</v>
      </c>
      <c r="J39" s="24" t="s">
        <v>54</v>
      </c>
      <c r="K39" s="3" t="str">
        <f t="shared" ca="1" si="10"/>
        <v>0592</v>
      </c>
      <c r="L39" s="3">
        <v>1</v>
      </c>
      <c r="M39" s="13" t="str">
        <f t="shared" ca="1" si="1"/>
        <v>(1426)</v>
      </c>
      <c r="Q39" s="45" t="str">
        <f t="shared" ca="1" si="11"/>
        <v>592</v>
      </c>
      <c r="R39" s="50">
        <f ca="1">INDIRECT(ADDRESS(6+$U$2,16,,,"translations"))</f>
        <v>14.264999999999997</v>
      </c>
      <c r="T39" s="35"/>
      <c r="U39" s="35"/>
      <c r="V39" s="35"/>
      <c r="W39" s="35"/>
      <c r="X39" s="35"/>
      <c r="Y39" s="35"/>
      <c r="Z39" s="35"/>
    </row>
    <row r="40" spans="1:26">
      <c r="A40" s="21" t="s">
        <v>7</v>
      </c>
      <c r="B40" s="21">
        <v>0</v>
      </c>
      <c r="C40" s="21">
        <v>1</v>
      </c>
      <c r="D40" s="21">
        <f t="shared" si="2"/>
        <v>32803</v>
      </c>
      <c r="E40" s="21" t="str">
        <f t="shared" si="3"/>
        <v>0100</v>
      </c>
      <c r="H40" s="6">
        <v>8023</v>
      </c>
      <c r="I40" s="5">
        <v>1</v>
      </c>
      <c r="J40" s="24" t="s">
        <v>55</v>
      </c>
      <c r="K40" s="3" t="str">
        <f t="shared" si="10"/>
        <v>0001</v>
      </c>
      <c r="L40" s="3">
        <v>1</v>
      </c>
      <c r="M40" s="13" t="str">
        <f t="shared" si="1"/>
        <v>(1)</v>
      </c>
      <c r="Q40" s="47">
        <v>1</v>
      </c>
      <c r="R40" s="46"/>
      <c r="S40" s="48"/>
      <c r="T40" s="49"/>
      <c r="U40" s="33"/>
      <c r="V40" s="35"/>
      <c r="W40" s="35"/>
      <c r="X40" s="35"/>
      <c r="Y40" s="35"/>
      <c r="Z40" s="35"/>
    </row>
    <row r="41" spans="1:26">
      <c r="A41" s="21" t="s">
        <v>7</v>
      </c>
      <c r="B41" s="21">
        <v>0</v>
      </c>
      <c r="C41" s="21">
        <v>1</v>
      </c>
      <c r="D41" s="21">
        <f t="shared" si="2"/>
        <v>32803</v>
      </c>
      <c r="E41" s="21" t="str">
        <f t="shared" si="3"/>
        <v>0100</v>
      </c>
      <c r="H41" s="6">
        <v>8023</v>
      </c>
      <c r="I41" s="5">
        <v>2</v>
      </c>
      <c r="J41" s="24" t="s">
        <v>126</v>
      </c>
      <c r="K41" s="3" t="str">
        <f t="shared" si="10"/>
        <v>0001</v>
      </c>
      <c r="L41" s="3">
        <v>1</v>
      </c>
      <c r="M41" s="13" t="str">
        <f t="shared" si="1"/>
        <v>(1)</v>
      </c>
      <c r="Q41" s="45" t="str">
        <f>DEC2HEX(R41)</f>
        <v>1</v>
      </c>
      <c r="R41" s="34">
        <v>1</v>
      </c>
      <c r="S41" s="48"/>
      <c r="T41" s="49"/>
      <c r="U41" s="48"/>
      <c r="V41" s="35"/>
      <c r="W41" s="35"/>
      <c r="X41" s="35"/>
      <c r="Y41" s="35"/>
      <c r="Z41" s="35"/>
    </row>
    <row r="42" spans="1:26">
      <c r="A42" s="21" t="s">
        <v>7</v>
      </c>
      <c r="B42" s="21">
        <v>0</v>
      </c>
      <c r="C42" s="21">
        <v>1</v>
      </c>
      <c r="D42" s="21">
        <f t="shared" si="2"/>
        <v>32803</v>
      </c>
      <c r="E42" s="21" t="str">
        <f t="shared" si="3"/>
        <v>0700</v>
      </c>
      <c r="H42" s="6">
        <v>8023</v>
      </c>
      <c r="I42" s="5">
        <v>3</v>
      </c>
      <c r="J42" s="24" t="s">
        <v>56</v>
      </c>
      <c r="K42" s="3" t="str">
        <f t="shared" ref="K42:K43" si="12">RIGHT(CONCATENATE("0000",Q42), 4)</f>
        <v>0007</v>
      </c>
      <c r="L42" s="3">
        <v>1</v>
      </c>
      <c r="M42" s="13" t="str">
        <f t="shared" ref="M42:M43" si="13">"("&amp;HEX2DEC(K42)&amp;")"</f>
        <v>(7)</v>
      </c>
      <c r="Q42" s="45" t="str">
        <f>DEC2HEX(R42)</f>
        <v>7</v>
      </c>
      <c r="R42" s="34">
        <v>7</v>
      </c>
      <c r="S42" s="48"/>
      <c r="T42" s="49"/>
      <c r="U42" s="48"/>
      <c r="V42" s="35"/>
      <c r="W42" s="35"/>
      <c r="X42" s="35"/>
      <c r="Y42" s="35"/>
      <c r="Z42" s="35"/>
    </row>
    <row r="43" spans="1:26">
      <c r="A43" s="21" t="s">
        <v>7</v>
      </c>
      <c r="B43" s="21">
        <v>0</v>
      </c>
      <c r="C43" s="21">
        <v>1</v>
      </c>
      <c r="D43" s="21">
        <f t="shared" si="2"/>
        <v>32808</v>
      </c>
      <c r="E43" s="21" t="str">
        <f t="shared" si="3"/>
        <v>0100</v>
      </c>
      <c r="H43" s="6">
        <v>8028</v>
      </c>
      <c r="I43" s="5">
        <v>1</v>
      </c>
      <c r="J43" s="24" t="s">
        <v>129</v>
      </c>
      <c r="K43" s="3" t="str">
        <f t="shared" si="12"/>
        <v>0001</v>
      </c>
      <c r="L43" s="3">
        <v>1</v>
      </c>
      <c r="M43" s="13" t="str">
        <f t="shared" si="13"/>
        <v>(1)</v>
      </c>
      <c r="Q43" s="47">
        <v>1</v>
      </c>
      <c r="R43" s="46"/>
      <c r="S43" s="33"/>
      <c r="T43" s="35"/>
      <c r="U43" s="35"/>
      <c r="V43" s="35"/>
      <c r="W43" s="35"/>
      <c r="X43" s="35"/>
      <c r="Y43" s="35"/>
      <c r="Z43" s="35"/>
    </row>
    <row r="44" spans="1:26">
      <c r="A44" s="21" t="s">
        <v>7</v>
      </c>
      <c r="B44" s="21">
        <v>0</v>
      </c>
      <c r="C44" s="21">
        <v>1</v>
      </c>
      <c r="D44" s="21">
        <f t="shared" si="2"/>
        <v>32807</v>
      </c>
      <c r="E44" s="21" t="str">
        <f t="shared" si="3"/>
        <v>7500</v>
      </c>
      <c r="H44" s="6">
        <v>8027</v>
      </c>
      <c r="I44" s="5">
        <v>1</v>
      </c>
      <c r="J44" s="24" t="s">
        <v>127</v>
      </c>
      <c r="K44" s="3" t="str">
        <f>RIGHT(CONCATENATE("0000",Q44), 4)</f>
        <v>0075</v>
      </c>
      <c r="L44" s="3">
        <v>1</v>
      </c>
      <c r="M44" s="13" t="str">
        <f>"("&amp;HEX2DEC(K44)&amp;")"</f>
        <v>(117)</v>
      </c>
      <c r="Q44" s="45" t="str">
        <f>DEC2HEX(R44*100)</f>
        <v>75</v>
      </c>
      <c r="R44" s="74">
        <v>1.17</v>
      </c>
      <c r="S44" s="33"/>
      <c r="T44" s="35"/>
      <c r="U44" s="35"/>
      <c r="V44" s="35"/>
      <c r="W44" s="35"/>
      <c r="X44" s="35"/>
      <c r="Y44" s="35"/>
      <c r="Z44" s="35"/>
    </row>
    <row r="45" spans="1:26">
      <c r="A45" s="21" t="s">
        <v>7</v>
      </c>
      <c r="B45" s="21">
        <v>0</v>
      </c>
      <c r="C45" s="21">
        <v>1</v>
      </c>
      <c r="D45" s="21">
        <f t="shared" si="2"/>
        <v>32807</v>
      </c>
      <c r="E45" s="21" t="str">
        <f t="shared" si="3"/>
        <v>7500</v>
      </c>
      <c r="H45" s="6">
        <v>8027</v>
      </c>
      <c r="I45" s="5">
        <v>2</v>
      </c>
      <c r="J45" s="24" t="s">
        <v>130</v>
      </c>
      <c r="K45" s="3" t="str">
        <f t="shared" ref="K45:K47" si="14">RIGHT(CONCATENATE("0000",Q45), 4)</f>
        <v>0075</v>
      </c>
      <c r="L45" s="3">
        <v>1</v>
      </c>
      <c r="M45" s="13" t="str">
        <f t="shared" ref="M45:M47" si="15">"("&amp;HEX2DEC(K45)&amp;")"</f>
        <v>(117)</v>
      </c>
      <c r="Q45" s="45" t="str">
        <f t="shared" ref="Q45:Q47" si="16">DEC2HEX(R45*100)</f>
        <v>75</v>
      </c>
      <c r="R45" s="74">
        <v>1.17</v>
      </c>
      <c r="S45" s="33"/>
      <c r="T45" s="35"/>
      <c r="U45" s="35"/>
      <c r="V45" s="35"/>
      <c r="W45" s="35"/>
      <c r="X45" s="35"/>
      <c r="Y45" s="35"/>
      <c r="Z45" s="35"/>
    </row>
    <row r="46" spans="1:26">
      <c r="A46" s="21" t="s">
        <v>7</v>
      </c>
      <c r="B46" s="21">
        <v>0</v>
      </c>
      <c r="C46" s="21">
        <v>1</v>
      </c>
      <c r="D46" s="21">
        <f t="shared" si="2"/>
        <v>32807</v>
      </c>
      <c r="E46" s="21" t="str">
        <f t="shared" si="3"/>
        <v>7500</v>
      </c>
      <c r="H46" s="6">
        <v>8027</v>
      </c>
      <c r="I46" s="5">
        <v>3</v>
      </c>
      <c r="J46" s="24" t="s">
        <v>131</v>
      </c>
      <c r="K46" s="3" t="str">
        <f t="shared" si="14"/>
        <v>0075</v>
      </c>
      <c r="L46" s="3">
        <v>1</v>
      </c>
      <c r="M46" s="13" t="str">
        <f t="shared" si="15"/>
        <v>(117)</v>
      </c>
      <c r="Q46" s="45" t="str">
        <f t="shared" si="16"/>
        <v>75</v>
      </c>
      <c r="R46" s="74">
        <v>1.17</v>
      </c>
      <c r="S46" s="33"/>
      <c r="T46" s="35"/>
      <c r="U46" s="35"/>
      <c r="V46" s="35"/>
      <c r="W46" s="35"/>
      <c r="X46" s="35"/>
      <c r="Y46" s="35"/>
      <c r="Z46" s="35"/>
    </row>
    <row r="47" spans="1:26">
      <c r="A47" s="21" t="s">
        <v>7</v>
      </c>
      <c r="B47" s="21">
        <v>0</v>
      </c>
      <c r="C47" s="21">
        <v>1</v>
      </c>
      <c r="D47" s="21">
        <f t="shared" si="2"/>
        <v>32807</v>
      </c>
      <c r="E47" s="21" t="str">
        <f t="shared" si="3"/>
        <v>7500</v>
      </c>
      <c r="H47" s="6">
        <v>8027</v>
      </c>
      <c r="I47" s="5">
        <v>4</v>
      </c>
      <c r="J47" s="24" t="s">
        <v>132</v>
      </c>
      <c r="K47" s="3" t="str">
        <f t="shared" si="14"/>
        <v>0075</v>
      </c>
      <c r="L47" s="3">
        <v>1</v>
      </c>
      <c r="M47" s="13" t="str">
        <f t="shared" si="15"/>
        <v>(117)</v>
      </c>
      <c r="Q47" s="45" t="str">
        <f t="shared" si="16"/>
        <v>75</v>
      </c>
      <c r="R47" s="74">
        <v>1.17</v>
      </c>
      <c r="S47" s="33"/>
      <c r="T47" s="35"/>
      <c r="U47" s="35"/>
      <c r="V47" s="35"/>
      <c r="W47" s="35"/>
      <c r="X47" s="35"/>
      <c r="Y47" s="35"/>
      <c r="Z47" s="35"/>
    </row>
    <row r="48" spans="1:26">
      <c r="A48" s="21" t="s">
        <v>7</v>
      </c>
      <c r="B48" s="21">
        <v>0</v>
      </c>
      <c r="C48" s="21">
        <v>1</v>
      </c>
      <c r="D48" s="21">
        <f t="shared" si="2"/>
        <v>32808</v>
      </c>
      <c r="E48" s="21" t="str">
        <f t="shared" si="3"/>
        <v>9B02</v>
      </c>
      <c r="H48" s="6">
        <v>8028</v>
      </c>
      <c r="I48" s="5">
        <v>2</v>
      </c>
      <c r="J48" s="24" t="s">
        <v>133</v>
      </c>
      <c r="K48" s="3" t="str">
        <f>RIGHT(CONCATENATE("0000",Q48), 4)</f>
        <v>029B</v>
      </c>
      <c r="L48" s="3">
        <v>1</v>
      </c>
      <c r="M48" s="13" t="str">
        <f>"("&amp;HEX2DEC(K48)&amp;")"</f>
        <v>(667)</v>
      </c>
      <c r="Q48" s="45" t="str">
        <f>DEC2HEX(R48*10)</f>
        <v>29B</v>
      </c>
      <c r="R48" s="73">
        <v>66.7</v>
      </c>
      <c r="S48" s="33"/>
      <c r="T48" s="35"/>
      <c r="U48" s="35"/>
      <c r="V48" s="35"/>
      <c r="W48" s="35"/>
      <c r="X48" s="35"/>
      <c r="Y48" s="35"/>
      <c r="Z48" s="35"/>
    </row>
    <row r="49" spans="1:26">
      <c r="A49" s="21" t="s">
        <v>7</v>
      </c>
      <c r="B49" s="21">
        <v>0</v>
      </c>
      <c r="C49" s="21">
        <v>1</v>
      </c>
      <c r="D49" s="21">
        <f t="shared" si="2"/>
        <v>32808</v>
      </c>
      <c r="E49" s="21" t="str">
        <f t="shared" si="3"/>
        <v>9B02</v>
      </c>
      <c r="H49" s="6">
        <v>8028</v>
      </c>
      <c r="I49" s="5">
        <v>3</v>
      </c>
      <c r="J49" s="24" t="s">
        <v>128</v>
      </c>
      <c r="K49" s="3" t="str">
        <f t="shared" ref="K49:K51" si="17">RIGHT(CONCATENATE("0000",Q49), 4)</f>
        <v>029B</v>
      </c>
      <c r="L49" s="3">
        <v>1</v>
      </c>
      <c r="M49" s="13" t="str">
        <f t="shared" ref="M49:M51" si="18">"("&amp;HEX2DEC(K49)&amp;")"</f>
        <v>(667)</v>
      </c>
      <c r="Q49" s="45" t="str">
        <f t="shared" ref="Q49:Q51" si="19">DEC2HEX(R49*10)</f>
        <v>29B</v>
      </c>
      <c r="R49" s="73">
        <v>66.7</v>
      </c>
      <c r="S49" s="33"/>
      <c r="T49" s="35"/>
      <c r="U49" s="35"/>
      <c r="V49" s="35"/>
      <c r="W49" s="35"/>
      <c r="X49" s="35"/>
      <c r="Y49" s="35"/>
      <c r="Z49" s="35"/>
    </row>
    <row r="50" spans="1:26">
      <c r="A50" s="21" t="s">
        <v>7</v>
      </c>
      <c r="B50" s="21">
        <v>0</v>
      </c>
      <c r="C50" s="21">
        <v>1</v>
      </c>
      <c r="D50" s="21">
        <f t="shared" si="2"/>
        <v>32808</v>
      </c>
      <c r="E50" s="21" t="str">
        <f t="shared" si="3"/>
        <v>9B02</v>
      </c>
      <c r="H50" s="6">
        <v>8028</v>
      </c>
      <c r="I50" s="5">
        <v>4</v>
      </c>
      <c r="J50" s="24" t="s">
        <v>134</v>
      </c>
      <c r="K50" s="3" t="str">
        <f t="shared" si="17"/>
        <v>029B</v>
      </c>
      <c r="L50" s="3">
        <v>1</v>
      </c>
      <c r="M50" s="13" t="str">
        <f t="shared" si="18"/>
        <v>(667)</v>
      </c>
      <c r="Q50" s="45" t="str">
        <f t="shared" si="19"/>
        <v>29B</v>
      </c>
      <c r="R50" s="73">
        <v>66.7</v>
      </c>
      <c r="S50" s="33"/>
      <c r="T50" s="35"/>
      <c r="U50" s="35"/>
      <c r="V50" s="35"/>
      <c r="W50" s="35"/>
      <c r="X50" s="35"/>
      <c r="Y50" s="35"/>
      <c r="Z50" s="35"/>
    </row>
    <row r="51" spans="1:26">
      <c r="A51" s="21" t="s">
        <v>7</v>
      </c>
      <c r="B51" s="21">
        <v>0</v>
      </c>
      <c r="C51" s="21">
        <v>1</v>
      </c>
      <c r="D51" s="21">
        <f t="shared" si="2"/>
        <v>32808</v>
      </c>
      <c r="E51" s="21" t="str">
        <f t="shared" si="3"/>
        <v>9B02</v>
      </c>
      <c r="H51" s="6">
        <v>8028</v>
      </c>
      <c r="I51" s="5">
        <v>5</v>
      </c>
      <c r="J51" s="24" t="s">
        <v>135</v>
      </c>
      <c r="K51" s="3" t="str">
        <f t="shared" si="17"/>
        <v>029B</v>
      </c>
      <c r="L51" s="3">
        <v>1</v>
      </c>
      <c r="M51" s="13" t="str">
        <f t="shared" si="18"/>
        <v>(667)</v>
      </c>
      <c r="Q51" s="45" t="str">
        <f t="shared" si="19"/>
        <v>29B</v>
      </c>
      <c r="R51" s="73">
        <v>66.7</v>
      </c>
      <c r="S51" s="33"/>
      <c r="T51" s="35"/>
      <c r="U51" s="35"/>
      <c r="V51" s="35"/>
      <c r="W51" s="35"/>
      <c r="X51" s="35"/>
      <c r="Y51" s="35"/>
      <c r="Z51" s="35"/>
    </row>
    <row r="52" spans="1:26">
      <c r="A52" s="21" t="s">
        <v>7</v>
      </c>
      <c r="B52" s="21">
        <v>0</v>
      </c>
      <c r="C52" s="21">
        <v>1</v>
      </c>
      <c r="D52" s="21">
        <f t="shared" si="2"/>
        <v>32800</v>
      </c>
      <c r="E52" s="21" t="str">
        <f t="shared" si="3"/>
        <v>0200</v>
      </c>
      <c r="H52" s="12" t="s">
        <v>34</v>
      </c>
      <c r="I52" s="5">
        <v>0</v>
      </c>
      <c r="J52" s="23" t="str">
        <f>CONCATENATE("select PH2 ","(",V52,") ",S52)</f>
        <v xml:space="preserve">select PH2 () </v>
      </c>
      <c r="K52" s="6" t="s">
        <v>38</v>
      </c>
      <c r="L52" s="3">
        <v>1</v>
      </c>
      <c r="M52" s="13" t="str">
        <f t="shared" si="1"/>
        <v>(2)</v>
      </c>
      <c r="Q52" s="46"/>
      <c r="R52" s="46"/>
      <c r="T52" s="49"/>
      <c r="U52" s="33"/>
      <c r="V52" s="35"/>
      <c r="W52" s="35"/>
      <c r="X52" s="35"/>
      <c r="Y52" s="35"/>
      <c r="Z52" s="35"/>
    </row>
    <row r="53" spans="1:26">
      <c r="A53" s="21" t="s">
        <v>7</v>
      </c>
      <c r="B53" s="21">
        <v>0</v>
      </c>
      <c r="C53" s="21">
        <v>1</v>
      </c>
      <c r="D53" s="21">
        <f t="shared" si="2"/>
        <v>32801</v>
      </c>
      <c r="E53" s="21" t="str">
        <f t="shared" si="3"/>
        <v>0000</v>
      </c>
      <c r="H53" s="12" t="s">
        <v>36</v>
      </c>
      <c r="I53" s="5">
        <v>1</v>
      </c>
      <c r="J53" s="24" t="s">
        <v>48</v>
      </c>
      <c r="K53" s="3" t="str">
        <f>RIGHT(CONCATENATE("0000",Q53), 4)</f>
        <v>0000</v>
      </c>
      <c r="L53" s="22">
        <v>1</v>
      </c>
      <c r="M53" s="13" t="str">
        <f t="shared" ref="M53:M54" si="20">"("&amp;HEX2DEC(K53)&amp;")"</f>
        <v>(0)</v>
      </c>
      <c r="Q53" s="47">
        <v>0</v>
      </c>
      <c r="R53" s="46"/>
      <c r="S53" s="33"/>
      <c r="T53" s="49"/>
      <c r="U53" s="33"/>
      <c r="V53" s="35"/>
      <c r="W53" s="35"/>
      <c r="X53" s="35"/>
      <c r="Y53" s="35"/>
      <c r="Z53" s="35"/>
    </row>
    <row r="54" spans="1:26">
      <c r="A54" s="21" t="s">
        <v>7</v>
      </c>
      <c r="B54" s="21">
        <v>0</v>
      </c>
      <c r="C54" s="21">
        <v>1</v>
      </c>
      <c r="D54" s="21">
        <f t="shared" si="2"/>
        <v>32801</v>
      </c>
      <c r="E54" s="21" t="str">
        <f t="shared" si="3"/>
        <v>0000</v>
      </c>
      <c r="H54" s="12" t="s">
        <v>36</v>
      </c>
      <c r="I54" s="5">
        <v>2</v>
      </c>
      <c r="J54" s="24" t="s">
        <v>49</v>
      </c>
      <c r="K54" s="3" t="str">
        <f>RIGHT(CONCATENATE("0000",Q54), 4)</f>
        <v>0000</v>
      </c>
      <c r="L54" s="22">
        <v>1</v>
      </c>
      <c r="M54" s="13" t="str">
        <f t="shared" si="20"/>
        <v>(0)</v>
      </c>
      <c r="Q54" s="47">
        <v>0</v>
      </c>
      <c r="R54" s="46"/>
      <c r="S54" s="48"/>
      <c r="T54" s="49"/>
      <c r="U54" s="33"/>
      <c r="V54" s="35"/>
      <c r="W54" s="35"/>
      <c r="X54" s="35"/>
      <c r="Y54" s="35"/>
      <c r="Z54" s="35"/>
    </row>
    <row r="55" spans="1:26">
      <c r="A55" s="21" t="s">
        <v>7</v>
      </c>
      <c r="B55" s="21">
        <v>0</v>
      </c>
      <c r="C55" s="21">
        <v>1</v>
      </c>
      <c r="D55" s="21">
        <f t="shared" si="2"/>
        <v>32809</v>
      </c>
      <c r="E55" s="21" t="str">
        <f t="shared" ca="1" si="3"/>
        <v>04000000</v>
      </c>
      <c r="H55" s="6" t="s">
        <v>121</v>
      </c>
      <c r="I55" s="5">
        <v>3</v>
      </c>
      <c r="J55" s="24" t="str">
        <f>CONCATENATE("Color"," ",S55)</f>
        <v xml:space="preserve">Color </v>
      </c>
      <c r="K55" s="3" t="str">
        <f ca="1">RIGHT(CONCATENATE("00000000",Q55), 8)</f>
        <v>00000004</v>
      </c>
      <c r="L55" s="3">
        <v>1</v>
      </c>
      <c r="M55" s="13" t="str">
        <f ca="1">"("&amp;HEX2DEC(K55)&amp;")"</f>
        <v>(4)</v>
      </c>
      <c r="Q55" s="45" t="str">
        <f t="shared" ref="Q55:Q58" ca="1" si="21">DEC2HEX(R55)</f>
        <v>4</v>
      </c>
      <c r="R55" s="50">
        <f ca="1">INDIRECT(ADDRESS(6+$U$2,17,,,"translations"))</f>
        <v>4</v>
      </c>
      <c r="S55" s="33"/>
      <c r="T55" s="49"/>
      <c r="U55" s="33"/>
      <c r="V55" s="35"/>
      <c r="W55" s="35"/>
      <c r="X55" s="35"/>
      <c r="Y55" s="35"/>
      <c r="Z55" s="35"/>
    </row>
    <row r="56" spans="1:26">
      <c r="A56" s="21" t="s">
        <v>7</v>
      </c>
      <c r="B56" s="21">
        <v>0</v>
      </c>
      <c r="C56" s="21">
        <v>1</v>
      </c>
      <c r="D56" s="21">
        <f t="shared" si="2"/>
        <v>32809</v>
      </c>
      <c r="E56" s="21" t="str">
        <f t="shared" ca="1" si="3"/>
        <v>D4870000</v>
      </c>
      <c r="H56" s="6" t="s">
        <v>121</v>
      </c>
      <c r="I56" s="5">
        <v>4</v>
      </c>
      <c r="J56" s="24" t="str">
        <f>CONCATENATE("X-Offset"," ",S56)</f>
        <v xml:space="preserve">X-Offset </v>
      </c>
      <c r="K56" s="3" t="str">
        <f t="shared" ref="K56:K57" ca="1" si="22">RIGHT(CONCATENATE("00000000",Q56), 8)</f>
        <v>000087D4</v>
      </c>
      <c r="L56" s="3">
        <v>1</v>
      </c>
      <c r="M56" s="13" t="str">
        <f ca="1">"("&amp;HEX2DEC(K56)&amp;")"</f>
        <v>(34772)</v>
      </c>
      <c r="Q56" s="45" t="str">
        <f t="shared" ca="1" si="21"/>
        <v>87D4</v>
      </c>
      <c r="R56" s="50">
        <f ca="1">INDIRECT(ADDRESS(6+$U$2,19,,,"translations"))</f>
        <v>34772</v>
      </c>
      <c r="T56" s="35"/>
      <c r="U56" s="35"/>
      <c r="V56" s="35"/>
      <c r="W56" s="35"/>
      <c r="X56" s="35"/>
      <c r="Y56" s="35"/>
      <c r="Z56" s="35"/>
    </row>
    <row r="57" spans="1:26">
      <c r="A57" s="21" t="s">
        <v>7</v>
      </c>
      <c r="B57" s="21">
        <v>0</v>
      </c>
      <c r="C57" s="21">
        <v>1</v>
      </c>
      <c r="D57" s="21">
        <f t="shared" si="2"/>
        <v>32809</v>
      </c>
      <c r="E57" s="21" t="str">
        <f t="shared" ca="1" si="3"/>
        <v>E70E0000</v>
      </c>
      <c r="H57" s="6" t="s">
        <v>121</v>
      </c>
      <c r="I57" s="5">
        <v>5</v>
      </c>
      <c r="J57" s="24" t="str">
        <f>CONCATENATE("Y-Offset"," ",S57)</f>
        <v xml:space="preserve">Y-Offset </v>
      </c>
      <c r="K57" s="3" t="str">
        <f t="shared" ca="1" si="22"/>
        <v>00000EE7</v>
      </c>
      <c r="L57" s="3">
        <v>1</v>
      </c>
      <c r="M57" s="13" t="str">
        <f ca="1">"("&amp;HEX2DEC(K57)&amp;")"</f>
        <v>(3815)</v>
      </c>
      <c r="Q57" s="45" t="str">
        <f t="shared" ca="1" si="21"/>
        <v>EE7</v>
      </c>
      <c r="R57" s="50">
        <f ca="1">INDIRECT(ADDRESS(6+$U$2,20,,,"translations"))</f>
        <v>3815</v>
      </c>
      <c r="T57" s="35"/>
      <c r="U57" s="35"/>
      <c r="V57" s="35"/>
      <c r="W57" s="35"/>
      <c r="X57" s="35"/>
      <c r="Y57" s="35"/>
      <c r="Z57" s="35"/>
    </row>
    <row r="58" spans="1:26">
      <c r="A58" s="21" t="s">
        <v>7</v>
      </c>
      <c r="B58" s="21">
        <v>0</v>
      </c>
      <c r="C58" s="21">
        <v>1</v>
      </c>
      <c r="D58" s="21">
        <f t="shared" si="2"/>
        <v>32809</v>
      </c>
      <c r="E58" s="21" t="str">
        <f t="shared" si="3"/>
        <v>F401</v>
      </c>
      <c r="H58" s="29" t="s">
        <v>121</v>
      </c>
      <c r="I58" s="5">
        <v>7</v>
      </c>
      <c r="J58" s="24" t="s">
        <v>50</v>
      </c>
      <c r="K58" s="3" t="str">
        <f t="shared" ref="K58" si="23">RIGHT(CONCATENATE("0000",Q58), 4)</f>
        <v>01F4</v>
      </c>
      <c r="L58" s="3">
        <v>1</v>
      </c>
      <c r="M58" s="13" t="str">
        <f t="shared" ref="M58:M62" si="24">"("&amp;HEX2DEC(K58)&amp;")"</f>
        <v>(500)</v>
      </c>
      <c r="Q58" s="45" t="str">
        <f t="shared" si="21"/>
        <v>1F4</v>
      </c>
      <c r="R58" s="34">
        <v>500</v>
      </c>
      <c r="S58" s="33"/>
      <c r="T58" s="35"/>
      <c r="U58" s="35"/>
      <c r="V58" s="35"/>
      <c r="W58" s="35"/>
      <c r="X58" s="35"/>
      <c r="Y58" s="35"/>
      <c r="Z58" s="35"/>
    </row>
    <row r="59" spans="1:26">
      <c r="A59" s="21" t="s">
        <v>7</v>
      </c>
      <c r="B59" s="21">
        <v>0</v>
      </c>
      <c r="C59" s="21">
        <v>1</v>
      </c>
      <c r="D59" s="21">
        <f t="shared" si="2"/>
        <v>32805</v>
      </c>
      <c r="E59" s="21" t="str">
        <f t="shared" ca="1" si="3"/>
        <v>00008C42</v>
      </c>
      <c r="H59" s="29" t="s">
        <v>37</v>
      </c>
      <c r="I59" s="5">
        <v>2</v>
      </c>
      <c r="J59" s="24" t="s">
        <v>211</v>
      </c>
      <c r="K59" s="3" t="str">
        <f ca="1">RIGHT(CONCATENATE("00000000",Q59), 8)</f>
        <v>428C0000</v>
      </c>
      <c r="L59" s="3">
        <v>1</v>
      </c>
      <c r="M59" s="13" t="str">
        <f t="shared" ca="1" si="24"/>
        <v>(1116471296)</v>
      </c>
      <c r="Q59" s="50" t="str">
        <f ca="1">INDIRECT(ADDRESS(6+$U$2,41,,,"translations"))</f>
        <v>428C0000</v>
      </c>
      <c r="R59" s="46"/>
      <c r="T59" s="35"/>
      <c r="U59" s="35"/>
      <c r="V59" s="35"/>
      <c r="W59" s="35"/>
      <c r="X59" s="35"/>
      <c r="Y59" s="35"/>
      <c r="Z59" s="35"/>
    </row>
    <row r="60" spans="1:26">
      <c r="A60" s="21" t="s">
        <v>7</v>
      </c>
      <c r="B60" s="21">
        <v>0</v>
      </c>
      <c r="C60" s="21">
        <v>1</v>
      </c>
      <c r="D60" s="21">
        <f t="shared" si="2"/>
        <v>32805</v>
      </c>
      <c r="E60" s="21" t="str">
        <f t="shared" ca="1" si="3"/>
        <v>0000F041</v>
      </c>
      <c r="H60" s="29" t="s">
        <v>37</v>
      </c>
      <c r="I60" s="5">
        <v>3</v>
      </c>
      <c r="J60" s="24" t="s">
        <v>212</v>
      </c>
      <c r="K60" s="3" t="str">
        <f ca="1">RIGHT(CONCATENATE("00000000",Q60), 8)</f>
        <v>41F00000</v>
      </c>
      <c r="L60" s="3">
        <v>1</v>
      </c>
      <c r="M60" s="13" t="str">
        <f t="shared" ca="1" si="24"/>
        <v>(1106247680)</v>
      </c>
      <c r="Q60" s="50" t="str">
        <f ca="1">INDIRECT(ADDRESS(6+$U$2,42,,,"translations"))</f>
        <v>41F00000</v>
      </c>
      <c r="R60" s="46"/>
      <c r="T60" s="35"/>
      <c r="U60" s="35"/>
      <c r="V60" s="35"/>
      <c r="W60" s="35"/>
      <c r="X60" s="35"/>
      <c r="Y60" s="35"/>
      <c r="Z60" s="35"/>
    </row>
    <row r="61" spans="1:26">
      <c r="A61" s="21" t="s">
        <v>7</v>
      </c>
      <c r="B61" s="21">
        <v>0</v>
      </c>
      <c r="C61" s="21">
        <v>1</v>
      </c>
      <c r="D61" s="21">
        <f t="shared" si="2"/>
        <v>32805</v>
      </c>
      <c r="E61" s="21" t="str">
        <f t="shared" ca="1" si="3"/>
        <v>00000000</v>
      </c>
      <c r="H61" s="29" t="s">
        <v>37</v>
      </c>
      <c r="I61" s="5">
        <v>4</v>
      </c>
      <c r="J61" s="24" t="s">
        <v>213</v>
      </c>
      <c r="K61" s="3" t="str">
        <f ca="1">RIGHT(CONCATENATE("00000000",Q61), 8)</f>
        <v>00000000</v>
      </c>
      <c r="L61" s="3">
        <v>1</v>
      </c>
      <c r="M61" s="13" t="str">
        <f t="shared" ca="1" si="24"/>
        <v>(0)</v>
      </c>
      <c r="Q61" s="50" t="str">
        <f ca="1">INDIRECT(ADDRESS(6+$U$2,43,,,"translations"))</f>
        <v>00000000</v>
      </c>
      <c r="R61" s="46"/>
      <c r="T61" s="35"/>
      <c r="U61" s="35"/>
      <c r="V61" s="35"/>
      <c r="W61" s="35"/>
      <c r="X61" s="35"/>
      <c r="Y61" s="35"/>
      <c r="Z61" s="35"/>
    </row>
    <row r="62" spans="1:26">
      <c r="A62" s="21" t="s">
        <v>7</v>
      </c>
      <c r="B62" s="21">
        <v>0</v>
      </c>
      <c r="C62" s="21">
        <v>1</v>
      </c>
      <c r="D62" s="21">
        <f t="shared" si="2"/>
        <v>32805</v>
      </c>
      <c r="E62" s="21" t="str">
        <f t="shared" ca="1" si="3"/>
        <v>9A998940</v>
      </c>
      <c r="H62" s="29" t="s">
        <v>37</v>
      </c>
      <c r="I62" s="5">
        <v>7</v>
      </c>
      <c r="J62" s="24" t="s">
        <v>214</v>
      </c>
      <c r="K62" s="3" t="str">
        <f ca="1">RIGHT(CONCATENATE("00000000",Q62), 8)</f>
        <v>4089999A</v>
      </c>
      <c r="L62" s="3">
        <v>1</v>
      </c>
      <c r="M62" s="13" t="str">
        <f t="shared" ca="1" si="24"/>
        <v>(1082759578)</v>
      </c>
      <c r="Q62" s="50" t="str">
        <f ca="1">INDIRECT(ADDRESS(6+$U$2,45,,,"translations"))</f>
        <v>4089999A</v>
      </c>
      <c r="R62" s="46"/>
      <c r="T62" s="35"/>
      <c r="U62" s="35"/>
      <c r="V62" s="35"/>
      <c r="W62" s="35"/>
      <c r="X62" s="35"/>
      <c r="Y62" s="35"/>
      <c r="Z62" s="35"/>
    </row>
    <row r="63" spans="1:26">
      <c r="A63" s="21" t="s">
        <v>7</v>
      </c>
      <c r="B63" s="21">
        <v>0</v>
      </c>
      <c r="C63" s="21">
        <v>1</v>
      </c>
      <c r="D63" s="21">
        <f t="shared" si="2"/>
        <v>32802</v>
      </c>
      <c r="E63" s="21" t="str">
        <f t="shared" ca="1" si="3"/>
        <v>0E06</v>
      </c>
      <c r="H63" s="29">
        <v>8022</v>
      </c>
      <c r="I63" s="5">
        <v>1</v>
      </c>
      <c r="J63" s="24" t="s">
        <v>51</v>
      </c>
      <c r="K63" s="3" t="str">
        <f ca="1">RIGHT(CONCATENATE("0000",Q63), 4)</f>
        <v>060E</v>
      </c>
      <c r="L63" s="3">
        <v>1</v>
      </c>
      <c r="M63" s="13" t="str">
        <f ca="1">"("&amp;HEX2DEC(K63)&amp;")"</f>
        <v>(1550)</v>
      </c>
      <c r="Q63" s="45" t="str">
        <f ca="1">DEC2HEX(R63*100)</f>
        <v>60E</v>
      </c>
      <c r="R63" s="50">
        <f ca="1">INDIRECT(ADDRESS(6+$U$2,21,,,"translations"))</f>
        <v>15.5</v>
      </c>
      <c r="T63" s="35"/>
      <c r="U63" s="35"/>
      <c r="V63" s="35"/>
      <c r="W63" s="35"/>
      <c r="X63" s="35"/>
      <c r="Y63" s="35"/>
      <c r="Z63" s="35"/>
    </row>
    <row r="64" spans="1:26">
      <c r="A64" s="21" t="s">
        <v>7</v>
      </c>
      <c r="B64" s="21">
        <v>0</v>
      </c>
      <c r="C64" s="21">
        <v>1</v>
      </c>
      <c r="D64" s="21">
        <f t="shared" si="2"/>
        <v>32802</v>
      </c>
      <c r="E64" s="21" t="str">
        <f t="shared" ca="1" si="3"/>
        <v>F105</v>
      </c>
      <c r="H64" s="29">
        <v>8022</v>
      </c>
      <c r="I64" s="5">
        <v>2</v>
      </c>
      <c r="J64" s="24" t="s">
        <v>52</v>
      </c>
      <c r="K64" s="3" t="str">
        <f t="shared" ref="K64:K69" ca="1" si="25">RIGHT(CONCATENATE("0000",Q64), 4)</f>
        <v>05F1</v>
      </c>
      <c r="L64" s="3">
        <v>1</v>
      </c>
      <c r="M64" s="13" t="str">
        <f t="shared" ref="M64:M69" ca="1" si="26">"("&amp;HEX2DEC(K64)&amp;")"</f>
        <v>(1521)</v>
      </c>
      <c r="Q64" s="45" t="str">
        <f t="shared" ref="Q64:Q66" ca="1" si="27">DEC2HEX(R64*100)</f>
        <v>5F1</v>
      </c>
      <c r="R64" s="50">
        <f ca="1">INDIRECT(ADDRESS(6+$U$2,22,,,"translations"))</f>
        <v>15.215</v>
      </c>
      <c r="S64" s="33"/>
      <c r="T64" s="35"/>
      <c r="U64" s="35"/>
      <c r="V64" s="35"/>
      <c r="W64" s="35"/>
      <c r="X64" s="35"/>
      <c r="Y64" s="35"/>
      <c r="Z64" s="35"/>
    </row>
    <row r="65" spans="1:26">
      <c r="A65" s="21" t="s">
        <v>7</v>
      </c>
      <c r="B65" s="21">
        <v>0</v>
      </c>
      <c r="C65" s="21">
        <v>1</v>
      </c>
      <c r="D65" s="21">
        <f t="shared" si="2"/>
        <v>32802</v>
      </c>
      <c r="E65" s="21" t="str">
        <f t="shared" ca="1" si="3"/>
        <v>DE05</v>
      </c>
      <c r="H65" s="29">
        <v>8022</v>
      </c>
      <c r="I65" s="5">
        <v>3</v>
      </c>
      <c r="J65" s="24" t="s">
        <v>53</v>
      </c>
      <c r="K65" s="3" t="str">
        <f t="shared" ca="1" si="25"/>
        <v>05DE</v>
      </c>
      <c r="L65" s="3">
        <v>1</v>
      </c>
      <c r="M65" s="13" t="str">
        <f t="shared" ca="1" si="26"/>
        <v>(1502)</v>
      </c>
      <c r="Q65" s="45" t="str">
        <f t="shared" ca="1" si="27"/>
        <v>5DE</v>
      </c>
      <c r="R65" s="50">
        <f ca="1">INDIRECT(ADDRESS(6+$U$2,23,,,"translations"))</f>
        <v>15.024999999999999</v>
      </c>
      <c r="T65" s="35"/>
      <c r="U65" s="35"/>
      <c r="V65" s="35"/>
      <c r="W65" s="35"/>
      <c r="X65" s="35"/>
      <c r="Y65" s="35"/>
      <c r="Z65" s="35"/>
    </row>
    <row r="66" spans="1:26">
      <c r="A66" s="21" t="s">
        <v>7</v>
      </c>
      <c r="B66" s="21">
        <v>0</v>
      </c>
      <c r="C66" s="21">
        <v>1</v>
      </c>
      <c r="D66" s="21">
        <f t="shared" si="2"/>
        <v>32802</v>
      </c>
      <c r="E66" s="21" t="str">
        <f t="shared" ca="1" si="3"/>
        <v>D405</v>
      </c>
      <c r="H66" s="29">
        <v>8022</v>
      </c>
      <c r="I66" s="5">
        <v>4</v>
      </c>
      <c r="J66" s="24" t="s">
        <v>54</v>
      </c>
      <c r="K66" s="3" t="str">
        <f t="shared" ca="1" si="25"/>
        <v>05D4</v>
      </c>
      <c r="L66" s="3">
        <v>1</v>
      </c>
      <c r="M66" s="13" t="str">
        <f t="shared" ca="1" si="26"/>
        <v>(1492)</v>
      </c>
      <c r="Q66" s="45" t="str">
        <f t="shared" ca="1" si="27"/>
        <v>5D4</v>
      </c>
      <c r="R66" s="50">
        <f ca="1">INDIRECT(ADDRESS(6+$U$2,24,,,"translations"))</f>
        <v>14.929999999999996</v>
      </c>
      <c r="S66" s="33"/>
      <c r="T66" s="35"/>
      <c r="U66" s="35"/>
      <c r="V66" s="35"/>
      <c r="W66" s="35"/>
      <c r="X66" s="35"/>
      <c r="Y66" s="35"/>
      <c r="Z66" s="35"/>
    </row>
    <row r="67" spans="1:26">
      <c r="A67" s="21" t="s">
        <v>7</v>
      </c>
      <c r="B67" s="21">
        <v>0</v>
      </c>
      <c r="C67" s="21">
        <v>1</v>
      </c>
      <c r="D67" s="21">
        <f t="shared" ref="D67:D130" si="28">HEX2DEC(H67)</f>
        <v>32803</v>
      </c>
      <c r="E67" s="21" t="str">
        <f t="shared" ref="E67:E130" si="29">IF(L67=1,MID(K67,7,2) &amp; MID(K67,5,2) &amp; MID(K67,3,2) &amp; MID(K67,1,2),K67)</f>
        <v>0100</v>
      </c>
      <c r="H67" s="6">
        <v>8023</v>
      </c>
      <c r="I67" s="5">
        <v>1</v>
      </c>
      <c r="J67" s="24" t="s">
        <v>55</v>
      </c>
      <c r="K67" s="3" t="str">
        <f t="shared" si="25"/>
        <v>0001</v>
      </c>
      <c r="L67" s="3">
        <v>1</v>
      </c>
      <c r="M67" s="13" t="str">
        <f t="shared" si="26"/>
        <v>(1)</v>
      </c>
      <c r="Q67" s="47">
        <v>1</v>
      </c>
      <c r="R67" s="46"/>
      <c r="S67" s="33"/>
      <c r="T67" s="35"/>
      <c r="U67" s="35"/>
      <c r="V67" s="35"/>
      <c r="W67" s="35"/>
      <c r="X67" s="35"/>
      <c r="Y67" s="35"/>
      <c r="Z67" s="35"/>
    </row>
    <row r="68" spans="1:26">
      <c r="A68" s="21" t="s">
        <v>7</v>
      </c>
      <c r="B68" s="21">
        <v>0</v>
      </c>
      <c r="C68" s="21">
        <v>1</v>
      </c>
      <c r="D68" s="21">
        <f t="shared" si="28"/>
        <v>32803</v>
      </c>
      <c r="E68" s="21" t="str">
        <f t="shared" si="29"/>
        <v>0100</v>
      </c>
      <c r="H68" s="6">
        <v>8023</v>
      </c>
      <c r="I68" s="5">
        <v>2</v>
      </c>
      <c r="J68" s="24" t="s">
        <v>126</v>
      </c>
      <c r="K68" s="3" t="str">
        <f t="shared" si="25"/>
        <v>0001</v>
      </c>
      <c r="L68" s="3">
        <v>1</v>
      </c>
      <c r="M68" s="13" t="str">
        <f t="shared" si="26"/>
        <v>(1)</v>
      </c>
      <c r="Q68" s="45" t="str">
        <f>DEC2HEX(R68)</f>
        <v>1</v>
      </c>
      <c r="R68" s="34">
        <v>1</v>
      </c>
      <c r="S68" s="33"/>
      <c r="T68" s="35"/>
      <c r="U68" s="35"/>
      <c r="V68" s="35"/>
      <c r="W68" s="35"/>
      <c r="X68" s="35"/>
      <c r="Y68" s="35"/>
      <c r="Z68" s="35"/>
    </row>
    <row r="69" spans="1:26">
      <c r="A69" s="21" t="s">
        <v>7</v>
      </c>
      <c r="B69" s="21">
        <v>0</v>
      </c>
      <c r="C69" s="21">
        <v>1</v>
      </c>
      <c r="D69" s="21">
        <f t="shared" si="28"/>
        <v>32803</v>
      </c>
      <c r="E69" s="21" t="str">
        <f t="shared" si="29"/>
        <v>0700</v>
      </c>
      <c r="H69" s="6">
        <v>8023</v>
      </c>
      <c r="I69" s="5">
        <v>3</v>
      </c>
      <c r="J69" s="24" t="s">
        <v>56</v>
      </c>
      <c r="K69" s="3" t="str">
        <f t="shared" si="25"/>
        <v>0007</v>
      </c>
      <c r="L69" s="3">
        <v>1</v>
      </c>
      <c r="M69" s="13" t="str">
        <f t="shared" si="26"/>
        <v>(7)</v>
      </c>
      <c r="Q69" s="45" t="str">
        <f>DEC2HEX(R69)</f>
        <v>7</v>
      </c>
      <c r="R69" s="34">
        <v>7</v>
      </c>
      <c r="S69" s="33"/>
      <c r="T69" s="35"/>
      <c r="U69" s="35"/>
      <c r="V69" s="35"/>
      <c r="W69" s="35"/>
      <c r="X69" s="35"/>
      <c r="Y69" s="35"/>
      <c r="Z69" s="35"/>
    </row>
    <row r="70" spans="1:26">
      <c r="A70" s="21" t="s">
        <v>7</v>
      </c>
      <c r="B70" s="21">
        <v>0</v>
      </c>
      <c r="C70" s="21">
        <v>1</v>
      </c>
      <c r="D70" s="21">
        <f t="shared" si="28"/>
        <v>32808</v>
      </c>
      <c r="E70" s="21" t="str">
        <f t="shared" si="29"/>
        <v>0100</v>
      </c>
      <c r="H70" s="6">
        <v>8028</v>
      </c>
      <c r="I70" s="5">
        <v>1</v>
      </c>
      <c r="J70" s="24" t="s">
        <v>129</v>
      </c>
      <c r="K70" s="3" t="str">
        <f t="shared" ref="K70" si="30">RIGHT(CONCATENATE("0000",Q70), 4)</f>
        <v>0001</v>
      </c>
      <c r="L70" s="3">
        <v>1</v>
      </c>
      <c r="M70" s="13" t="str">
        <f t="shared" ref="M70" si="31">"("&amp;HEX2DEC(K70)&amp;")"</f>
        <v>(1)</v>
      </c>
      <c r="Q70" s="47">
        <v>1</v>
      </c>
      <c r="R70" s="46"/>
      <c r="S70" s="33"/>
      <c r="T70" s="35"/>
      <c r="U70" s="35"/>
      <c r="V70" s="35"/>
      <c r="W70" s="35"/>
      <c r="X70" s="35"/>
      <c r="Y70" s="35"/>
      <c r="Z70" s="35"/>
    </row>
    <row r="71" spans="1:26">
      <c r="A71" s="21" t="s">
        <v>7</v>
      </c>
      <c r="B71" s="21">
        <v>0</v>
      </c>
      <c r="C71" s="21">
        <v>1</v>
      </c>
      <c r="D71" s="21">
        <f t="shared" si="28"/>
        <v>32807</v>
      </c>
      <c r="E71" s="21" t="str">
        <f t="shared" si="29"/>
        <v>7500</v>
      </c>
      <c r="H71" s="6">
        <v>8027</v>
      </c>
      <c r="I71" s="5">
        <v>1</v>
      </c>
      <c r="J71" s="24" t="s">
        <v>127</v>
      </c>
      <c r="K71" s="3" t="str">
        <f>RIGHT(CONCATENATE("0000",Q71), 4)</f>
        <v>0075</v>
      </c>
      <c r="L71" s="3">
        <v>1</v>
      </c>
      <c r="M71" s="13" t="str">
        <f>"("&amp;HEX2DEC(K71)&amp;")"</f>
        <v>(117)</v>
      </c>
      <c r="Q71" s="45" t="str">
        <f>DEC2HEX(R71*100)</f>
        <v>75</v>
      </c>
      <c r="R71" s="74">
        <v>1.17</v>
      </c>
      <c r="S71" s="33"/>
      <c r="T71" s="35"/>
      <c r="U71" s="35"/>
      <c r="V71" s="35"/>
      <c r="W71" s="35"/>
      <c r="X71" s="35"/>
      <c r="Y71" s="35"/>
      <c r="Z71" s="35"/>
    </row>
    <row r="72" spans="1:26">
      <c r="A72" s="21" t="s">
        <v>7</v>
      </c>
      <c r="B72" s="21">
        <v>0</v>
      </c>
      <c r="C72" s="21">
        <v>1</v>
      </c>
      <c r="D72" s="21">
        <f t="shared" si="28"/>
        <v>32807</v>
      </c>
      <c r="E72" s="21" t="str">
        <f t="shared" si="29"/>
        <v>7500</v>
      </c>
      <c r="H72" s="6">
        <v>8027</v>
      </c>
      <c r="I72" s="5">
        <v>2</v>
      </c>
      <c r="J72" s="24" t="s">
        <v>130</v>
      </c>
      <c r="K72" s="3" t="str">
        <f t="shared" ref="K72:K74" si="32">RIGHT(CONCATENATE("0000",Q72), 4)</f>
        <v>0075</v>
      </c>
      <c r="L72" s="3">
        <v>1</v>
      </c>
      <c r="M72" s="13" t="str">
        <f t="shared" ref="M72:M74" si="33">"("&amp;HEX2DEC(K72)&amp;")"</f>
        <v>(117)</v>
      </c>
      <c r="Q72" s="45" t="str">
        <f t="shared" ref="Q72:Q74" si="34">DEC2HEX(R72*100)</f>
        <v>75</v>
      </c>
      <c r="R72" s="74">
        <v>1.17</v>
      </c>
      <c r="S72" s="33"/>
      <c r="T72" s="35"/>
      <c r="U72" s="35"/>
      <c r="V72" s="35"/>
      <c r="W72" s="35"/>
      <c r="X72" s="35"/>
      <c r="Y72" s="35"/>
      <c r="Z72" s="35"/>
    </row>
    <row r="73" spans="1:26">
      <c r="A73" s="21" t="s">
        <v>7</v>
      </c>
      <c r="B73" s="21">
        <v>0</v>
      </c>
      <c r="C73" s="21">
        <v>1</v>
      </c>
      <c r="D73" s="21">
        <f t="shared" si="28"/>
        <v>32807</v>
      </c>
      <c r="E73" s="21" t="str">
        <f t="shared" si="29"/>
        <v>7500</v>
      </c>
      <c r="H73" s="6">
        <v>8027</v>
      </c>
      <c r="I73" s="5">
        <v>3</v>
      </c>
      <c r="J73" s="24" t="s">
        <v>131</v>
      </c>
      <c r="K73" s="3" t="str">
        <f t="shared" si="32"/>
        <v>0075</v>
      </c>
      <c r="L73" s="3">
        <v>1</v>
      </c>
      <c r="M73" s="13" t="str">
        <f t="shared" si="33"/>
        <v>(117)</v>
      </c>
      <c r="Q73" s="45" t="str">
        <f t="shared" si="34"/>
        <v>75</v>
      </c>
      <c r="R73" s="74">
        <v>1.17</v>
      </c>
      <c r="S73" s="33"/>
      <c r="T73" s="35"/>
      <c r="U73" s="35"/>
      <c r="V73" s="35"/>
      <c r="W73" s="35"/>
      <c r="X73" s="35"/>
      <c r="Y73" s="35"/>
      <c r="Z73" s="35"/>
    </row>
    <row r="74" spans="1:26">
      <c r="A74" s="21" t="s">
        <v>7</v>
      </c>
      <c r="B74" s="21">
        <v>0</v>
      </c>
      <c r="C74" s="21">
        <v>1</v>
      </c>
      <c r="D74" s="21">
        <f t="shared" si="28"/>
        <v>32807</v>
      </c>
      <c r="E74" s="21" t="str">
        <f t="shared" si="29"/>
        <v>7500</v>
      </c>
      <c r="H74" s="6">
        <v>8027</v>
      </c>
      <c r="I74" s="5">
        <v>4</v>
      </c>
      <c r="J74" s="24" t="s">
        <v>132</v>
      </c>
      <c r="K74" s="3" t="str">
        <f t="shared" si="32"/>
        <v>0075</v>
      </c>
      <c r="L74" s="3">
        <v>1</v>
      </c>
      <c r="M74" s="13" t="str">
        <f t="shared" si="33"/>
        <v>(117)</v>
      </c>
      <c r="Q74" s="45" t="str">
        <f t="shared" si="34"/>
        <v>75</v>
      </c>
      <c r="R74" s="74">
        <v>1.17</v>
      </c>
      <c r="S74" s="33"/>
      <c r="T74" s="35"/>
      <c r="U74" s="35"/>
      <c r="V74" s="35"/>
      <c r="W74" s="35"/>
      <c r="X74" s="35"/>
      <c r="Y74" s="35"/>
      <c r="Z74" s="35"/>
    </row>
    <row r="75" spans="1:26">
      <c r="A75" s="21" t="s">
        <v>7</v>
      </c>
      <c r="B75" s="21">
        <v>0</v>
      </c>
      <c r="C75" s="21">
        <v>1</v>
      </c>
      <c r="D75" s="21">
        <f t="shared" si="28"/>
        <v>32808</v>
      </c>
      <c r="E75" s="21" t="str">
        <f t="shared" si="29"/>
        <v>9B02</v>
      </c>
      <c r="H75" s="6">
        <v>8028</v>
      </c>
      <c r="I75" s="5">
        <v>2</v>
      </c>
      <c r="J75" s="24" t="s">
        <v>133</v>
      </c>
      <c r="K75" s="3" t="str">
        <f>RIGHT(CONCATENATE("0000",Q75), 4)</f>
        <v>029B</v>
      </c>
      <c r="L75" s="3">
        <v>1</v>
      </c>
      <c r="M75" s="13" t="str">
        <f>"("&amp;HEX2DEC(K75)&amp;")"</f>
        <v>(667)</v>
      </c>
      <c r="Q75" s="45" t="str">
        <f>DEC2HEX(R75*10)</f>
        <v>29B</v>
      </c>
      <c r="R75" s="73">
        <v>66.7</v>
      </c>
      <c r="S75" s="33"/>
      <c r="T75" s="35"/>
      <c r="U75" s="35"/>
      <c r="V75" s="35"/>
      <c r="W75" s="35"/>
      <c r="X75" s="35"/>
      <c r="Y75" s="35"/>
      <c r="Z75" s="35"/>
    </row>
    <row r="76" spans="1:26">
      <c r="A76" s="21" t="s">
        <v>7</v>
      </c>
      <c r="B76" s="21">
        <v>0</v>
      </c>
      <c r="C76" s="21">
        <v>1</v>
      </c>
      <c r="D76" s="21">
        <f t="shared" si="28"/>
        <v>32808</v>
      </c>
      <c r="E76" s="21" t="str">
        <f t="shared" si="29"/>
        <v>9B02</v>
      </c>
      <c r="H76" s="6">
        <v>8028</v>
      </c>
      <c r="I76" s="5">
        <v>3</v>
      </c>
      <c r="J76" s="24" t="s">
        <v>128</v>
      </c>
      <c r="K76" s="3" t="str">
        <f t="shared" ref="K76:K78" si="35">RIGHT(CONCATENATE("0000",Q76), 4)</f>
        <v>029B</v>
      </c>
      <c r="L76" s="3">
        <v>1</v>
      </c>
      <c r="M76" s="13" t="str">
        <f t="shared" ref="M76:M78" si="36">"("&amp;HEX2DEC(K76)&amp;")"</f>
        <v>(667)</v>
      </c>
      <c r="Q76" s="45" t="str">
        <f t="shared" ref="Q76:Q78" si="37">DEC2HEX(R76*10)</f>
        <v>29B</v>
      </c>
      <c r="R76" s="73">
        <v>66.7</v>
      </c>
      <c r="S76" s="33"/>
      <c r="T76" s="35"/>
      <c r="U76" s="35"/>
      <c r="V76" s="35"/>
      <c r="W76" s="35"/>
      <c r="X76" s="35"/>
      <c r="Y76" s="35"/>
      <c r="Z76" s="35"/>
    </row>
    <row r="77" spans="1:26">
      <c r="A77" s="21" t="s">
        <v>7</v>
      </c>
      <c r="B77" s="21">
        <v>0</v>
      </c>
      <c r="C77" s="21">
        <v>1</v>
      </c>
      <c r="D77" s="21">
        <f t="shared" si="28"/>
        <v>32808</v>
      </c>
      <c r="E77" s="21" t="str">
        <f t="shared" si="29"/>
        <v>9B02</v>
      </c>
      <c r="H77" s="6">
        <v>8028</v>
      </c>
      <c r="I77" s="5">
        <v>4</v>
      </c>
      <c r="J77" s="24" t="s">
        <v>134</v>
      </c>
      <c r="K77" s="3" t="str">
        <f t="shared" si="35"/>
        <v>029B</v>
      </c>
      <c r="L77" s="3">
        <v>1</v>
      </c>
      <c r="M77" s="13" t="str">
        <f t="shared" si="36"/>
        <v>(667)</v>
      </c>
      <c r="Q77" s="45" t="str">
        <f t="shared" si="37"/>
        <v>29B</v>
      </c>
      <c r="R77" s="73">
        <v>66.7</v>
      </c>
      <c r="S77" s="33"/>
      <c r="T77" s="35"/>
      <c r="U77" s="35"/>
      <c r="V77" s="35"/>
      <c r="W77" s="35"/>
      <c r="X77" s="35"/>
      <c r="Y77" s="35"/>
      <c r="Z77" s="35"/>
    </row>
    <row r="78" spans="1:26">
      <c r="A78" s="21" t="s">
        <v>7</v>
      </c>
      <c r="B78" s="21">
        <v>0</v>
      </c>
      <c r="C78" s="21">
        <v>1</v>
      </c>
      <c r="D78" s="21">
        <f t="shared" si="28"/>
        <v>32808</v>
      </c>
      <c r="E78" s="21" t="str">
        <f t="shared" si="29"/>
        <v>9B02</v>
      </c>
      <c r="H78" s="6">
        <v>8028</v>
      </c>
      <c r="I78" s="5">
        <v>5</v>
      </c>
      <c r="J78" s="24" t="s">
        <v>135</v>
      </c>
      <c r="K78" s="3" t="str">
        <f t="shared" si="35"/>
        <v>029B</v>
      </c>
      <c r="L78" s="3">
        <v>1</v>
      </c>
      <c r="M78" s="13" t="str">
        <f t="shared" si="36"/>
        <v>(667)</v>
      </c>
      <c r="Q78" s="45" t="str">
        <f t="shared" si="37"/>
        <v>29B</v>
      </c>
      <c r="R78" s="73">
        <v>66.7</v>
      </c>
      <c r="S78" s="33"/>
      <c r="T78" s="35"/>
      <c r="U78" s="35"/>
      <c r="V78" s="35"/>
      <c r="W78" s="35"/>
      <c r="X78" s="35"/>
      <c r="Y78" s="35"/>
      <c r="Z78" s="35"/>
    </row>
    <row r="79" spans="1:26">
      <c r="A79" s="21" t="s">
        <v>7</v>
      </c>
      <c r="B79" s="21">
        <v>0</v>
      </c>
      <c r="C79" s="21">
        <v>1</v>
      </c>
      <c r="D79" s="21">
        <f t="shared" si="28"/>
        <v>32800</v>
      </c>
      <c r="E79" s="21" t="str">
        <f t="shared" si="29"/>
        <v>0300</v>
      </c>
      <c r="H79" s="12" t="s">
        <v>34</v>
      </c>
      <c r="I79" s="5">
        <v>0</v>
      </c>
      <c r="J79" s="23" t="str">
        <f>CONCATENATE("select PH3 ","(",V79,") ",S79)</f>
        <v xml:space="preserve">select PH3 () </v>
      </c>
      <c r="K79" s="6" t="s">
        <v>39</v>
      </c>
      <c r="L79" s="3">
        <v>1</v>
      </c>
      <c r="M79" s="13" t="str">
        <f>"("&amp;HEX2DEC(K79)&amp;")"</f>
        <v>(3)</v>
      </c>
      <c r="Q79" s="46"/>
      <c r="R79" s="46"/>
      <c r="T79" s="35"/>
      <c r="U79" s="35"/>
      <c r="V79" s="35"/>
      <c r="W79" s="35"/>
      <c r="X79" s="35"/>
      <c r="Y79" s="35"/>
      <c r="Z79" s="35"/>
    </row>
    <row r="80" spans="1:26">
      <c r="A80" s="21" t="s">
        <v>7</v>
      </c>
      <c r="B80" s="21">
        <v>0</v>
      </c>
      <c r="C80" s="21">
        <v>1</v>
      </c>
      <c r="D80" s="21">
        <f t="shared" si="28"/>
        <v>32801</v>
      </c>
      <c r="E80" s="21" t="str">
        <f t="shared" si="29"/>
        <v>0000</v>
      </c>
      <c r="H80" s="12" t="s">
        <v>36</v>
      </c>
      <c r="I80" s="5">
        <v>1</v>
      </c>
      <c r="J80" s="24" t="s">
        <v>48</v>
      </c>
      <c r="K80" s="3" t="str">
        <f>RIGHT(CONCATENATE("0000",Q80), 4)</f>
        <v>0000</v>
      </c>
      <c r="L80" s="22">
        <v>1</v>
      </c>
      <c r="M80" s="13" t="str">
        <f t="shared" ref="M80:M81" si="38">"("&amp;HEX2DEC(K80)&amp;")"</f>
        <v>(0)</v>
      </c>
      <c r="Q80" s="47">
        <v>0</v>
      </c>
      <c r="R80" s="46"/>
      <c r="S80" s="33"/>
      <c r="T80" s="35"/>
      <c r="U80" s="35"/>
      <c r="V80" s="35"/>
      <c r="W80" s="35"/>
      <c r="X80" s="35"/>
      <c r="Y80" s="35"/>
      <c r="Z80" s="35"/>
    </row>
    <row r="81" spans="1:26">
      <c r="A81" s="21" t="s">
        <v>7</v>
      </c>
      <c r="B81" s="21">
        <v>0</v>
      </c>
      <c r="C81" s="21">
        <v>1</v>
      </c>
      <c r="D81" s="21">
        <f t="shared" si="28"/>
        <v>32801</v>
      </c>
      <c r="E81" s="21" t="str">
        <f t="shared" si="29"/>
        <v>0000</v>
      </c>
      <c r="H81" s="12" t="s">
        <v>36</v>
      </c>
      <c r="I81" s="5">
        <v>2</v>
      </c>
      <c r="J81" s="24" t="s">
        <v>49</v>
      </c>
      <c r="K81" s="3" t="str">
        <f>RIGHT(CONCATENATE("0000",Q81), 4)</f>
        <v>0000</v>
      </c>
      <c r="L81" s="22">
        <v>1</v>
      </c>
      <c r="M81" s="13" t="str">
        <f t="shared" si="38"/>
        <v>(0)</v>
      </c>
      <c r="Q81" s="47">
        <v>0</v>
      </c>
      <c r="R81" s="46"/>
      <c r="T81" s="35"/>
      <c r="U81" s="35"/>
      <c r="V81" s="36"/>
      <c r="W81" s="35"/>
      <c r="X81" s="35"/>
      <c r="Y81" s="35"/>
      <c r="Z81" s="35"/>
    </row>
    <row r="82" spans="1:26">
      <c r="A82" s="21" t="s">
        <v>7</v>
      </c>
      <c r="B82" s="21">
        <v>0</v>
      </c>
      <c r="C82" s="21">
        <v>1</v>
      </c>
      <c r="D82" s="21">
        <f t="shared" si="28"/>
        <v>32809</v>
      </c>
      <c r="E82" s="21" t="str">
        <f t="shared" ca="1" si="29"/>
        <v>04000000</v>
      </c>
      <c r="H82" s="6" t="s">
        <v>121</v>
      </c>
      <c r="I82" s="5">
        <v>3</v>
      </c>
      <c r="J82" s="24" t="str">
        <f>CONCATENATE("Color"," ",S82)</f>
        <v xml:space="preserve">Color </v>
      </c>
      <c r="K82" s="3" t="str">
        <f ca="1">RIGHT(CONCATENATE("00000000",Q82), 8)</f>
        <v>00000004</v>
      </c>
      <c r="L82" s="3">
        <v>1</v>
      </c>
      <c r="M82" s="13" t="str">
        <f ca="1">"("&amp;HEX2DEC(K82)&amp;")"</f>
        <v>(4)</v>
      </c>
      <c r="Q82" s="45" t="str">
        <f t="shared" ref="Q82:Q85" ca="1" si="39">DEC2HEX(R82)</f>
        <v>4</v>
      </c>
      <c r="R82" s="50">
        <f ca="1">INDIRECT(ADDRESS(6+$U$2,25,,,"translations"))</f>
        <v>4</v>
      </c>
      <c r="T82" s="35"/>
      <c r="U82" s="35"/>
      <c r="V82" s="35"/>
      <c r="W82" s="35"/>
      <c r="X82" s="35"/>
      <c r="Y82" s="35"/>
      <c r="Z82" s="35"/>
    </row>
    <row r="83" spans="1:26">
      <c r="A83" s="21" t="s">
        <v>7</v>
      </c>
      <c r="B83" s="21">
        <v>0</v>
      </c>
      <c r="C83" s="21">
        <v>1</v>
      </c>
      <c r="D83" s="21">
        <f t="shared" si="28"/>
        <v>32809</v>
      </c>
      <c r="E83" s="21" t="str">
        <f t="shared" ca="1" si="29"/>
        <v>D4870000</v>
      </c>
      <c r="H83" s="6" t="s">
        <v>121</v>
      </c>
      <c r="I83" s="5">
        <v>4</v>
      </c>
      <c r="J83" s="24" t="str">
        <f>CONCATENATE("X-Offset"," ",S83)</f>
        <v xml:space="preserve">X-Offset </v>
      </c>
      <c r="K83" s="3" t="str">
        <f t="shared" ref="K83:K84" ca="1" si="40">RIGHT(CONCATENATE("00000000",Q83), 8)</f>
        <v>000087D4</v>
      </c>
      <c r="L83" s="3">
        <v>1</v>
      </c>
      <c r="M83" s="13" t="str">
        <f ca="1">"("&amp;HEX2DEC(K83)&amp;")"</f>
        <v>(34772)</v>
      </c>
      <c r="Q83" s="45" t="str">
        <f t="shared" ca="1" si="39"/>
        <v>87D4</v>
      </c>
      <c r="R83" s="50">
        <f ca="1">INDIRECT(ADDRESS(6+$U$2,27,,,"translations"))</f>
        <v>34772</v>
      </c>
      <c r="T83" s="35"/>
      <c r="U83" s="35"/>
      <c r="V83" s="36"/>
      <c r="W83" s="35"/>
      <c r="X83" s="35"/>
      <c r="Y83" s="35"/>
      <c r="Z83" s="35"/>
    </row>
    <row r="84" spans="1:26">
      <c r="A84" s="21" t="s">
        <v>7</v>
      </c>
      <c r="B84" s="21">
        <v>0</v>
      </c>
      <c r="C84" s="21">
        <v>1</v>
      </c>
      <c r="D84" s="21">
        <f t="shared" si="28"/>
        <v>32809</v>
      </c>
      <c r="E84" s="21" t="str">
        <f t="shared" ca="1" si="29"/>
        <v>D7180000</v>
      </c>
      <c r="H84" s="6" t="s">
        <v>121</v>
      </c>
      <c r="I84" s="5">
        <v>5</v>
      </c>
      <c r="J84" s="24" t="str">
        <f>CONCATENATE("Y-Offset"," ",S84)</f>
        <v xml:space="preserve">Y-Offset </v>
      </c>
      <c r="K84" s="3" t="str">
        <f t="shared" ca="1" si="40"/>
        <v>000018D7</v>
      </c>
      <c r="L84" s="3">
        <v>1</v>
      </c>
      <c r="M84" s="13" t="str">
        <f ca="1">"("&amp;HEX2DEC(K84)&amp;")"</f>
        <v>(6359)</v>
      </c>
      <c r="Q84" s="45" t="str">
        <f t="shared" ca="1" si="39"/>
        <v>18D7</v>
      </c>
      <c r="R84" s="50">
        <f ca="1">INDIRECT(ADDRESS(6+$U$2,28,,,"translations"))</f>
        <v>6359</v>
      </c>
      <c r="T84" s="35"/>
      <c r="U84" s="35"/>
      <c r="V84" s="36"/>
      <c r="W84" s="35"/>
      <c r="X84" s="35"/>
      <c r="Y84" s="35"/>
      <c r="Z84" s="35"/>
    </row>
    <row r="85" spans="1:26">
      <c r="A85" s="21" t="s">
        <v>7</v>
      </c>
      <c r="B85" s="21">
        <v>0</v>
      </c>
      <c r="C85" s="21">
        <v>1</v>
      </c>
      <c r="D85" s="21">
        <f t="shared" si="28"/>
        <v>32809</v>
      </c>
      <c r="E85" s="21" t="str">
        <f t="shared" si="29"/>
        <v>F401</v>
      </c>
      <c r="H85" s="29" t="s">
        <v>121</v>
      </c>
      <c r="I85" s="5">
        <v>7</v>
      </c>
      <c r="J85" s="24" t="s">
        <v>50</v>
      </c>
      <c r="K85" s="3" t="str">
        <f t="shared" ref="K85" si="41">RIGHT(CONCATENATE("0000",Q85), 4)</f>
        <v>01F4</v>
      </c>
      <c r="L85" s="3">
        <v>1</v>
      </c>
      <c r="M85" s="13" t="str">
        <f t="shared" ref="M85:M89" si="42">"("&amp;HEX2DEC(K85)&amp;")"</f>
        <v>(500)</v>
      </c>
      <c r="Q85" s="45" t="str">
        <f t="shared" si="39"/>
        <v>1F4</v>
      </c>
      <c r="R85" s="34">
        <v>500</v>
      </c>
      <c r="T85" s="35"/>
      <c r="U85" s="35"/>
      <c r="V85" s="36"/>
      <c r="W85" s="35"/>
      <c r="X85" s="35"/>
      <c r="Y85" s="35"/>
      <c r="Z85" s="35"/>
    </row>
    <row r="86" spans="1:26">
      <c r="A86" s="21" t="s">
        <v>7</v>
      </c>
      <c r="B86" s="21">
        <v>0</v>
      </c>
      <c r="C86" s="21">
        <v>1</v>
      </c>
      <c r="D86" s="21">
        <f t="shared" si="28"/>
        <v>32805</v>
      </c>
      <c r="E86" s="21" t="str">
        <f t="shared" ca="1" si="29"/>
        <v>00008C42</v>
      </c>
      <c r="H86" s="29" t="s">
        <v>37</v>
      </c>
      <c r="I86" s="5">
        <v>2</v>
      </c>
      <c r="J86" s="24" t="s">
        <v>211</v>
      </c>
      <c r="K86" s="3" t="str">
        <f ca="1">RIGHT(CONCATENATE("00000000",Q86), 8)</f>
        <v>428C0000</v>
      </c>
      <c r="L86" s="3">
        <v>1</v>
      </c>
      <c r="M86" s="13" t="str">
        <f t="shared" ca="1" si="42"/>
        <v>(1116471296)</v>
      </c>
      <c r="Q86" s="50" t="str">
        <f ca="1">INDIRECT(ADDRESS(6+$U$2,41,,,"translations"))</f>
        <v>428C0000</v>
      </c>
      <c r="R86" s="46"/>
      <c r="T86" s="35"/>
      <c r="U86" s="35"/>
      <c r="V86" s="36"/>
      <c r="W86" s="35"/>
      <c r="X86" s="35"/>
      <c r="Y86" s="35"/>
      <c r="Z86" s="35"/>
    </row>
    <row r="87" spans="1:26">
      <c r="A87" s="21" t="s">
        <v>7</v>
      </c>
      <c r="B87" s="21">
        <v>0</v>
      </c>
      <c r="C87" s="21">
        <v>1</v>
      </c>
      <c r="D87" s="21">
        <f t="shared" si="28"/>
        <v>32805</v>
      </c>
      <c r="E87" s="21" t="str">
        <f t="shared" ca="1" si="29"/>
        <v>0000F041</v>
      </c>
      <c r="H87" s="29" t="s">
        <v>37</v>
      </c>
      <c r="I87" s="5">
        <v>3</v>
      </c>
      <c r="J87" s="24" t="s">
        <v>212</v>
      </c>
      <c r="K87" s="3" t="str">
        <f ca="1">RIGHT(CONCATENATE("00000000",Q87), 8)</f>
        <v>41F00000</v>
      </c>
      <c r="L87" s="3">
        <v>1</v>
      </c>
      <c r="M87" s="13" t="str">
        <f t="shared" ca="1" si="42"/>
        <v>(1106247680)</v>
      </c>
      <c r="Q87" s="50" t="str">
        <f ca="1">INDIRECT(ADDRESS(6+$U$2,42,,,"translations"))</f>
        <v>41F00000</v>
      </c>
      <c r="R87" s="46"/>
      <c r="T87" s="35"/>
      <c r="U87" s="35"/>
      <c r="V87" s="36"/>
      <c r="W87" s="35"/>
      <c r="X87" s="35"/>
      <c r="Y87" s="35"/>
      <c r="Z87" s="35"/>
    </row>
    <row r="88" spans="1:26">
      <c r="A88" s="21" t="s">
        <v>7</v>
      </c>
      <c r="B88" s="21">
        <v>0</v>
      </c>
      <c r="C88" s="21">
        <v>1</v>
      </c>
      <c r="D88" s="21">
        <f t="shared" si="28"/>
        <v>32805</v>
      </c>
      <c r="E88" s="21" t="str">
        <f t="shared" ca="1" si="29"/>
        <v>00000000</v>
      </c>
      <c r="H88" s="29" t="s">
        <v>37</v>
      </c>
      <c r="I88" s="5">
        <v>4</v>
      </c>
      <c r="J88" s="24" t="s">
        <v>213</v>
      </c>
      <c r="K88" s="3" t="str">
        <f ca="1">RIGHT(CONCATENATE("00000000",Q88), 8)</f>
        <v>00000000</v>
      </c>
      <c r="L88" s="3">
        <v>1</v>
      </c>
      <c r="M88" s="13" t="str">
        <f t="shared" ca="1" si="42"/>
        <v>(0)</v>
      </c>
      <c r="Q88" s="50" t="str">
        <f ca="1">INDIRECT(ADDRESS(6+$U$2,43,,,"translations"))</f>
        <v>00000000</v>
      </c>
      <c r="R88" s="46"/>
      <c r="T88" s="35"/>
      <c r="U88" s="35"/>
      <c r="V88" s="35"/>
      <c r="W88" s="35"/>
      <c r="X88" s="35"/>
      <c r="Y88" s="35"/>
      <c r="Z88" s="35"/>
    </row>
    <row r="89" spans="1:26">
      <c r="A89" s="21" t="s">
        <v>7</v>
      </c>
      <c r="B89" s="21">
        <v>0</v>
      </c>
      <c r="C89" s="21">
        <v>1</v>
      </c>
      <c r="D89" s="21">
        <f t="shared" si="28"/>
        <v>32805</v>
      </c>
      <c r="E89" s="21" t="str">
        <f t="shared" ca="1" si="29"/>
        <v>9A998940</v>
      </c>
      <c r="H89" s="29" t="s">
        <v>37</v>
      </c>
      <c r="I89" s="5">
        <v>7</v>
      </c>
      <c r="J89" s="24" t="s">
        <v>214</v>
      </c>
      <c r="K89" s="3" t="str">
        <f ca="1">RIGHT(CONCATENATE("00000000",Q89), 8)</f>
        <v>4089999A</v>
      </c>
      <c r="L89" s="3">
        <v>1</v>
      </c>
      <c r="M89" s="13" t="str">
        <f t="shared" ca="1" si="42"/>
        <v>(1082759578)</v>
      </c>
      <c r="Q89" s="50" t="str">
        <f ca="1">INDIRECT(ADDRESS(6+$U$2,45,,,"translations"))</f>
        <v>4089999A</v>
      </c>
      <c r="R89" s="46"/>
      <c r="S89" s="33"/>
      <c r="T89" s="35"/>
      <c r="U89" s="35"/>
      <c r="V89" s="35"/>
      <c r="W89" s="35"/>
      <c r="X89" s="35"/>
      <c r="Y89" s="35"/>
      <c r="Z89" s="35"/>
    </row>
    <row r="90" spans="1:26">
      <c r="A90" s="21" t="s">
        <v>7</v>
      </c>
      <c r="B90" s="21">
        <v>0</v>
      </c>
      <c r="C90" s="21">
        <v>1</v>
      </c>
      <c r="D90" s="21">
        <f t="shared" si="28"/>
        <v>32802</v>
      </c>
      <c r="E90" s="21" t="str">
        <f t="shared" ca="1" si="29"/>
        <v>FA05</v>
      </c>
      <c r="H90" s="29">
        <v>8022</v>
      </c>
      <c r="I90" s="5">
        <v>1</v>
      </c>
      <c r="J90" s="24" t="s">
        <v>51</v>
      </c>
      <c r="K90" s="3" t="str">
        <f ca="1">RIGHT(CONCATENATE("0000",Q90), 4)</f>
        <v>05FA</v>
      </c>
      <c r="L90" s="3">
        <v>1</v>
      </c>
      <c r="M90" s="13" t="str">
        <f ca="1">"("&amp;HEX2DEC(K90)&amp;")"</f>
        <v>(1530)</v>
      </c>
      <c r="Q90" s="45" t="str">
        <f ca="1">DEC2HEX(R90*100)</f>
        <v>5FA</v>
      </c>
      <c r="R90" s="50">
        <f ca="1">INDIRECT(ADDRESS(6+$U$2,29,,,"translations"))</f>
        <v>15.309999999999999</v>
      </c>
      <c r="T90" s="35"/>
      <c r="U90" s="35"/>
      <c r="V90" s="35"/>
      <c r="W90" s="35"/>
      <c r="X90" s="35"/>
      <c r="Y90" s="35"/>
      <c r="Z90" s="35"/>
    </row>
    <row r="91" spans="1:26">
      <c r="A91" s="21" t="s">
        <v>7</v>
      </c>
      <c r="B91" s="21">
        <v>0</v>
      </c>
      <c r="C91" s="21">
        <v>1</v>
      </c>
      <c r="D91" s="21">
        <f t="shared" si="28"/>
        <v>32802</v>
      </c>
      <c r="E91" s="21" t="str">
        <f t="shared" ca="1" si="29"/>
        <v>D405</v>
      </c>
      <c r="H91" s="29">
        <v>8022</v>
      </c>
      <c r="I91" s="5">
        <v>2</v>
      </c>
      <c r="J91" s="24" t="s">
        <v>52</v>
      </c>
      <c r="K91" s="3" t="str">
        <f t="shared" ref="K91:K97" ca="1" si="43">RIGHT(CONCATENATE("0000",Q91), 4)</f>
        <v>05D4</v>
      </c>
      <c r="L91" s="3">
        <v>1</v>
      </c>
      <c r="M91" s="13" t="str">
        <f t="shared" ref="M91:M97" ca="1" si="44">"("&amp;HEX2DEC(K91)&amp;")"</f>
        <v>(1492)</v>
      </c>
      <c r="Q91" s="45" t="str">
        <f t="shared" ref="Q91:Q93" ca="1" si="45">DEC2HEX(R91*100)</f>
        <v>5D4</v>
      </c>
      <c r="R91" s="50">
        <f ca="1">INDIRECT(ADDRESS(6+$U$2,30,,,"translations"))</f>
        <v>14.929999999999996</v>
      </c>
      <c r="T91" s="35"/>
      <c r="U91" s="35"/>
      <c r="V91" s="36"/>
      <c r="W91" s="35"/>
      <c r="X91" s="35"/>
      <c r="Y91" s="35"/>
      <c r="Z91" s="35"/>
    </row>
    <row r="92" spans="1:26">
      <c r="A92" s="21" t="s">
        <v>7</v>
      </c>
      <c r="B92" s="21">
        <v>0</v>
      </c>
      <c r="C92" s="21">
        <v>1</v>
      </c>
      <c r="D92" s="21">
        <f t="shared" si="28"/>
        <v>32802</v>
      </c>
      <c r="E92" s="21" t="str">
        <f t="shared" ca="1" si="29"/>
        <v>DE05</v>
      </c>
      <c r="H92" s="29">
        <v>8022</v>
      </c>
      <c r="I92" s="5">
        <v>3</v>
      </c>
      <c r="J92" s="24" t="s">
        <v>53</v>
      </c>
      <c r="K92" s="3" t="str">
        <f t="shared" ca="1" si="43"/>
        <v>05DE</v>
      </c>
      <c r="L92" s="3">
        <v>1</v>
      </c>
      <c r="M92" s="13" t="str">
        <f t="shared" ca="1" si="44"/>
        <v>(1502)</v>
      </c>
      <c r="Q92" s="45" t="str">
        <f t="shared" ca="1" si="45"/>
        <v>5DE</v>
      </c>
      <c r="R92" s="50">
        <f ca="1">INDIRECT(ADDRESS(6+$U$2,31,,,"translations"))</f>
        <v>15.024999999999999</v>
      </c>
      <c r="T92" s="35"/>
      <c r="U92" s="35"/>
      <c r="V92" s="35"/>
      <c r="W92" s="35"/>
      <c r="X92" s="35"/>
      <c r="Y92" s="35"/>
      <c r="Z92" s="35"/>
    </row>
    <row r="93" spans="1:26">
      <c r="A93" s="21" t="s">
        <v>7</v>
      </c>
      <c r="B93" s="21">
        <v>0</v>
      </c>
      <c r="C93" s="21">
        <v>1</v>
      </c>
      <c r="D93" s="21">
        <f t="shared" si="28"/>
        <v>32802</v>
      </c>
      <c r="E93" s="21" t="str">
        <f t="shared" ca="1" si="29"/>
        <v>CB05</v>
      </c>
      <c r="H93" s="29">
        <v>8022</v>
      </c>
      <c r="I93" s="5">
        <v>4</v>
      </c>
      <c r="J93" s="24" t="s">
        <v>54</v>
      </c>
      <c r="K93" s="3" t="str">
        <f t="shared" ca="1" si="43"/>
        <v>05CB</v>
      </c>
      <c r="L93" s="3">
        <v>1</v>
      </c>
      <c r="M93" s="13" t="str">
        <f t="shared" ca="1" si="44"/>
        <v>(1483)</v>
      </c>
      <c r="Q93" s="45" t="str">
        <f t="shared" ca="1" si="45"/>
        <v>5CB</v>
      </c>
      <c r="R93" s="50">
        <f ca="1">INDIRECT(ADDRESS(6+$U$2,32,,,"translations"))</f>
        <v>14.835000000000001</v>
      </c>
      <c r="S93" s="33"/>
      <c r="T93" s="35"/>
      <c r="U93" s="35"/>
      <c r="V93" s="35"/>
      <c r="W93" s="35"/>
      <c r="X93" s="35"/>
      <c r="Y93" s="35"/>
      <c r="Z93" s="35"/>
    </row>
    <row r="94" spans="1:26">
      <c r="A94" s="21" t="s">
        <v>7</v>
      </c>
      <c r="B94" s="21">
        <v>0</v>
      </c>
      <c r="C94" s="21">
        <v>1</v>
      </c>
      <c r="D94" s="21">
        <f t="shared" si="28"/>
        <v>32803</v>
      </c>
      <c r="E94" s="21" t="str">
        <f t="shared" si="29"/>
        <v>0100</v>
      </c>
      <c r="H94" s="6">
        <v>8023</v>
      </c>
      <c r="I94" s="5">
        <v>1</v>
      </c>
      <c r="J94" s="24" t="s">
        <v>55</v>
      </c>
      <c r="K94" s="3" t="str">
        <f t="shared" si="43"/>
        <v>0001</v>
      </c>
      <c r="L94" s="3">
        <v>1</v>
      </c>
      <c r="M94" s="13" t="str">
        <f t="shared" si="44"/>
        <v>(1)</v>
      </c>
      <c r="Q94" s="47">
        <v>1</v>
      </c>
      <c r="R94" s="46"/>
      <c r="S94" s="33"/>
      <c r="T94" s="35"/>
      <c r="U94" s="35"/>
      <c r="V94" s="35"/>
      <c r="W94" s="35"/>
      <c r="X94" s="35"/>
      <c r="Y94" s="35"/>
      <c r="Z94" s="35"/>
    </row>
    <row r="95" spans="1:26">
      <c r="A95" s="21" t="s">
        <v>7</v>
      </c>
      <c r="B95" s="21">
        <v>0</v>
      </c>
      <c r="C95" s="21">
        <v>1</v>
      </c>
      <c r="D95" s="21">
        <f t="shared" si="28"/>
        <v>32803</v>
      </c>
      <c r="E95" s="21" t="str">
        <f t="shared" si="29"/>
        <v>0100</v>
      </c>
      <c r="H95" s="6">
        <v>8023</v>
      </c>
      <c r="I95" s="5">
        <v>2</v>
      </c>
      <c r="J95" s="24" t="s">
        <v>126</v>
      </c>
      <c r="K95" s="3" t="str">
        <f t="shared" si="43"/>
        <v>0001</v>
      </c>
      <c r="L95" s="3">
        <v>1</v>
      </c>
      <c r="M95" s="13" t="str">
        <f t="shared" si="44"/>
        <v>(1)</v>
      </c>
      <c r="Q95" s="45" t="str">
        <f>DEC2HEX(R95)</f>
        <v>1</v>
      </c>
      <c r="R95" s="34">
        <v>1</v>
      </c>
      <c r="T95" s="35"/>
      <c r="U95" s="35"/>
      <c r="V95" s="35"/>
      <c r="W95" s="35"/>
      <c r="X95" s="35"/>
      <c r="Y95" s="35"/>
      <c r="Z95" s="35"/>
    </row>
    <row r="96" spans="1:26">
      <c r="A96" s="21" t="s">
        <v>7</v>
      </c>
      <c r="B96" s="21">
        <v>0</v>
      </c>
      <c r="C96" s="21">
        <v>1</v>
      </c>
      <c r="D96" s="21">
        <f t="shared" si="28"/>
        <v>32803</v>
      </c>
      <c r="E96" s="21" t="str">
        <f t="shared" si="29"/>
        <v>0700</v>
      </c>
      <c r="H96" s="6">
        <v>8023</v>
      </c>
      <c r="I96" s="5">
        <v>3</v>
      </c>
      <c r="J96" s="24" t="s">
        <v>56</v>
      </c>
      <c r="K96" s="3" t="str">
        <f t="shared" si="43"/>
        <v>0007</v>
      </c>
      <c r="L96" s="3">
        <v>1</v>
      </c>
      <c r="M96" s="13" t="str">
        <f t="shared" si="44"/>
        <v>(7)</v>
      </c>
      <c r="Q96" s="45" t="str">
        <f>DEC2HEX(R96)</f>
        <v>7</v>
      </c>
      <c r="R96" s="34">
        <v>7</v>
      </c>
      <c r="T96" s="35"/>
      <c r="U96" s="35"/>
      <c r="V96" s="35"/>
      <c r="W96" s="35"/>
      <c r="X96" s="35"/>
      <c r="Y96" s="35"/>
      <c r="Z96" s="35"/>
    </row>
    <row r="97" spans="1:26">
      <c r="A97" s="21" t="s">
        <v>7</v>
      </c>
      <c r="B97" s="21">
        <v>0</v>
      </c>
      <c r="C97" s="21">
        <v>1</v>
      </c>
      <c r="D97" s="21">
        <f t="shared" si="28"/>
        <v>32808</v>
      </c>
      <c r="E97" s="21" t="str">
        <f t="shared" si="29"/>
        <v>0100</v>
      </c>
      <c r="H97" s="6">
        <v>8028</v>
      </c>
      <c r="I97" s="5">
        <v>1</v>
      </c>
      <c r="J97" s="24" t="s">
        <v>129</v>
      </c>
      <c r="K97" s="3" t="str">
        <f t="shared" si="43"/>
        <v>0001</v>
      </c>
      <c r="L97" s="3">
        <v>1</v>
      </c>
      <c r="M97" s="13" t="str">
        <f t="shared" si="44"/>
        <v>(1)</v>
      </c>
      <c r="Q97" s="47">
        <v>1</v>
      </c>
      <c r="R97" s="46"/>
      <c r="S97" s="33"/>
      <c r="T97" s="35"/>
      <c r="U97" s="35"/>
      <c r="V97" s="35"/>
      <c r="W97" s="35"/>
      <c r="X97" s="35"/>
      <c r="Y97" s="35"/>
      <c r="Z97" s="35"/>
    </row>
    <row r="98" spans="1:26">
      <c r="A98" s="21" t="s">
        <v>7</v>
      </c>
      <c r="B98" s="21">
        <v>0</v>
      </c>
      <c r="C98" s="21">
        <v>1</v>
      </c>
      <c r="D98" s="21">
        <f t="shared" si="28"/>
        <v>32807</v>
      </c>
      <c r="E98" s="21" t="str">
        <f t="shared" si="29"/>
        <v>7500</v>
      </c>
      <c r="H98" s="6">
        <v>8027</v>
      </c>
      <c r="I98" s="5">
        <v>1</v>
      </c>
      <c r="J98" s="24" t="s">
        <v>127</v>
      </c>
      <c r="K98" s="3" t="str">
        <f>RIGHT(CONCATENATE("0000",Q98), 4)</f>
        <v>0075</v>
      </c>
      <c r="L98" s="3">
        <v>1</v>
      </c>
      <c r="M98" s="13" t="str">
        <f>"("&amp;HEX2DEC(K98)&amp;")"</f>
        <v>(117)</v>
      </c>
      <c r="Q98" s="45" t="str">
        <f>DEC2HEX(R98*100)</f>
        <v>75</v>
      </c>
      <c r="R98" s="74">
        <v>1.17</v>
      </c>
      <c r="S98" s="33"/>
      <c r="T98" s="35"/>
      <c r="U98" s="35"/>
      <c r="V98" s="35"/>
      <c r="W98" s="35"/>
      <c r="X98" s="35"/>
      <c r="Y98" s="35"/>
      <c r="Z98" s="35"/>
    </row>
    <row r="99" spans="1:26">
      <c r="A99" s="21" t="s">
        <v>7</v>
      </c>
      <c r="B99" s="21">
        <v>0</v>
      </c>
      <c r="C99" s="21">
        <v>1</v>
      </c>
      <c r="D99" s="21">
        <f t="shared" si="28"/>
        <v>32807</v>
      </c>
      <c r="E99" s="21" t="str">
        <f t="shared" si="29"/>
        <v>7500</v>
      </c>
      <c r="H99" s="6">
        <v>8027</v>
      </c>
      <c r="I99" s="5">
        <v>2</v>
      </c>
      <c r="J99" s="24" t="s">
        <v>130</v>
      </c>
      <c r="K99" s="3" t="str">
        <f t="shared" ref="K99:K101" si="46">RIGHT(CONCATENATE("0000",Q99), 4)</f>
        <v>0075</v>
      </c>
      <c r="L99" s="3">
        <v>1</v>
      </c>
      <c r="M99" s="13" t="str">
        <f t="shared" ref="M99:M101" si="47">"("&amp;HEX2DEC(K99)&amp;")"</f>
        <v>(117)</v>
      </c>
      <c r="Q99" s="45" t="str">
        <f t="shared" ref="Q99:Q101" si="48">DEC2HEX(R99*100)</f>
        <v>75</v>
      </c>
      <c r="R99" s="74">
        <v>1.17</v>
      </c>
      <c r="S99" s="33"/>
      <c r="T99" s="35"/>
      <c r="U99" s="35"/>
      <c r="V99" s="35"/>
      <c r="W99" s="35"/>
      <c r="X99" s="35"/>
      <c r="Y99" s="35"/>
      <c r="Z99" s="35"/>
    </row>
    <row r="100" spans="1:26">
      <c r="A100" s="21" t="s">
        <v>7</v>
      </c>
      <c r="B100" s="21">
        <v>0</v>
      </c>
      <c r="C100" s="21">
        <v>1</v>
      </c>
      <c r="D100" s="21">
        <f t="shared" si="28"/>
        <v>32807</v>
      </c>
      <c r="E100" s="21" t="str">
        <f t="shared" si="29"/>
        <v>7500</v>
      </c>
      <c r="H100" s="6">
        <v>8027</v>
      </c>
      <c r="I100" s="5">
        <v>3</v>
      </c>
      <c r="J100" s="24" t="s">
        <v>131</v>
      </c>
      <c r="K100" s="3" t="str">
        <f t="shared" si="46"/>
        <v>0075</v>
      </c>
      <c r="L100" s="3">
        <v>1</v>
      </c>
      <c r="M100" s="13" t="str">
        <f t="shared" si="47"/>
        <v>(117)</v>
      </c>
      <c r="Q100" s="45" t="str">
        <f t="shared" si="48"/>
        <v>75</v>
      </c>
      <c r="R100" s="74">
        <v>1.17</v>
      </c>
      <c r="S100" s="33"/>
      <c r="T100" s="35"/>
      <c r="U100" s="35"/>
      <c r="V100" s="35"/>
      <c r="W100" s="35"/>
      <c r="X100" s="35"/>
      <c r="Y100" s="35"/>
      <c r="Z100" s="35"/>
    </row>
    <row r="101" spans="1:26">
      <c r="A101" s="21" t="s">
        <v>7</v>
      </c>
      <c r="B101" s="21">
        <v>0</v>
      </c>
      <c r="C101" s="21">
        <v>1</v>
      </c>
      <c r="D101" s="21">
        <f t="shared" si="28"/>
        <v>32807</v>
      </c>
      <c r="E101" s="21" t="str">
        <f t="shared" si="29"/>
        <v>7500</v>
      </c>
      <c r="H101" s="6">
        <v>8027</v>
      </c>
      <c r="I101" s="5">
        <v>4</v>
      </c>
      <c r="J101" s="24" t="s">
        <v>132</v>
      </c>
      <c r="K101" s="3" t="str">
        <f t="shared" si="46"/>
        <v>0075</v>
      </c>
      <c r="L101" s="3">
        <v>1</v>
      </c>
      <c r="M101" s="13" t="str">
        <f t="shared" si="47"/>
        <v>(117)</v>
      </c>
      <c r="Q101" s="45" t="str">
        <f t="shared" si="48"/>
        <v>75</v>
      </c>
      <c r="R101" s="74">
        <v>1.17</v>
      </c>
      <c r="S101" s="33"/>
      <c r="T101" s="35"/>
      <c r="U101" s="35"/>
      <c r="V101" s="35"/>
      <c r="W101" s="35"/>
      <c r="X101" s="35"/>
      <c r="Y101" s="35"/>
      <c r="Z101" s="35"/>
    </row>
    <row r="102" spans="1:26">
      <c r="A102" s="21" t="s">
        <v>7</v>
      </c>
      <c r="B102" s="21">
        <v>0</v>
      </c>
      <c r="C102" s="21">
        <v>1</v>
      </c>
      <c r="D102" s="21">
        <f t="shared" si="28"/>
        <v>32808</v>
      </c>
      <c r="E102" s="21" t="str">
        <f t="shared" si="29"/>
        <v>9B02</v>
      </c>
      <c r="H102" s="6">
        <v>8028</v>
      </c>
      <c r="I102" s="5">
        <v>2</v>
      </c>
      <c r="J102" s="24" t="s">
        <v>133</v>
      </c>
      <c r="K102" s="3" t="str">
        <f>RIGHT(CONCATENATE("0000",Q102), 4)</f>
        <v>029B</v>
      </c>
      <c r="L102" s="3">
        <v>1</v>
      </c>
      <c r="M102" s="13" t="str">
        <f>"("&amp;HEX2DEC(K102)&amp;")"</f>
        <v>(667)</v>
      </c>
      <c r="Q102" s="45" t="str">
        <f>DEC2HEX(R102*10)</f>
        <v>29B</v>
      </c>
      <c r="R102" s="73">
        <v>66.7</v>
      </c>
      <c r="S102" s="33"/>
      <c r="T102" s="35"/>
      <c r="U102" s="35"/>
      <c r="V102" s="35"/>
      <c r="W102" s="35"/>
      <c r="X102" s="35"/>
      <c r="Y102" s="35"/>
      <c r="Z102" s="35"/>
    </row>
    <row r="103" spans="1:26">
      <c r="A103" s="21" t="s">
        <v>7</v>
      </c>
      <c r="B103" s="21">
        <v>0</v>
      </c>
      <c r="C103" s="21">
        <v>1</v>
      </c>
      <c r="D103" s="21">
        <f t="shared" si="28"/>
        <v>32808</v>
      </c>
      <c r="E103" s="21" t="str">
        <f t="shared" si="29"/>
        <v>9B02</v>
      </c>
      <c r="H103" s="6">
        <v>8028</v>
      </c>
      <c r="I103" s="5">
        <v>3</v>
      </c>
      <c r="J103" s="24" t="s">
        <v>128</v>
      </c>
      <c r="K103" s="3" t="str">
        <f t="shared" ref="K103:K105" si="49">RIGHT(CONCATENATE("0000",Q103), 4)</f>
        <v>029B</v>
      </c>
      <c r="L103" s="3">
        <v>1</v>
      </c>
      <c r="M103" s="13" t="str">
        <f t="shared" ref="M103:M105" si="50">"("&amp;HEX2DEC(K103)&amp;")"</f>
        <v>(667)</v>
      </c>
      <c r="Q103" s="45" t="str">
        <f t="shared" ref="Q103:Q105" si="51">DEC2HEX(R103*10)</f>
        <v>29B</v>
      </c>
      <c r="R103" s="73">
        <v>66.7</v>
      </c>
      <c r="S103" s="33"/>
      <c r="T103" s="35"/>
      <c r="U103" s="35"/>
      <c r="V103" s="35"/>
      <c r="W103" s="35"/>
      <c r="X103" s="35"/>
      <c r="Y103" s="35"/>
      <c r="Z103" s="35"/>
    </row>
    <row r="104" spans="1:26">
      <c r="A104" s="21" t="s">
        <v>7</v>
      </c>
      <c r="B104" s="21">
        <v>0</v>
      </c>
      <c r="C104" s="21">
        <v>1</v>
      </c>
      <c r="D104" s="21">
        <f t="shared" si="28"/>
        <v>32808</v>
      </c>
      <c r="E104" s="21" t="str">
        <f t="shared" si="29"/>
        <v>9B02</v>
      </c>
      <c r="H104" s="6">
        <v>8028</v>
      </c>
      <c r="I104" s="5">
        <v>4</v>
      </c>
      <c r="J104" s="24" t="s">
        <v>134</v>
      </c>
      <c r="K104" s="3" t="str">
        <f t="shared" si="49"/>
        <v>029B</v>
      </c>
      <c r="L104" s="3">
        <v>1</v>
      </c>
      <c r="M104" s="13" t="str">
        <f t="shared" si="50"/>
        <v>(667)</v>
      </c>
      <c r="Q104" s="45" t="str">
        <f t="shared" si="51"/>
        <v>29B</v>
      </c>
      <c r="R104" s="73">
        <v>66.7</v>
      </c>
      <c r="S104" s="33"/>
      <c r="T104" s="35"/>
      <c r="U104" s="35"/>
      <c r="V104" s="35"/>
      <c r="W104" s="35"/>
      <c r="X104" s="35"/>
      <c r="Y104" s="35"/>
      <c r="Z104" s="35"/>
    </row>
    <row r="105" spans="1:26">
      <c r="A105" s="21" t="s">
        <v>7</v>
      </c>
      <c r="B105" s="21">
        <v>0</v>
      </c>
      <c r="C105" s="21">
        <v>1</v>
      </c>
      <c r="D105" s="21">
        <f t="shared" si="28"/>
        <v>32808</v>
      </c>
      <c r="E105" s="21" t="str">
        <f t="shared" si="29"/>
        <v>9B02</v>
      </c>
      <c r="H105" s="6">
        <v>8028</v>
      </c>
      <c r="I105" s="5">
        <v>5</v>
      </c>
      <c r="J105" s="24" t="s">
        <v>135</v>
      </c>
      <c r="K105" s="3" t="str">
        <f t="shared" si="49"/>
        <v>029B</v>
      </c>
      <c r="L105" s="3">
        <v>1</v>
      </c>
      <c r="M105" s="13" t="str">
        <f t="shared" si="50"/>
        <v>(667)</v>
      </c>
      <c r="Q105" s="45" t="str">
        <f t="shared" si="51"/>
        <v>29B</v>
      </c>
      <c r="R105" s="73">
        <v>66.7</v>
      </c>
      <c r="S105" s="33"/>
      <c r="T105" s="35"/>
      <c r="U105" s="35"/>
      <c r="V105" s="35"/>
      <c r="W105" s="35"/>
      <c r="X105" s="35"/>
      <c r="Y105" s="35"/>
      <c r="Z105" s="35"/>
    </row>
    <row r="106" spans="1:26">
      <c r="A106" s="21" t="s">
        <v>7</v>
      </c>
      <c r="B106" s="21">
        <v>0</v>
      </c>
      <c r="C106" s="21">
        <v>1</v>
      </c>
      <c r="D106" s="21">
        <f t="shared" si="28"/>
        <v>32800</v>
      </c>
      <c r="E106" s="21" t="str">
        <f t="shared" si="29"/>
        <v>0400</v>
      </c>
      <c r="H106" s="12" t="s">
        <v>34</v>
      </c>
      <c r="I106" s="5">
        <v>0</v>
      </c>
      <c r="J106" s="23" t="str">
        <f>CONCATENATE("select PH4 ","(",V106,") ",S106)</f>
        <v xml:space="preserve">select PH4 () </v>
      </c>
      <c r="K106" s="6" t="s">
        <v>57</v>
      </c>
      <c r="L106" s="3">
        <v>1</v>
      </c>
      <c r="M106" s="13" t="str">
        <f t="shared" ref="M106:M108" si="52">"("&amp;HEX2DEC(K106)&amp;")"</f>
        <v>(4)</v>
      </c>
      <c r="Q106" s="46"/>
      <c r="R106" s="46"/>
      <c r="T106" s="49"/>
      <c r="U106" s="33"/>
      <c r="V106" s="35"/>
      <c r="W106" s="35"/>
      <c r="X106" s="35"/>
      <c r="Y106" s="35"/>
      <c r="Z106" s="35"/>
    </row>
    <row r="107" spans="1:26">
      <c r="A107" s="21" t="s">
        <v>7</v>
      </c>
      <c r="B107" s="21">
        <v>0</v>
      </c>
      <c r="C107" s="21">
        <v>1</v>
      </c>
      <c r="D107" s="21">
        <f t="shared" si="28"/>
        <v>32801</v>
      </c>
      <c r="E107" s="21" t="str">
        <f t="shared" si="29"/>
        <v>0000</v>
      </c>
      <c r="H107" s="12" t="s">
        <v>36</v>
      </c>
      <c r="I107" s="5">
        <v>1</v>
      </c>
      <c r="J107" s="24" t="s">
        <v>48</v>
      </c>
      <c r="K107" s="3" t="str">
        <f>RIGHT(CONCATENATE("0000",Q107), 4)</f>
        <v>0000</v>
      </c>
      <c r="L107" s="22">
        <v>1</v>
      </c>
      <c r="M107" s="13" t="str">
        <f t="shared" si="52"/>
        <v>(0)</v>
      </c>
      <c r="Q107" s="47">
        <v>0</v>
      </c>
      <c r="R107" s="46"/>
      <c r="S107" s="48"/>
      <c r="T107" s="49"/>
      <c r="U107" s="48"/>
      <c r="V107" s="2"/>
      <c r="W107" s="2"/>
      <c r="X107" s="2"/>
      <c r="Y107" s="2"/>
      <c r="Z107" s="2"/>
    </row>
    <row r="108" spans="1:26">
      <c r="A108" s="21" t="s">
        <v>7</v>
      </c>
      <c r="B108" s="21">
        <v>0</v>
      </c>
      <c r="C108" s="21">
        <v>1</v>
      </c>
      <c r="D108" s="21">
        <f t="shared" si="28"/>
        <v>32801</v>
      </c>
      <c r="E108" s="21" t="str">
        <f t="shared" si="29"/>
        <v>0000</v>
      </c>
      <c r="H108" s="12" t="s">
        <v>36</v>
      </c>
      <c r="I108" s="5">
        <v>2</v>
      </c>
      <c r="J108" s="24" t="s">
        <v>49</v>
      </c>
      <c r="K108" s="3" t="str">
        <f>RIGHT(CONCATENATE("0000",Q108), 4)</f>
        <v>0000</v>
      </c>
      <c r="L108" s="22">
        <v>1</v>
      </c>
      <c r="M108" s="13" t="str">
        <f t="shared" si="52"/>
        <v>(0)</v>
      </c>
      <c r="Q108" s="47">
        <v>0</v>
      </c>
      <c r="R108" s="46"/>
      <c r="S108" s="48"/>
      <c r="T108" s="49"/>
      <c r="U108" s="33"/>
      <c r="V108" s="2"/>
      <c r="W108" s="2"/>
      <c r="X108" s="2"/>
      <c r="Y108" s="2"/>
      <c r="Z108" s="2"/>
    </row>
    <row r="109" spans="1:26">
      <c r="A109" s="21" t="s">
        <v>7</v>
      </c>
      <c r="B109" s="21">
        <v>0</v>
      </c>
      <c r="C109" s="21">
        <v>1</v>
      </c>
      <c r="D109" s="21">
        <f t="shared" si="28"/>
        <v>32809</v>
      </c>
      <c r="E109" s="21" t="str">
        <f t="shared" ca="1" si="29"/>
        <v>04000000</v>
      </c>
      <c r="H109" s="6" t="s">
        <v>121</v>
      </c>
      <c r="I109" s="5">
        <v>3</v>
      </c>
      <c r="J109" s="24" t="str">
        <f>CONCATENATE("Color"," ",S109)</f>
        <v xml:space="preserve">Color </v>
      </c>
      <c r="K109" s="3" t="str">
        <f ca="1">RIGHT(CONCATENATE("00000000",Q109), 8)</f>
        <v>00000004</v>
      </c>
      <c r="L109" s="3">
        <v>1</v>
      </c>
      <c r="M109" s="13" t="str">
        <f ca="1">"("&amp;HEX2DEC(K109)&amp;")"</f>
        <v>(4)</v>
      </c>
      <c r="Q109" s="45" t="str">
        <f t="shared" ref="Q109:Q112" ca="1" si="53">DEC2HEX(R109)</f>
        <v>4</v>
      </c>
      <c r="R109" s="50">
        <f ca="1">INDIRECT(ADDRESS(6+$U$2,33,,,"translations"))</f>
        <v>4</v>
      </c>
      <c r="S109" s="33"/>
      <c r="T109" s="49"/>
      <c r="U109" s="33"/>
      <c r="V109" s="2"/>
      <c r="W109" s="2"/>
      <c r="X109" s="2"/>
      <c r="Y109" s="2"/>
      <c r="Z109" s="2"/>
    </row>
    <row r="110" spans="1:26">
      <c r="A110" s="21" t="s">
        <v>7</v>
      </c>
      <c r="B110" s="21">
        <v>0</v>
      </c>
      <c r="C110" s="21">
        <v>1</v>
      </c>
      <c r="D110" s="21">
        <f t="shared" si="28"/>
        <v>32809</v>
      </c>
      <c r="E110" s="21" t="str">
        <f t="shared" ca="1" si="29"/>
        <v>D4870000</v>
      </c>
      <c r="H110" s="6" t="s">
        <v>121</v>
      </c>
      <c r="I110" s="5">
        <v>4</v>
      </c>
      <c r="J110" s="24" t="str">
        <f>CONCATENATE("X-Offset"," ",S110)</f>
        <v xml:space="preserve">X-Offset </v>
      </c>
      <c r="K110" s="3" t="str">
        <f t="shared" ref="K110:K111" ca="1" si="54">RIGHT(CONCATENATE("00000000",Q110), 8)</f>
        <v>000087D4</v>
      </c>
      <c r="L110" s="3">
        <v>1</v>
      </c>
      <c r="M110" s="13" t="str">
        <f ca="1">"("&amp;HEX2DEC(K110)&amp;")"</f>
        <v>(34772)</v>
      </c>
      <c r="Q110" s="45" t="str">
        <f t="shared" ca="1" si="53"/>
        <v>87D4</v>
      </c>
      <c r="R110" s="50">
        <f ca="1">INDIRECT(ADDRESS(6+$U$2,35,,,"translations"))</f>
        <v>34772</v>
      </c>
      <c r="S110" s="48"/>
      <c r="T110" s="49"/>
      <c r="U110" s="33"/>
    </row>
    <row r="111" spans="1:26">
      <c r="A111" s="21" t="s">
        <v>7</v>
      </c>
      <c r="B111" s="21">
        <v>0</v>
      </c>
      <c r="C111" s="21">
        <v>1</v>
      </c>
      <c r="D111" s="21">
        <f t="shared" si="28"/>
        <v>32809</v>
      </c>
      <c r="E111" s="21" t="str">
        <f t="shared" ca="1" si="29"/>
        <v>00000000</v>
      </c>
      <c r="H111" s="6" t="s">
        <v>121</v>
      </c>
      <c r="I111" s="5">
        <v>5</v>
      </c>
      <c r="J111" s="24" t="str">
        <f>CONCATENATE("Y-Offset"," ",S111)</f>
        <v xml:space="preserve">Y-Offset </v>
      </c>
      <c r="K111" s="3" t="str">
        <f t="shared" ca="1" si="54"/>
        <v>00000000</v>
      </c>
      <c r="L111" s="3">
        <v>1</v>
      </c>
      <c r="M111" s="13" t="str">
        <f ca="1">"("&amp;HEX2DEC(K111)&amp;")"</f>
        <v>(0)</v>
      </c>
      <c r="Q111" s="45" t="str">
        <f t="shared" ca="1" si="53"/>
        <v>0</v>
      </c>
      <c r="R111" s="50">
        <f ca="1">INDIRECT(ADDRESS(6+$U$2,36,,,"translations"))</f>
        <v>0</v>
      </c>
      <c r="S111" s="33"/>
      <c r="T111" s="49"/>
      <c r="U111" s="33"/>
    </row>
    <row r="112" spans="1:26">
      <c r="A112" s="21" t="s">
        <v>7</v>
      </c>
      <c r="B112" s="21">
        <v>0</v>
      </c>
      <c r="C112" s="21">
        <v>1</v>
      </c>
      <c r="D112" s="21">
        <f t="shared" si="28"/>
        <v>32809</v>
      </c>
      <c r="E112" s="21" t="str">
        <f t="shared" si="29"/>
        <v>F401</v>
      </c>
      <c r="H112" s="29" t="s">
        <v>121</v>
      </c>
      <c r="I112" s="5">
        <v>7</v>
      </c>
      <c r="J112" s="24" t="s">
        <v>50</v>
      </c>
      <c r="K112" s="3" t="str">
        <f t="shared" ref="K112" si="55">RIGHT(CONCATENATE("0000",Q112), 4)</f>
        <v>01F4</v>
      </c>
      <c r="L112" s="3">
        <v>1</v>
      </c>
      <c r="M112" s="13" t="str">
        <f t="shared" ref="M112:M116" si="56">"("&amp;HEX2DEC(K112)&amp;")"</f>
        <v>(500)</v>
      </c>
      <c r="Q112" s="45" t="str">
        <f t="shared" si="53"/>
        <v>1F4</v>
      </c>
      <c r="R112" s="34">
        <v>500</v>
      </c>
      <c r="T112" s="35"/>
      <c r="U112" s="35"/>
    </row>
    <row r="113" spans="1:26">
      <c r="A113" s="21" t="s">
        <v>7</v>
      </c>
      <c r="B113" s="21">
        <v>0</v>
      </c>
      <c r="C113" s="21">
        <v>1</v>
      </c>
      <c r="D113" s="21">
        <f t="shared" si="28"/>
        <v>32805</v>
      </c>
      <c r="E113" s="21" t="str">
        <f t="shared" ca="1" si="29"/>
        <v>00008C42</v>
      </c>
      <c r="H113" s="29" t="s">
        <v>37</v>
      </c>
      <c r="I113" s="5">
        <v>2</v>
      </c>
      <c r="J113" s="24" t="s">
        <v>211</v>
      </c>
      <c r="K113" s="3" t="str">
        <f ca="1">RIGHT(CONCATENATE("00000000",Q113), 8)</f>
        <v>428C0000</v>
      </c>
      <c r="L113" s="3">
        <v>1</v>
      </c>
      <c r="M113" s="13" t="str">
        <f t="shared" ca="1" si="56"/>
        <v>(1116471296)</v>
      </c>
      <c r="Q113" s="50" t="str">
        <f ca="1">INDIRECT(ADDRESS(6+$U$2,41,,,"translations"))</f>
        <v>428C0000</v>
      </c>
      <c r="R113" s="46"/>
      <c r="T113" s="35"/>
      <c r="U113" s="35"/>
    </row>
    <row r="114" spans="1:26">
      <c r="A114" s="21" t="s">
        <v>7</v>
      </c>
      <c r="B114" s="21">
        <v>0</v>
      </c>
      <c r="C114" s="21">
        <v>1</v>
      </c>
      <c r="D114" s="21">
        <f t="shared" si="28"/>
        <v>32805</v>
      </c>
      <c r="E114" s="21" t="str">
        <f t="shared" ca="1" si="29"/>
        <v>0000F041</v>
      </c>
      <c r="H114" s="29" t="s">
        <v>37</v>
      </c>
      <c r="I114" s="5">
        <v>3</v>
      </c>
      <c r="J114" s="24" t="s">
        <v>212</v>
      </c>
      <c r="K114" s="3" t="str">
        <f ca="1">RIGHT(CONCATENATE("00000000",Q114), 8)</f>
        <v>41F00000</v>
      </c>
      <c r="L114" s="3">
        <v>1</v>
      </c>
      <c r="M114" s="13" t="str">
        <f t="shared" ca="1" si="56"/>
        <v>(1106247680)</v>
      </c>
      <c r="Q114" s="50" t="str">
        <f ca="1">INDIRECT(ADDRESS(6+$U$2,42,,,"translations"))</f>
        <v>41F00000</v>
      </c>
      <c r="R114" s="46"/>
      <c r="T114" s="35"/>
      <c r="U114" s="35"/>
    </row>
    <row r="115" spans="1:26">
      <c r="A115" s="21" t="s">
        <v>7</v>
      </c>
      <c r="B115" s="21">
        <v>0</v>
      </c>
      <c r="C115" s="21">
        <v>1</v>
      </c>
      <c r="D115" s="21">
        <f t="shared" si="28"/>
        <v>32805</v>
      </c>
      <c r="E115" s="21" t="str">
        <f t="shared" ca="1" si="29"/>
        <v>00000000</v>
      </c>
      <c r="H115" s="29" t="s">
        <v>37</v>
      </c>
      <c r="I115" s="5">
        <v>4</v>
      </c>
      <c r="J115" s="24" t="s">
        <v>213</v>
      </c>
      <c r="K115" s="3" t="str">
        <f ca="1">RIGHT(CONCATENATE("00000000",Q115), 8)</f>
        <v>00000000</v>
      </c>
      <c r="L115" s="3">
        <v>1</v>
      </c>
      <c r="M115" s="13" t="str">
        <f t="shared" ca="1" si="56"/>
        <v>(0)</v>
      </c>
      <c r="Q115" s="50" t="str">
        <f ca="1">INDIRECT(ADDRESS(6+$U$2,43,,,"translations"))</f>
        <v>00000000</v>
      </c>
      <c r="R115" s="46"/>
      <c r="T115" s="35"/>
      <c r="U115" s="35"/>
    </row>
    <row r="116" spans="1:26">
      <c r="A116" s="21" t="s">
        <v>7</v>
      </c>
      <c r="B116" s="21">
        <v>0</v>
      </c>
      <c r="C116" s="21">
        <v>1</v>
      </c>
      <c r="D116" s="21">
        <f t="shared" si="28"/>
        <v>32805</v>
      </c>
      <c r="E116" s="21" t="str">
        <f t="shared" ca="1" si="29"/>
        <v>9A998940</v>
      </c>
      <c r="H116" s="29" t="s">
        <v>37</v>
      </c>
      <c r="I116" s="5">
        <v>7</v>
      </c>
      <c r="J116" s="24" t="s">
        <v>214</v>
      </c>
      <c r="K116" s="3" t="str">
        <f ca="1">RIGHT(CONCATENATE("00000000",Q116), 8)</f>
        <v>4089999A</v>
      </c>
      <c r="L116" s="3">
        <v>1</v>
      </c>
      <c r="M116" s="13" t="str">
        <f t="shared" ca="1" si="56"/>
        <v>(1082759578)</v>
      </c>
      <c r="Q116" s="50" t="str">
        <f ca="1">INDIRECT(ADDRESS(6+$U$2,45,,,"translations"))</f>
        <v>4089999A</v>
      </c>
      <c r="R116" s="46"/>
      <c r="T116" s="35"/>
      <c r="U116" s="35"/>
    </row>
    <row r="117" spans="1:26">
      <c r="A117" s="21" t="s">
        <v>7</v>
      </c>
      <c r="B117" s="21">
        <v>0</v>
      </c>
      <c r="C117" s="21">
        <v>1</v>
      </c>
      <c r="D117" s="21">
        <f t="shared" si="28"/>
        <v>32802</v>
      </c>
      <c r="E117" s="21" t="str">
        <f t="shared" ca="1" si="29"/>
        <v>0000</v>
      </c>
      <c r="H117" s="29">
        <v>8022</v>
      </c>
      <c r="I117" s="5">
        <v>1</v>
      </c>
      <c r="J117" s="24" t="s">
        <v>51</v>
      </c>
      <c r="K117" s="3" t="str">
        <f ca="1">RIGHT(CONCATENATE("0000",Q117), 4)</f>
        <v>0000</v>
      </c>
      <c r="L117" s="3">
        <v>1</v>
      </c>
      <c r="M117" s="13" t="str">
        <f ca="1">"("&amp;HEX2DEC(K117)&amp;")"</f>
        <v>(0)</v>
      </c>
      <c r="Q117" s="45" t="str">
        <f ca="1">DEC2HEX(R117*100)</f>
        <v>0</v>
      </c>
      <c r="R117" s="50">
        <f ca="1">INDIRECT(ADDRESS(6+$U$2,37,,,"translations"))</f>
        <v>0</v>
      </c>
      <c r="S117" s="33"/>
      <c r="T117" s="35"/>
      <c r="U117" s="35"/>
    </row>
    <row r="118" spans="1:26">
      <c r="A118" s="21" t="s">
        <v>7</v>
      </c>
      <c r="B118" s="21">
        <v>0</v>
      </c>
      <c r="C118" s="21">
        <v>1</v>
      </c>
      <c r="D118" s="21">
        <f t="shared" si="28"/>
        <v>32802</v>
      </c>
      <c r="E118" s="21" t="str">
        <f t="shared" ca="1" si="29"/>
        <v>0000</v>
      </c>
      <c r="H118" s="29">
        <v>8022</v>
      </c>
      <c r="I118" s="5">
        <v>2</v>
      </c>
      <c r="J118" s="24" t="s">
        <v>52</v>
      </c>
      <c r="K118" s="3" t="str">
        <f t="shared" ref="K118:K124" ca="1" si="57">RIGHT(CONCATENATE("0000",Q118), 4)</f>
        <v>0000</v>
      </c>
      <c r="L118" s="3">
        <v>1</v>
      </c>
      <c r="M118" s="13" t="str">
        <f t="shared" ref="M118:M124" ca="1" si="58">"("&amp;HEX2DEC(K118)&amp;")"</f>
        <v>(0)</v>
      </c>
      <c r="Q118" s="45" t="str">
        <f t="shared" ref="Q118:Q120" ca="1" si="59">DEC2HEX(R118*100)</f>
        <v>0</v>
      </c>
      <c r="R118" s="50">
        <f ca="1">INDIRECT(ADDRESS(6+$U$2,38,,,"translations"))</f>
        <v>0</v>
      </c>
      <c r="T118" s="35"/>
      <c r="U118" s="35"/>
    </row>
    <row r="119" spans="1:26">
      <c r="A119" s="21" t="s">
        <v>7</v>
      </c>
      <c r="B119" s="21">
        <v>0</v>
      </c>
      <c r="C119" s="21">
        <v>1</v>
      </c>
      <c r="D119" s="21">
        <f t="shared" si="28"/>
        <v>32802</v>
      </c>
      <c r="E119" s="21" t="str">
        <f t="shared" ca="1" si="29"/>
        <v>0000</v>
      </c>
      <c r="H119" s="29">
        <v>8022</v>
      </c>
      <c r="I119" s="5">
        <v>3</v>
      </c>
      <c r="J119" s="24" t="s">
        <v>53</v>
      </c>
      <c r="K119" s="3" t="str">
        <f t="shared" ca="1" si="57"/>
        <v>0000</v>
      </c>
      <c r="L119" s="3">
        <v>1</v>
      </c>
      <c r="M119" s="13" t="str">
        <f t="shared" ca="1" si="58"/>
        <v>(0)</v>
      </c>
      <c r="Q119" s="45" t="str">
        <f t="shared" ca="1" si="59"/>
        <v>0</v>
      </c>
      <c r="R119" s="50">
        <f ca="1">INDIRECT(ADDRESS(6+$U$2,39,,,"translations"))</f>
        <v>0</v>
      </c>
      <c r="T119" s="35"/>
      <c r="U119" s="35"/>
    </row>
    <row r="120" spans="1:26">
      <c r="A120" s="21" t="s">
        <v>7</v>
      </c>
      <c r="B120" s="21">
        <v>0</v>
      </c>
      <c r="C120" s="21">
        <v>1</v>
      </c>
      <c r="D120" s="21">
        <f t="shared" si="28"/>
        <v>32802</v>
      </c>
      <c r="E120" s="21" t="str">
        <f t="shared" ca="1" si="29"/>
        <v>0000</v>
      </c>
      <c r="H120" s="29">
        <v>8022</v>
      </c>
      <c r="I120" s="5">
        <v>4</v>
      </c>
      <c r="J120" s="24" t="s">
        <v>54</v>
      </c>
      <c r="K120" s="3" t="str">
        <f t="shared" ca="1" si="57"/>
        <v>0000</v>
      </c>
      <c r="L120" s="3">
        <v>1</v>
      </c>
      <c r="M120" s="13" t="str">
        <f t="shared" ca="1" si="58"/>
        <v>(0)</v>
      </c>
      <c r="Q120" s="45" t="str">
        <f t="shared" ca="1" si="59"/>
        <v>0</v>
      </c>
      <c r="R120" s="50">
        <f ca="1">INDIRECT(ADDRESS(6+$U$2,40,,,"translations"))</f>
        <v>0</v>
      </c>
      <c r="S120" s="33"/>
      <c r="T120" s="35"/>
      <c r="U120" s="35"/>
    </row>
    <row r="121" spans="1:26">
      <c r="A121" s="21" t="s">
        <v>7</v>
      </c>
      <c r="B121" s="21">
        <v>0</v>
      </c>
      <c r="C121" s="21">
        <v>1</v>
      </c>
      <c r="D121" s="21">
        <f t="shared" si="28"/>
        <v>32803</v>
      </c>
      <c r="E121" s="21" t="str">
        <f t="shared" si="29"/>
        <v>0100</v>
      </c>
      <c r="H121" s="6">
        <v>8023</v>
      </c>
      <c r="I121" s="5">
        <v>1</v>
      </c>
      <c r="J121" s="24" t="s">
        <v>55</v>
      </c>
      <c r="K121" s="3" t="str">
        <f t="shared" si="57"/>
        <v>0001</v>
      </c>
      <c r="L121" s="3">
        <v>1</v>
      </c>
      <c r="M121" s="13" t="str">
        <f t="shared" si="58"/>
        <v>(1)</v>
      </c>
      <c r="Q121" s="47">
        <v>1</v>
      </c>
      <c r="R121" s="46"/>
      <c r="T121" s="35"/>
      <c r="U121" s="35"/>
    </row>
    <row r="122" spans="1:26">
      <c r="A122" s="21" t="s">
        <v>7</v>
      </c>
      <c r="B122" s="21">
        <v>0</v>
      </c>
      <c r="C122" s="21">
        <v>1</v>
      </c>
      <c r="D122" s="21">
        <f t="shared" si="28"/>
        <v>32803</v>
      </c>
      <c r="E122" s="21" t="str">
        <f t="shared" si="29"/>
        <v>0100</v>
      </c>
      <c r="H122" s="6">
        <v>8023</v>
      </c>
      <c r="I122" s="5">
        <v>2</v>
      </c>
      <c r="J122" s="24" t="s">
        <v>126</v>
      </c>
      <c r="K122" s="3" t="str">
        <f t="shared" si="57"/>
        <v>0001</v>
      </c>
      <c r="L122" s="3">
        <v>1</v>
      </c>
      <c r="M122" s="13" t="str">
        <f t="shared" si="58"/>
        <v>(1)</v>
      </c>
      <c r="Q122" s="45" t="str">
        <f>DEC2HEX(R122)</f>
        <v>1</v>
      </c>
      <c r="R122" s="34">
        <v>1</v>
      </c>
      <c r="S122" s="33"/>
      <c r="T122" s="35"/>
      <c r="U122" s="35"/>
    </row>
    <row r="123" spans="1:26">
      <c r="A123" s="21" t="s">
        <v>7</v>
      </c>
      <c r="B123" s="21">
        <v>0</v>
      </c>
      <c r="C123" s="21">
        <v>1</v>
      </c>
      <c r="D123" s="21">
        <f t="shared" si="28"/>
        <v>32803</v>
      </c>
      <c r="E123" s="21" t="str">
        <f t="shared" si="29"/>
        <v>0700</v>
      </c>
      <c r="H123" s="6">
        <v>8023</v>
      </c>
      <c r="I123" s="5">
        <v>3</v>
      </c>
      <c r="J123" s="24" t="s">
        <v>56</v>
      </c>
      <c r="K123" s="3" t="str">
        <f t="shared" si="57"/>
        <v>0007</v>
      </c>
      <c r="L123" s="3">
        <v>1</v>
      </c>
      <c r="M123" s="13" t="str">
        <f t="shared" si="58"/>
        <v>(7)</v>
      </c>
      <c r="Q123" s="45" t="str">
        <f>DEC2HEX(R123)</f>
        <v>7</v>
      </c>
      <c r="R123" s="34">
        <v>7</v>
      </c>
    </row>
    <row r="124" spans="1:26">
      <c r="A124" s="21" t="s">
        <v>7</v>
      </c>
      <c r="B124" s="21">
        <v>0</v>
      </c>
      <c r="C124" s="21">
        <v>1</v>
      </c>
      <c r="D124" s="21">
        <f t="shared" si="28"/>
        <v>32808</v>
      </c>
      <c r="E124" s="21" t="str">
        <f t="shared" si="29"/>
        <v>0100</v>
      </c>
      <c r="H124" s="6">
        <v>8028</v>
      </c>
      <c r="I124" s="5">
        <v>1</v>
      </c>
      <c r="J124" s="24" t="s">
        <v>129</v>
      </c>
      <c r="K124" s="3" t="str">
        <f t="shared" si="57"/>
        <v>0001</v>
      </c>
      <c r="L124" s="3">
        <v>1</v>
      </c>
      <c r="M124" s="13" t="str">
        <f t="shared" si="58"/>
        <v>(1)</v>
      </c>
      <c r="Q124" s="47">
        <v>1</v>
      </c>
      <c r="R124" s="46"/>
      <c r="S124" s="33"/>
      <c r="T124" s="35"/>
      <c r="U124" s="35"/>
      <c r="V124" s="35"/>
      <c r="W124" s="35"/>
      <c r="X124" s="35"/>
      <c r="Y124" s="35"/>
      <c r="Z124" s="35"/>
    </row>
    <row r="125" spans="1:26">
      <c r="A125" s="21" t="s">
        <v>7</v>
      </c>
      <c r="B125" s="21">
        <v>0</v>
      </c>
      <c r="C125" s="21">
        <v>1</v>
      </c>
      <c r="D125" s="21">
        <f t="shared" si="28"/>
        <v>32807</v>
      </c>
      <c r="E125" s="21" t="str">
        <f t="shared" si="29"/>
        <v>7500</v>
      </c>
      <c r="H125" s="6">
        <v>8027</v>
      </c>
      <c r="I125" s="5">
        <v>1</v>
      </c>
      <c r="J125" s="24" t="s">
        <v>127</v>
      </c>
      <c r="K125" s="3" t="str">
        <f>RIGHT(CONCATENATE("0000",Q125), 4)</f>
        <v>0075</v>
      </c>
      <c r="L125" s="3">
        <v>1</v>
      </c>
      <c r="M125" s="13" t="str">
        <f>"("&amp;HEX2DEC(K125)&amp;")"</f>
        <v>(117)</v>
      </c>
      <c r="Q125" s="45" t="str">
        <f>DEC2HEX(R125*100)</f>
        <v>75</v>
      </c>
      <c r="R125" s="74">
        <v>1.17</v>
      </c>
      <c r="S125" s="33"/>
      <c r="T125" s="35"/>
      <c r="U125" s="35"/>
      <c r="V125" s="35"/>
      <c r="W125" s="35"/>
      <c r="X125" s="35"/>
      <c r="Y125" s="35"/>
      <c r="Z125" s="35"/>
    </row>
    <row r="126" spans="1:26">
      <c r="A126" s="21" t="s">
        <v>7</v>
      </c>
      <c r="B126" s="21">
        <v>0</v>
      </c>
      <c r="C126" s="21">
        <v>1</v>
      </c>
      <c r="D126" s="21">
        <f t="shared" si="28"/>
        <v>32807</v>
      </c>
      <c r="E126" s="21" t="str">
        <f t="shared" si="29"/>
        <v>7500</v>
      </c>
      <c r="H126" s="6">
        <v>8027</v>
      </c>
      <c r="I126" s="5">
        <v>2</v>
      </c>
      <c r="J126" s="24" t="s">
        <v>130</v>
      </c>
      <c r="K126" s="3" t="str">
        <f t="shared" ref="K126:K128" si="60">RIGHT(CONCATENATE("0000",Q126), 4)</f>
        <v>0075</v>
      </c>
      <c r="L126" s="3">
        <v>1</v>
      </c>
      <c r="M126" s="13" t="str">
        <f t="shared" ref="M126:M128" si="61">"("&amp;HEX2DEC(K126)&amp;")"</f>
        <v>(117)</v>
      </c>
      <c r="Q126" s="45" t="str">
        <f t="shared" ref="Q126:Q128" si="62">DEC2HEX(R126*100)</f>
        <v>75</v>
      </c>
      <c r="R126" s="74">
        <v>1.17</v>
      </c>
      <c r="S126" s="33"/>
      <c r="T126" s="35"/>
      <c r="U126" s="35"/>
      <c r="V126" s="35"/>
      <c r="W126" s="35"/>
      <c r="X126" s="35"/>
      <c r="Y126" s="35"/>
      <c r="Z126" s="35"/>
    </row>
    <row r="127" spans="1:26">
      <c r="A127" s="21" t="s">
        <v>7</v>
      </c>
      <c r="B127" s="21">
        <v>0</v>
      </c>
      <c r="C127" s="21">
        <v>1</v>
      </c>
      <c r="D127" s="21">
        <f t="shared" si="28"/>
        <v>32807</v>
      </c>
      <c r="E127" s="21" t="str">
        <f t="shared" si="29"/>
        <v>7500</v>
      </c>
      <c r="H127" s="6">
        <v>8027</v>
      </c>
      <c r="I127" s="5">
        <v>3</v>
      </c>
      <c r="J127" s="24" t="s">
        <v>131</v>
      </c>
      <c r="K127" s="3" t="str">
        <f t="shared" si="60"/>
        <v>0075</v>
      </c>
      <c r="L127" s="3">
        <v>1</v>
      </c>
      <c r="M127" s="13" t="str">
        <f t="shared" si="61"/>
        <v>(117)</v>
      </c>
      <c r="Q127" s="45" t="str">
        <f t="shared" si="62"/>
        <v>75</v>
      </c>
      <c r="R127" s="74">
        <v>1.17</v>
      </c>
      <c r="S127" s="33"/>
      <c r="T127" s="35"/>
      <c r="U127" s="35"/>
      <c r="V127" s="35"/>
      <c r="W127" s="35"/>
      <c r="X127" s="35"/>
      <c r="Y127" s="35"/>
      <c r="Z127" s="35"/>
    </row>
    <row r="128" spans="1:26">
      <c r="A128" s="21" t="s">
        <v>7</v>
      </c>
      <c r="B128" s="21">
        <v>0</v>
      </c>
      <c r="C128" s="21">
        <v>1</v>
      </c>
      <c r="D128" s="21">
        <f t="shared" si="28"/>
        <v>32807</v>
      </c>
      <c r="E128" s="21" t="str">
        <f t="shared" si="29"/>
        <v>7500</v>
      </c>
      <c r="H128" s="6">
        <v>8027</v>
      </c>
      <c r="I128" s="5">
        <v>4</v>
      </c>
      <c r="J128" s="24" t="s">
        <v>132</v>
      </c>
      <c r="K128" s="3" t="str">
        <f t="shared" si="60"/>
        <v>0075</v>
      </c>
      <c r="L128" s="3">
        <v>1</v>
      </c>
      <c r="M128" s="13" t="str">
        <f t="shared" si="61"/>
        <v>(117)</v>
      </c>
      <c r="Q128" s="45" t="str">
        <f t="shared" si="62"/>
        <v>75</v>
      </c>
      <c r="R128" s="74">
        <v>1.17</v>
      </c>
      <c r="S128" s="33"/>
      <c r="T128" s="35"/>
      <c r="U128" s="35"/>
      <c r="V128" s="35"/>
      <c r="W128" s="35"/>
      <c r="X128" s="35"/>
      <c r="Y128" s="35"/>
      <c r="Z128" s="35"/>
    </row>
    <row r="129" spans="1:26">
      <c r="A129" s="21" t="s">
        <v>7</v>
      </c>
      <c r="B129" s="21">
        <v>0</v>
      </c>
      <c r="C129" s="21">
        <v>1</v>
      </c>
      <c r="D129" s="21">
        <f t="shared" si="28"/>
        <v>32808</v>
      </c>
      <c r="E129" s="21" t="str">
        <f t="shared" si="29"/>
        <v>9B02</v>
      </c>
      <c r="H129" s="6">
        <v>8028</v>
      </c>
      <c r="I129" s="5">
        <v>2</v>
      </c>
      <c r="J129" s="24" t="s">
        <v>133</v>
      </c>
      <c r="K129" s="3" t="str">
        <f>RIGHT(CONCATENATE("0000",Q129), 4)</f>
        <v>029B</v>
      </c>
      <c r="L129" s="3">
        <v>1</v>
      </c>
      <c r="M129" s="13" t="str">
        <f>"("&amp;HEX2DEC(K129)&amp;")"</f>
        <v>(667)</v>
      </c>
      <c r="Q129" s="45" t="str">
        <f>DEC2HEX(R129*10)</f>
        <v>29B</v>
      </c>
      <c r="R129" s="73">
        <v>66.7</v>
      </c>
      <c r="S129" s="33"/>
      <c r="T129" s="35"/>
      <c r="U129" s="35"/>
      <c r="V129" s="35"/>
      <c r="W129" s="35"/>
      <c r="X129" s="35"/>
      <c r="Y129" s="35"/>
      <c r="Z129" s="35"/>
    </row>
    <row r="130" spans="1:26">
      <c r="A130" s="21" t="s">
        <v>7</v>
      </c>
      <c r="B130" s="21">
        <v>0</v>
      </c>
      <c r="C130" s="21">
        <v>1</v>
      </c>
      <c r="D130" s="21">
        <f t="shared" si="28"/>
        <v>32808</v>
      </c>
      <c r="E130" s="21" t="str">
        <f t="shared" si="29"/>
        <v>9B02</v>
      </c>
      <c r="H130" s="6">
        <v>8028</v>
      </c>
      <c r="I130" s="5">
        <v>3</v>
      </c>
      <c r="J130" s="24" t="s">
        <v>128</v>
      </c>
      <c r="K130" s="3" t="str">
        <f t="shared" ref="K130:K132" si="63">RIGHT(CONCATENATE("0000",Q130), 4)</f>
        <v>029B</v>
      </c>
      <c r="L130" s="3">
        <v>1</v>
      </c>
      <c r="M130" s="13" t="str">
        <f t="shared" ref="M130:M132" si="64">"("&amp;HEX2DEC(K130)&amp;")"</f>
        <v>(667)</v>
      </c>
      <c r="Q130" s="45" t="str">
        <f t="shared" ref="Q130:Q132" si="65">DEC2HEX(R130*10)</f>
        <v>29B</v>
      </c>
      <c r="R130" s="73">
        <v>66.7</v>
      </c>
      <c r="S130" s="33"/>
      <c r="T130" s="35"/>
      <c r="U130" s="35"/>
      <c r="V130" s="35"/>
      <c r="W130" s="35"/>
      <c r="X130" s="35"/>
      <c r="Y130" s="35"/>
      <c r="Z130" s="35"/>
    </row>
    <row r="131" spans="1:26">
      <c r="A131" s="21" t="s">
        <v>7</v>
      </c>
      <c r="B131" s="21">
        <v>0</v>
      </c>
      <c r="C131" s="21">
        <v>1</v>
      </c>
      <c r="D131" s="21">
        <f t="shared" ref="D131:D132" si="66">HEX2DEC(H131)</f>
        <v>32808</v>
      </c>
      <c r="E131" s="21" t="str">
        <f t="shared" ref="E131:E132" si="67">IF(L131=1,MID(K131,7,2) &amp; MID(K131,5,2) &amp; MID(K131,3,2) &amp; MID(K131,1,2),K131)</f>
        <v>9B02</v>
      </c>
      <c r="H131" s="6">
        <v>8028</v>
      </c>
      <c r="I131" s="5">
        <v>4</v>
      </c>
      <c r="J131" s="24" t="s">
        <v>134</v>
      </c>
      <c r="K131" s="3" t="str">
        <f t="shared" si="63"/>
        <v>029B</v>
      </c>
      <c r="L131" s="3">
        <v>1</v>
      </c>
      <c r="M131" s="13" t="str">
        <f t="shared" si="64"/>
        <v>(667)</v>
      </c>
      <c r="Q131" s="45" t="str">
        <f t="shared" si="65"/>
        <v>29B</v>
      </c>
      <c r="R131" s="73">
        <v>66.7</v>
      </c>
      <c r="S131" s="33"/>
      <c r="T131" s="35"/>
      <c r="U131" s="35"/>
      <c r="V131" s="35"/>
      <c r="W131" s="35"/>
      <c r="X131" s="35"/>
      <c r="Y131" s="35"/>
      <c r="Z131" s="35"/>
    </row>
    <row r="132" spans="1:26">
      <c r="A132" s="21" t="s">
        <v>7</v>
      </c>
      <c r="B132" s="21">
        <v>0</v>
      </c>
      <c r="C132" s="21">
        <v>1</v>
      </c>
      <c r="D132" s="21">
        <f t="shared" si="66"/>
        <v>32808</v>
      </c>
      <c r="E132" s="21" t="str">
        <f t="shared" si="67"/>
        <v>9B02</v>
      </c>
      <c r="H132" s="6">
        <v>8028</v>
      </c>
      <c r="I132" s="5">
        <v>5</v>
      </c>
      <c r="J132" s="24" t="s">
        <v>135</v>
      </c>
      <c r="K132" s="3" t="str">
        <f t="shared" si="63"/>
        <v>029B</v>
      </c>
      <c r="L132" s="3">
        <v>1</v>
      </c>
      <c r="M132" s="13" t="str">
        <f t="shared" si="64"/>
        <v>(667)</v>
      </c>
      <c r="Q132" s="45" t="str">
        <f t="shared" si="65"/>
        <v>29B</v>
      </c>
      <c r="R132" s="73">
        <v>66.7</v>
      </c>
      <c r="S132" s="33"/>
      <c r="T132" s="35"/>
      <c r="U132" s="35"/>
      <c r="V132" s="35"/>
      <c r="W132" s="35"/>
      <c r="X132" s="35"/>
      <c r="Y132" s="35"/>
      <c r="Z132" s="35"/>
    </row>
  </sheetData>
  <conditionalFormatting sqref="U40:U42 U106:U111 S106:S122 U52:U55 S52:S96 S2:S20 S25:S42">
    <cfRule type="cellIs" dxfId="7" priority="16" operator="notEqual">
      <formula>""</formula>
    </cfRule>
  </conditionalFormatting>
  <conditionalFormatting sqref="X84:X87">
    <cfRule type="expression" dxfId="6" priority="22">
      <formula>#REF!</formula>
    </cfRule>
  </conditionalFormatting>
  <conditionalFormatting sqref="S97:S105">
    <cfRule type="cellIs" dxfId="5" priority="5" operator="notEqual">
      <formula>""</formula>
    </cfRule>
  </conditionalFormatting>
  <conditionalFormatting sqref="S43:S51">
    <cfRule type="cellIs" dxfId="4" priority="4" operator="notEqual">
      <formula>""</formula>
    </cfRule>
  </conditionalFormatting>
  <conditionalFormatting sqref="S124:S132">
    <cfRule type="cellIs" dxfId="3" priority="2" operator="notEqual">
      <formula>""</formula>
    </cfRule>
  </conditionalFormatting>
  <conditionalFormatting sqref="S21:S24">
    <cfRule type="cellIs" dxfId="2" priority="1" operator="notEqual">
      <formula>""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00B050"/>
  </sheetPr>
  <dimension ref="A1:AS34"/>
  <sheetViews>
    <sheetView topLeftCell="A4" zoomScale="115" zoomScaleNormal="115" workbookViewId="0">
      <selection activeCell="F15" sqref="F15"/>
    </sheetView>
  </sheetViews>
  <sheetFormatPr baseColWidth="10" defaultColWidth="11.42578125" defaultRowHeight="12.75"/>
  <cols>
    <col min="1" max="1" width="12" style="5" bestFit="1" customWidth="1"/>
    <col min="2" max="2" width="21.140625" style="5" customWidth="1"/>
    <col min="3" max="3" width="3" style="5" bestFit="1" customWidth="1"/>
    <col min="4" max="4" width="15.42578125" style="5" customWidth="1"/>
    <col min="5" max="5" width="14.42578125" style="5" customWidth="1"/>
    <col min="6" max="6" width="15" style="5" customWidth="1"/>
    <col min="7" max="7" width="11.5703125" style="5" customWidth="1"/>
    <col min="8" max="8" width="18.140625" style="5" customWidth="1"/>
    <col min="9" max="10" width="11" style="5" customWidth="1"/>
    <col min="11" max="13" width="8.28515625" style="5" customWidth="1"/>
    <col min="14" max="14" width="7.5703125" style="5" customWidth="1"/>
    <col min="15" max="15" width="8.140625" style="5" customWidth="1"/>
    <col min="16" max="16" width="7.85546875" style="5" customWidth="1"/>
    <col min="17" max="18" width="10.85546875" style="5" customWidth="1"/>
    <col min="19" max="19" width="7.85546875" style="5" customWidth="1"/>
    <col min="20" max="20" width="7.7109375" style="5" customWidth="1"/>
    <col min="21" max="22" width="7.5703125" style="5" customWidth="1"/>
    <col min="23" max="23" width="8.42578125" style="5" customWidth="1"/>
    <col min="24" max="24" width="8" style="5" bestFit="1" customWidth="1"/>
    <col min="25" max="26" width="11" style="5" customWidth="1"/>
    <col min="27" max="32" width="8" style="5" customWidth="1"/>
    <col min="33" max="34" width="11" style="5" customWidth="1"/>
    <col min="35" max="35" width="11.42578125" style="5"/>
    <col min="36" max="36" width="8.42578125" style="5" customWidth="1"/>
    <col min="37" max="37" width="9.140625" style="5" customWidth="1"/>
    <col min="38" max="38" width="8.28515625" style="5" customWidth="1"/>
    <col min="39" max="40" width="8.42578125" style="5" customWidth="1"/>
    <col min="41" max="16384" width="11.42578125" style="5"/>
  </cols>
  <sheetData>
    <row r="1" spans="1:45">
      <c r="B1" s="5" t="s">
        <v>68</v>
      </c>
      <c r="D1" s="5">
        <v>46</v>
      </c>
      <c r="L1" s="65" t="s">
        <v>107</v>
      </c>
      <c r="M1" s="65"/>
      <c r="N1" s="65"/>
      <c r="O1" s="65"/>
      <c r="P1" s="65"/>
      <c r="Q1" s="65"/>
      <c r="R1" s="65"/>
      <c r="S1" s="65"/>
      <c r="T1" s="65"/>
      <c r="U1" s="65"/>
    </row>
    <row r="2" spans="1:45">
      <c r="B2" s="5" t="s">
        <v>67</v>
      </c>
      <c r="D2" s="5">
        <v>53.837400000000002</v>
      </c>
    </row>
    <row r="5" spans="1:45">
      <c r="A5" s="5">
        <v>1</v>
      </c>
      <c r="B5" s="5">
        <f>A5+1</f>
        <v>2</v>
      </c>
      <c r="C5" s="5">
        <f t="shared" ref="C5:AN5" si="0">B5+1</f>
        <v>3</v>
      </c>
      <c r="D5" s="5">
        <f t="shared" si="0"/>
        <v>4</v>
      </c>
      <c r="E5" s="5">
        <f t="shared" si="0"/>
        <v>5</v>
      </c>
      <c r="F5" s="5">
        <f t="shared" si="0"/>
        <v>6</v>
      </c>
      <c r="G5" s="5">
        <f t="shared" si="0"/>
        <v>7</v>
      </c>
      <c r="H5" s="5">
        <f t="shared" si="0"/>
        <v>8</v>
      </c>
      <c r="I5" s="5">
        <f t="shared" si="0"/>
        <v>9</v>
      </c>
      <c r="J5" s="5">
        <f t="shared" si="0"/>
        <v>10</v>
      </c>
      <c r="K5" s="5">
        <f t="shared" si="0"/>
        <v>11</v>
      </c>
      <c r="L5" s="5">
        <f t="shared" si="0"/>
        <v>12</v>
      </c>
      <c r="M5" s="5">
        <f t="shared" si="0"/>
        <v>13</v>
      </c>
      <c r="N5" s="5">
        <f t="shared" si="0"/>
        <v>14</v>
      </c>
      <c r="O5" s="5">
        <f t="shared" si="0"/>
        <v>15</v>
      </c>
      <c r="P5" s="5">
        <f t="shared" si="0"/>
        <v>16</v>
      </c>
      <c r="Q5" s="5">
        <f t="shared" si="0"/>
        <v>17</v>
      </c>
      <c r="R5" s="5">
        <f t="shared" si="0"/>
        <v>18</v>
      </c>
      <c r="S5" s="5">
        <f t="shared" si="0"/>
        <v>19</v>
      </c>
      <c r="T5" s="5">
        <f t="shared" si="0"/>
        <v>20</v>
      </c>
      <c r="U5" s="5">
        <f t="shared" si="0"/>
        <v>21</v>
      </c>
      <c r="V5" s="5">
        <f t="shared" si="0"/>
        <v>22</v>
      </c>
      <c r="W5" s="5">
        <f t="shared" si="0"/>
        <v>23</v>
      </c>
      <c r="X5" s="5">
        <f t="shared" si="0"/>
        <v>24</v>
      </c>
      <c r="Y5" s="5">
        <f t="shared" si="0"/>
        <v>25</v>
      </c>
      <c r="Z5" s="5">
        <f t="shared" si="0"/>
        <v>26</v>
      </c>
      <c r="AA5" s="5">
        <f t="shared" si="0"/>
        <v>27</v>
      </c>
      <c r="AB5" s="5">
        <f t="shared" si="0"/>
        <v>28</v>
      </c>
      <c r="AC5" s="5">
        <f t="shared" si="0"/>
        <v>29</v>
      </c>
      <c r="AD5" s="5">
        <f t="shared" si="0"/>
        <v>30</v>
      </c>
      <c r="AE5" s="5">
        <f t="shared" si="0"/>
        <v>31</v>
      </c>
      <c r="AF5" s="5">
        <f t="shared" si="0"/>
        <v>32</v>
      </c>
      <c r="AG5" s="5">
        <f t="shared" si="0"/>
        <v>33</v>
      </c>
      <c r="AH5" s="5">
        <f t="shared" si="0"/>
        <v>34</v>
      </c>
      <c r="AI5" s="5">
        <f t="shared" si="0"/>
        <v>35</v>
      </c>
      <c r="AJ5" s="5">
        <f t="shared" si="0"/>
        <v>36</v>
      </c>
      <c r="AK5" s="5">
        <f t="shared" si="0"/>
        <v>37</v>
      </c>
      <c r="AL5" s="5">
        <f t="shared" si="0"/>
        <v>38</v>
      </c>
      <c r="AM5" s="5">
        <f t="shared" si="0"/>
        <v>39</v>
      </c>
      <c r="AN5" s="5">
        <f t="shared" si="0"/>
        <v>40</v>
      </c>
      <c r="AO5" s="5">
        <f t="shared" ref="AO5:AS5" si="1">AN5+1</f>
        <v>41</v>
      </c>
      <c r="AP5" s="5">
        <f t="shared" si="1"/>
        <v>42</v>
      </c>
      <c r="AQ5" s="5">
        <f t="shared" si="1"/>
        <v>43</v>
      </c>
      <c r="AR5" s="5">
        <f t="shared" si="1"/>
        <v>44</v>
      </c>
      <c r="AS5" s="5">
        <f t="shared" si="1"/>
        <v>45</v>
      </c>
    </row>
    <row r="6" spans="1:45" s="40" customFormat="1" ht="38.25">
      <c r="A6" s="39" t="s">
        <v>58</v>
      </c>
      <c r="B6" s="39" t="s">
        <v>137</v>
      </c>
      <c r="C6" s="39" t="s">
        <v>28</v>
      </c>
      <c r="D6" s="39" t="s">
        <v>25</v>
      </c>
      <c r="E6" s="39" t="s">
        <v>26</v>
      </c>
      <c r="F6" s="39" t="s">
        <v>59</v>
      </c>
      <c r="G6" s="39" t="s">
        <v>27</v>
      </c>
      <c r="H6" s="39" t="s">
        <v>29</v>
      </c>
      <c r="I6" s="51" t="s">
        <v>63</v>
      </c>
      <c r="J6" s="51" t="s">
        <v>69</v>
      </c>
      <c r="K6" s="51" t="s">
        <v>62</v>
      </c>
      <c r="L6" s="51" t="s">
        <v>61</v>
      </c>
      <c r="M6" s="51" t="s">
        <v>60</v>
      </c>
      <c r="N6" s="51" t="s">
        <v>64</v>
      </c>
      <c r="O6" s="51" t="s">
        <v>65</v>
      </c>
      <c r="P6" s="51" t="s">
        <v>66</v>
      </c>
      <c r="Q6" s="52" t="s">
        <v>92</v>
      </c>
      <c r="R6" s="52" t="s">
        <v>71</v>
      </c>
      <c r="S6" s="52" t="s">
        <v>91</v>
      </c>
      <c r="T6" s="52" t="s">
        <v>90</v>
      </c>
      <c r="U6" s="52" t="s">
        <v>89</v>
      </c>
      <c r="V6" s="52" t="s">
        <v>88</v>
      </c>
      <c r="W6" s="52" t="s">
        <v>87</v>
      </c>
      <c r="X6" s="52" t="s">
        <v>86</v>
      </c>
      <c r="Y6" s="53" t="s">
        <v>63</v>
      </c>
      <c r="Z6" s="53" t="s">
        <v>70</v>
      </c>
      <c r="AA6" s="53" t="s">
        <v>85</v>
      </c>
      <c r="AB6" s="53" t="s">
        <v>84</v>
      </c>
      <c r="AC6" s="53" t="s">
        <v>83</v>
      </c>
      <c r="AD6" s="53" t="s">
        <v>82</v>
      </c>
      <c r="AE6" s="53" t="s">
        <v>81</v>
      </c>
      <c r="AF6" s="53" t="s">
        <v>80</v>
      </c>
      <c r="AG6" s="54" t="s">
        <v>73</v>
      </c>
      <c r="AH6" s="54" t="s">
        <v>72</v>
      </c>
      <c r="AI6" s="54" t="s">
        <v>74</v>
      </c>
      <c r="AJ6" s="54" t="s">
        <v>75</v>
      </c>
      <c r="AK6" s="54" t="s">
        <v>76</v>
      </c>
      <c r="AL6" s="54" t="s">
        <v>77</v>
      </c>
      <c r="AM6" s="54" t="s">
        <v>78</v>
      </c>
      <c r="AN6" s="54" t="s">
        <v>79</v>
      </c>
      <c r="AO6" s="91" t="s">
        <v>203</v>
      </c>
      <c r="AP6" s="91" t="s">
        <v>204</v>
      </c>
      <c r="AQ6" s="91" t="s">
        <v>205</v>
      </c>
      <c r="AR6" s="91" t="s">
        <v>206</v>
      </c>
      <c r="AS6" s="91" t="s">
        <v>207</v>
      </c>
    </row>
    <row r="7" spans="1:45">
      <c r="A7" s="5" t="s">
        <v>217</v>
      </c>
      <c r="B7" s="5">
        <v>7</v>
      </c>
      <c r="C7" s="5">
        <v>1</v>
      </c>
      <c r="D7" s="85" t="s">
        <v>267</v>
      </c>
      <c r="E7" s="85" t="s">
        <v>141</v>
      </c>
      <c r="F7" s="86" t="str">
        <f>"1A11000000"&amp;DEC2HEX(C7,2)</f>
        <v>1A1100000001</v>
      </c>
      <c r="G7" s="14" t="str">
        <f>"0B0101"&amp;DEC2HEX(C7,2)</f>
        <v>0B010101</v>
      </c>
      <c r="H7" s="6" t="str">
        <f>DEC2HEX(1024+(C7-1)*256)</f>
        <v>400</v>
      </c>
      <c r="I7" s="5">
        <v>5</v>
      </c>
      <c r="J7" s="5">
        <v>1</v>
      </c>
      <c r="K7" s="63">
        <f>IF(MOD(J7,2)=0,ROUND($D$1/(0.04233333333/32),0),0)</f>
        <v>0</v>
      </c>
      <c r="L7" s="63">
        <f>ROUND((J7-1)*$D$2/(0.04233333333),0)</f>
        <v>0</v>
      </c>
      <c r="M7" s="63">
        <f ca="1">INDIRECT(ADDRESS(6+($J7-1)*4+0,2,,,"Voltage Scaling"))</f>
        <v>14.835000000000001</v>
      </c>
      <c r="N7" s="63">
        <f ca="1">INDIRECT(ADDRESS(6+($J7-1)*4+1,2,,,"Voltage Scaling"))</f>
        <v>15.215</v>
      </c>
      <c r="O7" s="63">
        <f ca="1">INDIRECT(ADDRESS(6+($J7-1)*4+2,2,,,"Voltage Scaling"))</f>
        <v>13.979999999999997</v>
      </c>
      <c r="P7" s="63">
        <f ca="1">INDIRECT(ADDRESS(6+($J7-1)*4+3,2,,,"Voltage Scaling"))</f>
        <v>14.55</v>
      </c>
      <c r="Q7" s="5">
        <v>5</v>
      </c>
      <c r="R7" s="5">
        <v>3</v>
      </c>
      <c r="S7" s="63">
        <f>IF(MOD(R7,2)=0,ROUND($D$1/(0.04233333333/32),0),0)</f>
        <v>0</v>
      </c>
      <c r="T7" s="63">
        <f>ROUND((R7-1)*$D$2/(0.04233333333),0)</f>
        <v>2543</v>
      </c>
      <c r="U7" s="63">
        <f ca="1">INDIRECT(ADDRESS(6+($R7-1)*4+0,2,,,"Voltage Scaling"))</f>
        <v>14.074999999999999</v>
      </c>
      <c r="V7" s="63">
        <f ca="1">INDIRECT(ADDRESS(6+($R7-1)*4+1,2,,,"Voltage Scaling"))</f>
        <v>14.55</v>
      </c>
      <c r="W7" s="63">
        <f ca="1">INDIRECT(ADDRESS(6+($R7-1)*4+2,2,,,"Voltage Scaling"))</f>
        <v>13.79</v>
      </c>
      <c r="X7" s="63">
        <f ca="1">INDIRECT(ADDRESS(6+($R7-1)*4+3,2,,,"Voltage Scaling"))</f>
        <v>14.36</v>
      </c>
      <c r="Y7" s="5">
        <v>5</v>
      </c>
      <c r="Z7" s="5">
        <v>5</v>
      </c>
      <c r="AA7" s="63">
        <f>IF(MOD(Z7,2)=0,ROUND($D$1/(0.04233333333/32),0),0)</f>
        <v>0</v>
      </c>
      <c r="AB7" s="63">
        <f>ROUND((Z7-1)*$D$2/(0.04233333333),0)</f>
        <v>5087</v>
      </c>
      <c r="AC7" s="63">
        <f ca="1">INDIRECT(ADDRESS(6+($Z7-1)*4+0,2,,,"Voltage Scaling"))</f>
        <v>14.55</v>
      </c>
      <c r="AD7" s="63">
        <f ca="1">INDIRECT(ADDRESS(6+($Z7-1)*4+1,2,,,"Voltage Scaling"))</f>
        <v>14.170000000000002</v>
      </c>
      <c r="AE7" s="63">
        <f ca="1">INDIRECT(ADDRESS(6+($Z7-1)*4+2,2,,,"Voltage Scaling"))</f>
        <v>14.264999999999997</v>
      </c>
      <c r="AF7" s="63">
        <f ca="1">INDIRECT(ADDRESS(6+($Z7-1)*4+3,2,,,"Voltage Scaling"))</f>
        <v>14.645</v>
      </c>
      <c r="AG7" s="5">
        <v>5</v>
      </c>
      <c r="AI7" s="63">
        <f>IF(MOD(AH7,2)=0,ROUND($D$1/(0.04233333333/32),0),0)</f>
        <v>34772</v>
      </c>
      <c r="AJ7" s="63">
        <v>0</v>
      </c>
      <c r="AK7" s="63">
        <f ca="1">INDIRECT(ADDRESS(6+($AH7-1)*4+0,2,,,"Voltage Scaling"))</f>
        <v>0</v>
      </c>
      <c r="AL7" s="63">
        <f ca="1">INDIRECT(ADDRESS(6+($AH7-1)*4+1,2,,,"Voltage Scaling"))</f>
        <v>0</v>
      </c>
      <c r="AM7" s="63">
        <f ca="1">INDIRECT(ADDRESS(6+($AH7-1)*4+2,2,,,"Voltage Scaling"))</f>
        <v>0</v>
      </c>
      <c r="AN7" s="63">
        <v>0</v>
      </c>
      <c r="AO7" s="6" t="s">
        <v>208</v>
      </c>
      <c r="AP7" s="6" t="s">
        <v>209</v>
      </c>
      <c r="AQ7" s="6" t="s">
        <v>136</v>
      </c>
      <c r="AR7" s="6" t="s">
        <v>136</v>
      </c>
      <c r="AS7" s="6" t="s">
        <v>210</v>
      </c>
    </row>
    <row r="8" spans="1:45">
      <c r="A8" s="5" t="s">
        <v>218</v>
      </c>
      <c r="B8" s="5">
        <v>7</v>
      </c>
      <c r="C8" s="5">
        <v>2</v>
      </c>
      <c r="D8" s="85" t="s">
        <v>267</v>
      </c>
      <c r="E8" s="85" t="s">
        <v>141</v>
      </c>
      <c r="F8" s="86" t="str">
        <f>"1A11000000"&amp;DEC2HEX(C8,2)</f>
        <v>1A1100000002</v>
      </c>
      <c r="G8" s="14" t="str">
        <f t="shared" ref="G8:G10" si="2">"0B0101"&amp;DEC2HEX(C8,2)</f>
        <v>0B010102</v>
      </c>
      <c r="H8" s="6" t="str">
        <f t="shared" ref="H8:H11" si="3">DEC2HEX(1024+(C8-1)*256)</f>
        <v>500</v>
      </c>
      <c r="I8" s="33">
        <v>5</v>
      </c>
      <c r="J8" s="33">
        <v>2</v>
      </c>
      <c r="K8" s="63">
        <f t="shared" ref="K8:K11" si="4">IF(MOD(J8,2)=0,ROUND($D$1/(0.04233333333/32),0),0)</f>
        <v>34772</v>
      </c>
      <c r="L8" s="63">
        <f t="shared" ref="L8" si="5">ROUND((J8-1)*$D$2/(0.04233333333),0)</f>
        <v>1272</v>
      </c>
      <c r="M8" s="63">
        <f t="shared" ref="M8:M14" ca="1" si="6">INDIRECT(ADDRESS(6+($J8-1)*4+0,2,,,"Voltage Scaling"))</f>
        <v>14.645</v>
      </c>
      <c r="N8" s="63">
        <f t="shared" ref="N8:N14" ca="1" si="7">INDIRECT(ADDRESS(6+($J8-1)*4+1,2,,,"Voltage Scaling"))</f>
        <v>14.645</v>
      </c>
      <c r="O8" s="63">
        <f t="shared" ref="O8:O14" ca="1" si="8">INDIRECT(ADDRESS(6+($J8-1)*4+2,2,,,"Voltage Scaling"))</f>
        <v>14.454999999999998</v>
      </c>
      <c r="P8" s="63">
        <f t="shared" ref="P8:P14" ca="1" si="9">INDIRECT(ADDRESS(6+($J8-1)*4+3,2,,,"Voltage Scaling"))</f>
        <v>14.55</v>
      </c>
      <c r="Q8" s="33">
        <v>5</v>
      </c>
      <c r="R8" s="33">
        <v>4</v>
      </c>
      <c r="S8" s="63">
        <f t="shared" ref="S8:S11" si="10">IF(MOD(R8,2)=0,ROUND($D$1/(0.04233333333/32),0),0)</f>
        <v>34772</v>
      </c>
      <c r="T8" s="63">
        <f t="shared" ref="T8" si="11">ROUND((R8-1)*$D$2/(0.04233333333),0)</f>
        <v>3815</v>
      </c>
      <c r="U8" s="63">
        <f ca="1">INDIRECT(ADDRESS(6+($R8-1)*4+0,2,,,"Voltage Scaling"))</f>
        <v>15.5</v>
      </c>
      <c r="V8" s="63">
        <f t="shared" ref="V8:V14" ca="1" si="12">INDIRECT(ADDRESS(6+($R8-1)*4+1,2,,,"Voltage Scaling"))</f>
        <v>15.215</v>
      </c>
      <c r="W8" s="63">
        <f t="shared" ref="W8:W14" ca="1" si="13">INDIRECT(ADDRESS(6+($R8-1)*4+2,2,,,"Voltage Scaling"))</f>
        <v>15.594999999999999</v>
      </c>
      <c r="X8" s="63">
        <f t="shared" ref="X8:X14" ca="1" si="14">INDIRECT(ADDRESS(6+($R8-1)*4+3,2,,,"Voltage Scaling"))</f>
        <v>15.309999999999999</v>
      </c>
      <c r="Y8" s="33">
        <v>5</v>
      </c>
      <c r="Z8" s="33">
        <v>6</v>
      </c>
      <c r="AA8" s="63">
        <f t="shared" ref="AA8:AA11" si="15">IF(MOD(Z8,2)=0,ROUND($D$1/(0.04233333333/32),0),0)</f>
        <v>34772</v>
      </c>
      <c r="AB8" s="63">
        <f t="shared" ref="AB8" si="16">ROUND((Z8-1)*$D$2/(0.04233333333),0)</f>
        <v>6359</v>
      </c>
      <c r="AC8" s="63">
        <f t="shared" ref="AC8:AC14" ca="1" si="17">INDIRECT(ADDRESS(6+($Z8-1)*4+0,2,,,"Voltage Scaling"))</f>
        <v>15.215</v>
      </c>
      <c r="AD8" s="63">
        <f t="shared" ref="AD8:AD14" ca="1" si="18">INDIRECT(ADDRESS(6+($Z8-1)*4+1,2,,,"Voltage Scaling"))</f>
        <v>15.215</v>
      </c>
      <c r="AE8" s="63">
        <f t="shared" ref="AE8:AE14" ca="1" si="19">INDIRECT(ADDRESS(6+($Z8-1)*4+2,2,,,"Voltage Scaling"))</f>
        <v>14.170000000000002</v>
      </c>
      <c r="AF8" s="63">
        <f t="shared" ref="AF8:AF14" ca="1" si="20">INDIRECT(ADDRESS(6+($Z8-1)*4+3,2,,,"Voltage Scaling"))</f>
        <v>14.36</v>
      </c>
      <c r="AG8" s="33">
        <v>5</v>
      </c>
      <c r="AH8" s="33"/>
      <c r="AI8" s="63">
        <f t="shared" ref="AI8:AI11" si="21">IF(MOD(AH8,2)=0,ROUND($D$1/(0.04233333333/32),0),0)</f>
        <v>34772</v>
      </c>
      <c r="AJ8" s="63">
        <v>0</v>
      </c>
      <c r="AK8" s="63">
        <f t="shared" ref="AK8:AK14" ca="1" si="22">INDIRECT(ADDRESS(6+($AH8-1)*4+0,2,,,"Voltage Scaling"))</f>
        <v>0</v>
      </c>
      <c r="AL8" s="63">
        <f t="shared" ref="AL8:AL14" ca="1" si="23">INDIRECT(ADDRESS(6+($AH8-1)*4+1,2,,,"Voltage Scaling"))</f>
        <v>0</v>
      </c>
      <c r="AM8" s="63">
        <f t="shared" ref="AM8:AM14" ca="1" si="24">INDIRECT(ADDRESS(6+($AH8-1)*4+2,2,,,"Voltage Scaling"))</f>
        <v>0</v>
      </c>
      <c r="AN8" s="63">
        <v>0</v>
      </c>
      <c r="AO8" s="6" t="s">
        <v>208</v>
      </c>
      <c r="AP8" s="6" t="s">
        <v>209</v>
      </c>
      <c r="AQ8" s="6" t="s">
        <v>136</v>
      </c>
      <c r="AR8" s="6" t="s">
        <v>136</v>
      </c>
      <c r="AS8" s="6" t="s">
        <v>210</v>
      </c>
    </row>
    <row r="9" spans="1:45">
      <c r="A9" s="5" t="s">
        <v>219</v>
      </c>
      <c r="B9" s="5">
        <v>7</v>
      </c>
      <c r="C9" s="5">
        <v>3</v>
      </c>
      <c r="D9" s="85" t="s">
        <v>267</v>
      </c>
      <c r="E9" s="85" t="s">
        <v>141</v>
      </c>
      <c r="F9" s="86" t="str">
        <f>"1A11000000"&amp;DEC2HEX(C9,2)</f>
        <v>1A1100000003</v>
      </c>
      <c r="G9" s="14" t="str">
        <f t="shared" si="2"/>
        <v>0B010103</v>
      </c>
      <c r="H9" s="6" t="str">
        <f t="shared" si="3"/>
        <v>600</v>
      </c>
      <c r="I9" s="5">
        <v>5</v>
      </c>
      <c r="J9" s="33">
        <v>7</v>
      </c>
      <c r="K9" s="63">
        <f t="shared" si="4"/>
        <v>0</v>
      </c>
      <c r="L9" s="63">
        <f>ROUND((J9-1-6)*$D$2/(0.04233333333),0)</f>
        <v>0</v>
      </c>
      <c r="M9" s="63">
        <f t="shared" ca="1" si="6"/>
        <v>14.739999999999998</v>
      </c>
      <c r="N9" s="63">
        <f t="shared" ca="1" si="7"/>
        <v>14.929999999999996</v>
      </c>
      <c r="O9" s="63">
        <f t="shared" ca="1" si="8"/>
        <v>15.215</v>
      </c>
      <c r="P9" s="63">
        <f t="shared" ca="1" si="9"/>
        <v>15.309999999999999</v>
      </c>
      <c r="Q9" s="5">
        <v>5</v>
      </c>
      <c r="R9" s="33">
        <v>9</v>
      </c>
      <c r="S9" s="63">
        <f t="shared" si="10"/>
        <v>0</v>
      </c>
      <c r="T9" s="63">
        <f>ROUND((R9-1-6)*$D$2/(0.04233333333),0)</f>
        <v>2543</v>
      </c>
      <c r="U9" s="63">
        <f t="shared" ref="U9:U14" ca="1" si="25">INDIRECT(ADDRESS(6+($R9-1)*4+0,2,,,"Voltage Scaling"))</f>
        <v>15.215</v>
      </c>
      <c r="V9" s="63">
        <f t="shared" ca="1" si="12"/>
        <v>14.835000000000001</v>
      </c>
      <c r="W9" s="63">
        <f t="shared" ca="1" si="13"/>
        <v>14.929999999999996</v>
      </c>
      <c r="X9" s="63">
        <f t="shared" ca="1" si="14"/>
        <v>14.739999999999998</v>
      </c>
      <c r="Y9" s="5">
        <v>5</v>
      </c>
      <c r="Z9" s="33">
        <v>11</v>
      </c>
      <c r="AA9" s="63">
        <f t="shared" si="15"/>
        <v>0</v>
      </c>
      <c r="AB9" s="63">
        <f>ROUND((Z9-1-6)*$D$2/(0.04233333333),0)</f>
        <v>5087</v>
      </c>
      <c r="AC9" s="63">
        <f t="shared" ca="1" si="17"/>
        <v>14.835000000000001</v>
      </c>
      <c r="AD9" s="63">
        <f t="shared" ca="1" si="18"/>
        <v>14.55</v>
      </c>
      <c r="AE9" s="63">
        <f t="shared" ca="1" si="19"/>
        <v>14.835000000000001</v>
      </c>
      <c r="AF9" s="63">
        <f t="shared" ca="1" si="20"/>
        <v>14.739999999999998</v>
      </c>
      <c r="AG9" s="5">
        <v>5</v>
      </c>
      <c r="AH9" s="33"/>
      <c r="AI9" s="63">
        <f t="shared" si="21"/>
        <v>34772</v>
      </c>
      <c r="AJ9" s="63">
        <v>0</v>
      </c>
      <c r="AK9" s="63">
        <f t="shared" ca="1" si="22"/>
        <v>0</v>
      </c>
      <c r="AL9" s="63">
        <f t="shared" ca="1" si="23"/>
        <v>0</v>
      </c>
      <c r="AM9" s="63">
        <f t="shared" ca="1" si="24"/>
        <v>0</v>
      </c>
      <c r="AN9" s="63">
        <v>0</v>
      </c>
      <c r="AO9" s="6" t="s">
        <v>208</v>
      </c>
      <c r="AP9" s="6" t="s">
        <v>209</v>
      </c>
      <c r="AQ9" s="6" t="s">
        <v>136</v>
      </c>
      <c r="AR9" s="6" t="s">
        <v>136</v>
      </c>
      <c r="AS9" s="6" t="s">
        <v>210</v>
      </c>
    </row>
    <row r="10" spans="1:45">
      <c r="A10" s="5" t="s">
        <v>220</v>
      </c>
      <c r="B10" s="5">
        <v>7</v>
      </c>
      <c r="C10" s="5">
        <v>4</v>
      </c>
      <c r="D10" s="85" t="s">
        <v>267</v>
      </c>
      <c r="E10" s="85" t="s">
        <v>141</v>
      </c>
      <c r="F10" s="86" t="str">
        <f>"1A11000000"&amp;DEC2HEX(C10,2)</f>
        <v>1A1100000004</v>
      </c>
      <c r="G10" s="14" t="str">
        <f t="shared" si="2"/>
        <v>0B010104</v>
      </c>
      <c r="H10" s="6" t="str">
        <f t="shared" si="3"/>
        <v>700</v>
      </c>
      <c r="I10" s="33">
        <v>5</v>
      </c>
      <c r="J10" s="33">
        <v>8</v>
      </c>
      <c r="K10" s="63">
        <f t="shared" si="4"/>
        <v>34772</v>
      </c>
      <c r="L10" s="63">
        <f>ROUND((J10-1-6)*$D$2/(0.04233333333),0)</f>
        <v>1272</v>
      </c>
      <c r="M10" s="63">
        <f t="shared" ca="1" si="6"/>
        <v>15.5</v>
      </c>
      <c r="N10" s="63">
        <f t="shared" ca="1" si="7"/>
        <v>14.929999999999996</v>
      </c>
      <c r="O10" s="63">
        <f t="shared" ca="1" si="8"/>
        <v>15.120000000000001</v>
      </c>
      <c r="P10" s="63">
        <f t="shared" ca="1" si="9"/>
        <v>14.645</v>
      </c>
      <c r="Q10" s="33">
        <v>5</v>
      </c>
      <c r="R10" s="33">
        <v>10</v>
      </c>
      <c r="S10" s="63">
        <f t="shared" si="10"/>
        <v>34772</v>
      </c>
      <c r="T10" s="63">
        <f>ROUND((R10-1-6)*$D$2/(0.04233333333),0)</f>
        <v>3815</v>
      </c>
      <c r="U10" s="63">
        <f t="shared" ca="1" si="25"/>
        <v>16.354999999999997</v>
      </c>
      <c r="V10" s="63">
        <f t="shared" ca="1" si="12"/>
        <v>16.259999999999998</v>
      </c>
      <c r="W10" s="63">
        <f t="shared" ca="1" si="13"/>
        <v>14.264999999999997</v>
      </c>
      <c r="X10" s="63">
        <f t="shared" ca="1" si="14"/>
        <v>14.739999999999998</v>
      </c>
      <c r="Y10" s="33">
        <v>5</v>
      </c>
      <c r="Z10" s="33">
        <v>12</v>
      </c>
      <c r="AA10" s="63">
        <f t="shared" si="15"/>
        <v>34772</v>
      </c>
      <c r="AB10" s="63">
        <f>ROUND((Z10-1-6)*$D$2/(0.04233333333),0)</f>
        <v>6359</v>
      </c>
      <c r="AC10" s="63">
        <f t="shared" ca="1" si="17"/>
        <v>14.645</v>
      </c>
      <c r="AD10" s="63">
        <f t="shared" ca="1" si="18"/>
        <v>14.55</v>
      </c>
      <c r="AE10" s="63">
        <f t="shared" ca="1" si="19"/>
        <v>14.739999999999998</v>
      </c>
      <c r="AF10" s="63">
        <f t="shared" ca="1" si="20"/>
        <v>14.264999999999997</v>
      </c>
      <c r="AG10" s="33">
        <v>5</v>
      </c>
      <c r="AH10" s="33"/>
      <c r="AI10" s="63">
        <f t="shared" si="21"/>
        <v>34772</v>
      </c>
      <c r="AJ10" s="63">
        <v>0</v>
      </c>
      <c r="AK10" s="63">
        <f t="shared" ca="1" si="22"/>
        <v>0</v>
      </c>
      <c r="AL10" s="63">
        <f t="shared" ca="1" si="23"/>
        <v>0</v>
      </c>
      <c r="AM10" s="63">
        <f t="shared" ca="1" si="24"/>
        <v>0</v>
      </c>
      <c r="AN10" s="63">
        <v>0</v>
      </c>
      <c r="AO10" s="6" t="s">
        <v>208</v>
      </c>
      <c r="AP10" s="6" t="s">
        <v>209</v>
      </c>
      <c r="AQ10" s="6" t="s">
        <v>136</v>
      </c>
      <c r="AR10" s="6" t="s">
        <v>136</v>
      </c>
      <c r="AS10" s="6" t="s">
        <v>210</v>
      </c>
    </row>
    <row r="11" spans="1:45">
      <c r="A11" s="5" t="s">
        <v>221</v>
      </c>
      <c r="B11" s="5">
        <v>7</v>
      </c>
      <c r="C11" s="5">
        <v>5</v>
      </c>
      <c r="D11" s="85" t="s">
        <v>267</v>
      </c>
      <c r="E11" s="85" t="s">
        <v>141</v>
      </c>
      <c r="F11" s="86" t="str">
        <f>"1A11000000"&amp;DEC2HEX(C11,2)</f>
        <v>1A1100000005</v>
      </c>
      <c r="G11" s="14" t="str">
        <f>"0B0101"&amp;DEC2HEX(C11,2)</f>
        <v>0B010105</v>
      </c>
      <c r="H11" s="6" t="str">
        <f t="shared" si="3"/>
        <v>800</v>
      </c>
      <c r="I11" s="5">
        <v>4</v>
      </c>
      <c r="J11" s="33">
        <v>13</v>
      </c>
      <c r="K11" s="63">
        <f t="shared" si="4"/>
        <v>0</v>
      </c>
      <c r="L11" s="63">
        <f>ROUND((J11-1-12)*$D$2/(0.04233333333),0)</f>
        <v>0</v>
      </c>
      <c r="M11" s="63">
        <f t="shared" ca="1" si="6"/>
        <v>15.215</v>
      </c>
      <c r="N11" s="63">
        <f t="shared" ca="1" si="7"/>
        <v>15.215</v>
      </c>
      <c r="O11" s="63">
        <f t="shared" ca="1" si="8"/>
        <v>14.55</v>
      </c>
      <c r="P11" s="63">
        <f t="shared" ca="1" si="9"/>
        <v>14.454999999999998</v>
      </c>
      <c r="Q11" s="5">
        <v>4</v>
      </c>
      <c r="R11" s="33">
        <v>15</v>
      </c>
      <c r="S11" s="63">
        <f t="shared" si="10"/>
        <v>0</v>
      </c>
      <c r="T11" s="63">
        <f>ROUND((R11-1-12)*$D$2/(0.04233333333),0)</f>
        <v>2543</v>
      </c>
      <c r="U11" s="63">
        <f t="shared" ca="1" si="25"/>
        <v>14.55</v>
      </c>
      <c r="V11" s="63">
        <f t="shared" ca="1" si="12"/>
        <v>14.55</v>
      </c>
      <c r="W11" s="63">
        <f t="shared" ca="1" si="13"/>
        <v>14.36</v>
      </c>
      <c r="X11" s="63">
        <f t="shared" ca="1" si="14"/>
        <v>14.645</v>
      </c>
      <c r="Y11" s="5">
        <v>4</v>
      </c>
      <c r="Z11" s="33">
        <v>17</v>
      </c>
      <c r="AA11" s="63">
        <f t="shared" si="15"/>
        <v>0</v>
      </c>
      <c r="AB11" s="63">
        <f>ROUND((Z11-1-12)*$D$2/(0.04233333333),0)</f>
        <v>5087</v>
      </c>
      <c r="AC11" s="63">
        <f t="shared" ca="1" si="17"/>
        <v>14.074999999999999</v>
      </c>
      <c r="AD11" s="63">
        <f t="shared" ca="1" si="18"/>
        <v>14.170000000000002</v>
      </c>
      <c r="AE11" s="63">
        <f t="shared" ca="1" si="19"/>
        <v>13.885000000000002</v>
      </c>
      <c r="AF11" s="63">
        <f t="shared" ca="1" si="20"/>
        <v>14.074999999999999</v>
      </c>
      <c r="AG11" s="5">
        <v>4</v>
      </c>
      <c r="AH11" s="33"/>
      <c r="AI11" s="63">
        <f t="shared" si="21"/>
        <v>34772</v>
      </c>
      <c r="AJ11" s="63">
        <v>0</v>
      </c>
      <c r="AK11" s="63">
        <f t="shared" ca="1" si="22"/>
        <v>0</v>
      </c>
      <c r="AL11" s="63">
        <f t="shared" ca="1" si="23"/>
        <v>0</v>
      </c>
      <c r="AM11" s="63">
        <f t="shared" ca="1" si="24"/>
        <v>0</v>
      </c>
      <c r="AN11" s="63">
        <v>0</v>
      </c>
      <c r="AO11" s="6" t="s">
        <v>208</v>
      </c>
      <c r="AP11" s="6" t="s">
        <v>209</v>
      </c>
      <c r="AQ11" s="6" t="s">
        <v>136</v>
      </c>
      <c r="AR11" s="6" t="s">
        <v>136</v>
      </c>
      <c r="AS11" s="6" t="s">
        <v>210</v>
      </c>
    </row>
    <row r="12" spans="1:45">
      <c r="A12" s="5" t="s">
        <v>222</v>
      </c>
      <c r="B12" s="5">
        <v>7</v>
      </c>
      <c r="C12" s="5">
        <v>6</v>
      </c>
      <c r="D12" s="85" t="s">
        <v>267</v>
      </c>
      <c r="E12" s="85" t="s">
        <v>141</v>
      </c>
      <c r="F12" s="86" t="str">
        <f>"1A11000000"&amp;DEC2HEX(C12,2)</f>
        <v>1A1100000006</v>
      </c>
      <c r="G12" s="14" t="str">
        <f>"0B0101"&amp;DEC2HEX(C12,2)</f>
        <v>0B010106</v>
      </c>
      <c r="H12" s="6" t="str">
        <f t="shared" ref="H12" si="26">DEC2HEX(1024+(C12-1)*256)</f>
        <v>900</v>
      </c>
      <c r="I12" s="5">
        <v>4</v>
      </c>
      <c r="J12" s="33">
        <v>14</v>
      </c>
      <c r="K12" s="63">
        <f>IF(MOD(J12,2)=0,ROUND($D$1/(0.04233333333/32),0),0)</f>
        <v>34772</v>
      </c>
      <c r="L12" s="63">
        <f>ROUND((J12-1-12)*$D$2/(0.04233333333),0)</f>
        <v>1272</v>
      </c>
      <c r="M12" s="63">
        <f t="shared" ca="1" si="6"/>
        <v>15.309999999999999</v>
      </c>
      <c r="N12" s="63">
        <f t="shared" ca="1" si="7"/>
        <v>15.215</v>
      </c>
      <c r="O12" s="63">
        <f t="shared" ca="1" si="8"/>
        <v>14.170000000000002</v>
      </c>
      <c r="P12" s="63">
        <f t="shared" ca="1" si="9"/>
        <v>14.36</v>
      </c>
      <c r="Q12" s="5">
        <v>4</v>
      </c>
      <c r="R12" s="33">
        <v>16</v>
      </c>
      <c r="S12" s="63">
        <f t="shared" ref="S12" si="27">IF(MOD(R12,2)=0,ROUND($D$1/(0.04233333333/32),0),0)</f>
        <v>34772</v>
      </c>
      <c r="T12" s="63">
        <f>ROUND((R12-1-12)*$D$2/(0.04233333333),0)</f>
        <v>3815</v>
      </c>
      <c r="U12" s="63">
        <f t="shared" ca="1" si="25"/>
        <v>15.5</v>
      </c>
      <c r="V12" s="63">
        <f t="shared" ca="1" si="12"/>
        <v>15.5</v>
      </c>
      <c r="W12" s="63">
        <f t="shared" ca="1" si="13"/>
        <v>14.170000000000002</v>
      </c>
      <c r="X12" s="63">
        <f t="shared" ca="1" si="14"/>
        <v>14.645</v>
      </c>
      <c r="Y12" s="5">
        <v>4</v>
      </c>
      <c r="Z12" s="33">
        <v>18</v>
      </c>
      <c r="AA12" s="63">
        <f t="shared" ref="AA12" si="28">IF(MOD(Z12,2)=0,ROUND($D$1/(0.04233333333/32),0),0)</f>
        <v>34772</v>
      </c>
      <c r="AB12" s="63">
        <f>ROUND((Z12-1-12)*$D$2/(0.04233333333),0)</f>
        <v>6359</v>
      </c>
      <c r="AC12" s="63">
        <f t="shared" ca="1" si="17"/>
        <v>15.594999999999999</v>
      </c>
      <c r="AD12" s="63">
        <f t="shared" ca="1" si="18"/>
        <v>16.07</v>
      </c>
      <c r="AE12" s="63">
        <f t="shared" ca="1" si="19"/>
        <v>14.929999999999996</v>
      </c>
      <c r="AF12" s="63">
        <f t="shared" ca="1" si="20"/>
        <v>14.929999999999996</v>
      </c>
      <c r="AG12" s="5">
        <v>4</v>
      </c>
      <c r="AH12" s="33"/>
      <c r="AI12" s="63">
        <f>IF(MOD(AH12,2)=0,ROUND($D$1/(0.04233333333/32),0),0)</f>
        <v>34772</v>
      </c>
      <c r="AJ12" s="63">
        <v>0</v>
      </c>
      <c r="AK12" s="63">
        <f t="shared" ca="1" si="22"/>
        <v>0</v>
      </c>
      <c r="AL12" s="63">
        <f t="shared" ca="1" si="23"/>
        <v>0</v>
      </c>
      <c r="AM12" s="63">
        <f t="shared" ca="1" si="24"/>
        <v>0</v>
      </c>
      <c r="AN12" s="63">
        <v>0</v>
      </c>
      <c r="AO12" s="6" t="s">
        <v>208</v>
      </c>
      <c r="AP12" s="6" t="s">
        <v>209</v>
      </c>
      <c r="AQ12" s="6" t="s">
        <v>136</v>
      </c>
      <c r="AR12" s="6" t="s">
        <v>136</v>
      </c>
      <c r="AS12" s="6" t="s">
        <v>210</v>
      </c>
    </row>
    <row r="13" spans="1:45">
      <c r="A13" s="5" t="s">
        <v>223</v>
      </c>
      <c r="B13" s="5">
        <v>7</v>
      </c>
      <c r="C13" s="5">
        <v>7</v>
      </c>
      <c r="D13" s="85" t="s">
        <v>267</v>
      </c>
      <c r="E13" s="85" t="s">
        <v>141</v>
      </c>
      <c r="F13" s="86" t="str">
        <f>"1A11000000"&amp;DEC2HEX(C13,2)</f>
        <v>1A1100000007</v>
      </c>
      <c r="G13" s="14" t="str">
        <f>"0B0101"&amp;DEC2HEX(C13,2)</f>
        <v>0B010107</v>
      </c>
      <c r="H13" s="6" t="str">
        <f t="shared" ref="H13:H14" si="29">DEC2HEX(1024+(C13-1)*256)</f>
        <v>A00</v>
      </c>
      <c r="I13" s="5">
        <v>4</v>
      </c>
      <c r="J13" s="33">
        <v>19</v>
      </c>
      <c r="K13" s="63">
        <f t="shared" ref="K13:K14" si="30">IF(MOD(J13,2)=0,ROUND($D$1/(0.04233333333/32),0),0)</f>
        <v>0</v>
      </c>
      <c r="L13" s="63">
        <f>ROUND((J13-1-18)*$D$2/(0.04233333333),0)</f>
        <v>0</v>
      </c>
      <c r="M13" s="63">
        <f t="shared" ca="1" si="6"/>
        <v>14.645</v>
      </c>
      <c r="N13" s="63">
        <f t="shared" ca="1" si="7"/>
        <v>14.645</v>
      </c>
      <c r="O13" s="63">
        <f t="shared" ca="1" si="8"/>
        <v>13.695</v>
      </c>
      <c r="P13" s="63">
        <f t="shared" ca="1" si="9"/>
        <v>14.835000000000001</v>
      </c>
      <c r="Q13" s="5">
        <v>4</v>
      </c>
      <c r="R13" s="33">
        <v>21</v>
      </c>
      <c r="S13" s="63">
        <f t="shared" ref="S13:S14" si="31">IF(MOD(R13,2)=0,ROUND($D$1/(0.04233333333/32),0),0)</f>
        <v>0</v>
      </c>
      <c r="T13" s="63">
        <f>ROUND((R13-1-18)*$D$2/(0.04233333333),0)</f>
        <v>2543</v>
      </c>
      <c r="U13" s="63">
        <f t="shared" ca="1" si="25"/>
        <v>14.264999999999997</v>
      </c>
      <c r="V13" s="63">
        <f t="shared" ca="1" si="12"/>
        <v>14.55</v>
      </c>
      <c r="W13" s="63">
        <f t="shared" ca="1" si="13"/>
        <v>14.36</v>
      </c>
      <c r="X13" s="63">
        <f t="shared" ca="1" si="14"/>
        <v>14.835000000000001</v>
      </c>
      <c r="Y13" s="5">
        <v>4</v>
      </c>
      <c r="Z13" s="33">
        <v>23</v>
      </c>
      <c r="AA13" s="63">
        <f t="shared" ref="AA13:AA14" si="32">IF(MOD(Z13,2)=0,ROUND($D$1/(0.04233333333/32),0),0)</f>
        <v>0</v>
      </c>
      <c r="AB13" s="63">
        <f>ROUND((Z13-1-18)*$D$2/(0.04233333333),0)</f>
        <v>5087</v>
      </c>
      <c r="AC13" s="63">
        <f t="shared" ca="1" si="17"/>
        <v>14.929999999999996</v>
      </c>
      <c r="AD13" s="63">
        <f t="shared" ca="1" si="18"/>
        <v>15.120000000000001</v>
      </c>
      <c r="AE13" s="63">
        <f t="shared" ca="1" si="19"/>
        <v>14.739999999999998</v>
      </c>
      <c r="AF13" s="63">
        <f t="shared" ca="1" si="20"/>
        <v>14.835000000000001</v>
      </c>
      <c r="AG13" s="5">
        <v>4</v>
      </c>
      <c r="AH13" s="33"/>
      <c r="AI13" s="63">
        <f t="shared" ref="AI13:AI14" si="33">IF(MOD(AH13,2)=0,ROUND($D$1/(0.04233333333/32),0),0)</f>
        <v>34772</v>
      </c>
      <c r="AJ13" s="63">
        <v>0</v>
      </c>
      <c r="AK13" s="63">
        <f t="shared" ca="1" si="22"/>
        <v>0</v>
      </c>
      <c r="AL13" s="63">
        <f t="shared" ca="1" si="23"/>
        <v>0</v>
      </c>
      <c r="AM13" s="63">
        <f t="shared" ca="1" si="24"/>
        <v>0</v>
      </c>
      <c r="AN13" s="63">
        <v>0</v>
      </c>
      <c r="AO13" s="6" t="s">
        <v>208</v>
      </c>
      <c r="AP13" s="6" t="s">
        <v>209</v>
      </c>
      <c r="AQ13" s="6" t="s">
        <v>136</v>
      </c>
      <c r="AR13" s="6" t="s">
        <v>136</v>
      </c>
      <c r="AS13" s="6" t="s">
        <v>210</v>
      </c>
    </row>
    <row r="14" spans="1:45">
      <c r="A14" s="5" t="s">
        <v>224</v>
      </c>
      <c r="B14" s="5">
        <v>7</v>
      </c>
      <c r="C14" s="5">
        <v>8</v>
      </c>
      <c r="D14" s="85" t="s">
        <v>267</v>
      </c>
      <c r="E14" s="85" t="s">
        <v>141</v>
      </c>
      <c r="F14" s="86" t="str">
        <f>"1A11000000"&amp;DEC2HEX(C14,2)</f>
        <v>1A1100000008</v>
      </c>
      <c r="G14" s="14" t="str">
        <f>"0B0101"&amp;DEC2HEX(C14,2)</f>
        <v>0B010108</v>
      </c>
      <c r="H14" s="6" t="str">
        <f t="shared" si="29"/>
        <v>B00</v>
      </c>
      <c r="I14" s="5">
        <v>4</v>
      </c>
      <c r="J14" s="33">
        <v>20</v>
      </c>
      <c r="K14" s="63">
        <f t="shared" si="30"/>
        <v>34772</v>
      </c>
      <c r="L14" s="63">
        <f>ROUND((J14-1-18)*$D$2/(0.04233333333),0)</f>
        <v>1272</v>
      </c>
      <c r="M14" s="63">
        <f t="shared" ca="1" si="6"/>
        <v>14.739999999999998</v>
      </c>
      <c r="N14" s="63">
        <f t="shared" ca="1" si="7"/>
        <v>14.55</v>
      </c>
      <c r="O14" s="63">
        <f t="shared" ca="1" si="8"/>
        <v>14.55</v>
      </c>
      <c r="P14" s="63">
        <f t="shared" ca="1" si="9"/>
        <v>14.264999999999997</v>
      </c>
      <c r="Q14" s="5">
        <v>4</v>
      </c>
      <c r="R14" s="33">
        <v>22</v>
      </c>
      <c r="S14" s="63">
        <f t="shared" si="31"/>
        <v>34772</v>
      </c>
      <c r="T14" s="63">
        <f>ROUND((R14-1-18)*$D$2/(0.04233333333),0)</f>
        <v>3815</v>
      </c>
      <c r="U14" s="63">
        <f t="shared" ca="1" si="25"/>
        <v>15.5</v>
      </c>
      <c r="V14" s="63">
        <f t="shared" ca="1" si="12"/>
        <v>15.215</v>
      </c>
      <c r="W14" s="63">
        <f t="shared" ca="1" si="13"/>
        <v>15.024999999999999</v>
      </c>
      <c r="X14" s="63">
        <f t="shared" ca="1" si="14"/>
        <v>14.929999999999996</v>
      </c>
      <c r="Y14" s="5">
        <v>4</v>
      </c>
      <c r="Z14" s="33">
        <v>24</v>
      </c>
      <c r="AA14" s="63">
        <f t="shared" si="32"/>
        <v>34772</v>
      </c>
      <c r="AB14" s="63">
        <f>ROUND((Z14-1-18)*$D$2/(0.04233333333),0)</f>
        <v>6359</v>
      </c>
      <c r="AC14" s="63">
        <f t="shared" ca="1" si="17"/>
        <v>15.309999999999999</v>
      </c>
      <c r="AD14" s="63">
        <f t="shared" ca="1" si="18"/>
        <v>14.929999999999996</v>
      </c>
      <c r="AE14" s="63">
        <f t="shared" ca="1" si="19"/>
        <v>15.024999999999999</v>
      </c>
      <c r="AF14" s="63">
        <f t="shared" ca="1" si="20"/>
        <v>14.835000000000001</v>
      </c>
      <c r="AG14" s="5">
        <v>4</v>
      </c>
      <c r="AH14" s="33"/>
      <c r="AI14" s="63">
        <f t="shared" si="33"/>
        <v>34772</v>
      </c>
      <c r="AJ14" s="63">
        <v>0</v>
      </c>
      <c r="AK14" s="63">
        <f t="shared" ca="1" si="22"/>
        <v>0</v>
      </c>
      <c r="AL14" s="63">
        <f t="shared" ca="1" si="23"/>
        <v>0</v>
      </c>
      <c r="AM14" s="63">
        <f t="shared" ca="1" si="24"/>
        <v>0</v>
      </c>
      <c r="AN14" s="63">
        <v>0</v>
      </c>
      <c r="AO14" s="6" t="s">
        <v>208</v>
      </c>
      <c r="AP14" s="6" t="s">
        <v>209</v>
      </c>
      <c r="AQ14" s="6" t="s">
        <v>136</v>
      </c>
      <c r="AR14" s="6" t="s">
        <v>136</v>
      </c>
      <c r="AS14" s="6" t="s">
        <v>210</v>
      </c>
    </row>
    <row r="15" spans="1:45">
      <c r="E15" s="41"/>
    </row>
    <row r="16" spans="1:45">
      <c r="N16" s="33"/>
      <c r="O16" s="33"/>
    </row>
    <row r="20" spans="2:6">
      <c r="B20" s="55"/>
    </row>
    <row r="31" spans="2:6">
      <c r="D31" s="85" t="s">
        <v>267</v>
      </c>
      <c r="E31" s="85" t="s">
        <v>141</v>
      </c>
      <c r="F31" s="5" t="s">
        <v>185</v>
      </c>
    </row>
    <row r="32" spans="2:6">
      <c r="D32" s="92" t="s">
        <v>225</v>
      </c>
      <c r="E32" s="87" t="s">
        <v>186</v>
      </c>
      <c r="F32" s="5" t="s">
        <v>187</v>
      </c>
    </row>
    <row r="33" spans="4:6">
      <c r="D33" s="93" t="s">
        <v>226</v>
      </c>
      <c r="E33" s="88" t="s">
        <v>188</v>
      </c>
      <c r="F33" s="5" t="s">
        <v>189</v>
      </c>
    </row>
    <row r="34" spans="4:6">
      <c r="D34" s="94" t="s">
        <v>227</v>
      </c>
      <c r="E34" s="89" t="s">
        <v>190</v>
      </c>
      <c r="F34" s="5" t="s">
        <v>191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J165"/>
  <sheetViews>
    <sheetView zoomScaleNormal="100" workbookViewId="0">
      <selection activeCell="B8" sqref="B8"/>
    </sheetView>
  </sheetViews>
  <sheetFormatPr baseColWidth="10" defaultColWidth="11.42578125" defaultRowHeight="12.75"/>
  <sheetData>
    <row r="1" spans="1:10" s="7" customFormat="1">
      <c r="A1" s="65" t="s">
        <v>107</v>
      </c>
      <c r="B1" s="65"/>
      <c r="C1" s="65"/>
      <c r="D1" s="65"/>
      <c r="E1" s="65"/>
      <c r="F1" s="65"/>
      <c r="G1" s="65"/>
      <c r="H1" s="65"/>
      <c r="I1" s="65"/>
      <c r="J1" s="65"/>
    </row>
    <row r="2" spans="1:10" s="7" customFormat="1">
      <c r="A2" s="7" t="s">
        <v>115</v>
      </c>
      <c r="C2" s="5" t="s">
        <v>113</v>
      </c>
      <c r="D2" s="5"/>
      <c r="E2" s="5" t="s">
        <v>114</v>
      </c>
      <c r="F2" s="5"/>
      <c r="G2" s="5"/>
      <c r="H2" s="5"/>
      <c r="I2" s="6" t="s">
        <v>112</v>
      </c>
    </row>
    <row r="3" spans="1:10" s="7" customFormat="1">
      <c r="A3" s="66"/>
      <c r="B3" s="66"/>
      <c r="C3" s="66" t="s">
        <v>108</v>
      </c>
      <c r="D3" s="66">
        <v>0.95</v>
      </c>
      <c r="E3" s="66" t="s">
        <v>109</v>
      </c>
      <c r="F3" s="66"/>
      <c r="G3" s="66" t="s">
        <v>110</v>
      </c>
      <c r="H3" s="66"/>
      <c r="I3" s="66" t="s">
        <v>111</v>
      </c>
      <c r="J3" s="75">
        <v>-3.5</v>
      </c>
    </row>
    <row r="4" spans="1:10" s="7" customFormat="1"/>
    <row r="5" spans="1:10">
      <c r="A5" s="58" t="s">
        <v>94</v>
      </c>
      <c r="B5" s="58" t="s">
        <v>106</v>
      </c>
      <c r="C5" s="58" t="s">
        <v>95</v>
      </c>
      <c r="D5" s="58" t="s">
        <v>116</v>
      </c>
    </row>
    <row r="6" spans="1:10">
      <c r="A6" s="59">
        <v>1.1000000000000001</v>
      </c>
      <c r="B6" s="68">
        <f>(C6*$D$3+$F$3*(C6-$H$3)+$J$3)*D6</f>
        <v>14.835000000000001</v>
      </c>
      <c r="C6" s="50">
        <f>'Ref Voltages'!AQ32</f>
        <v>19.3</v>
      </c>
      <c r="D6" s="67">
        <v>1</v>
      </c>
      <c r="E6" s="111">
        <v>1</v>
      </c>
    </row>
    <row r="7" spans="1:10">
      <c r="A7" s="59">
        <v>1.2</v>
      </c>
      <c r="B7" s="68">
        <f t="shared" ref="B7:B70" si="0">(C7*$D$3+$F$3*(C7-$H$3)+$J$3)*D7</f>
        <v>15.215</v>
      </c>
      <c r="C7" s="50">
        <f>'Ref Voltages'!AQ33</f>
        <v>19.7</v>
      </c>
      <c r="D7" s="67">
        <v>1</v>
      </c>
      <c r="E7" s="111"/>
    </row>
    <row r="8" spans="1:10">
      <c r="A8" s="59">
        <v>1.3</v>
      </c>
      <c r="B8" s="68">
        <f t="shared" si="0"/>
        <v>13.979999999999997</v>
      </c>
      <c r="C8" s="50">
        <f>'Ref Voltages'!AQ34</f>
        <v>18.399999999999999</v>
      </c>
      <c r="D8" s="67">
        <v>1</v>
      </c>
      <c r="E8" s="111"/>
    </row>
    <row r="9" spans="1:10">
      <c r="A9" s="59">
        <v>1.4</v>
      </c>
      <c r="B9" s="68">
        <f t="shared" si="0"/>
        <v>14.55</v>
      </c>
      <c r="C9" s="50">
        <f>'Ref Voltages'!AQ35</f>
        <v>19</v>
      </c>
      <c r="D9" s="67">
        <v>1</v>
      </c>
      <c r="E9" s="111"/>
    </row>
    <row r="10" spans="1:10">
      <c r="A10" s="60">
        <v>2.1</v>
      </c>
      <c r="B10" s="68">
        <f t="shared" si="0"/>
        <v>14.645</v>
      </c>
      <c r="C10" s="50">
        <f>'Ref Voltages'!AO25</f>
        <v>19.100000000000001</v>
      </c>
      <c r="D10" s="67">
        <v>1</v>
      </c>
      <c r="E10" s="111">
        <v>2</v>
      </c>
    </row>
    <row r="11" spans="1:10">
      <c r="A11" s="60">
        <v>2.2000000000000002</v>
      </c>
      <c r="B11" s="68">
        <f t="shared" si="0"/>
        <v>14.645</v>
      </c>
      <c r="C11" s="50">
        <f>'Ref Voltages'!AO26</f>
        <v>19.100000000000001</v>
      </c>
      <c r="D11" s="67">
        <v>1</v>
      </c>
      <c r="E11" s="111"/>
    </row>
    <row r="12" spans="1:10">
      <c r="A12" s="60">
        <v>2.2999999999999998</v>
      </c>
      <c r="B12" s="68">
        <f t="shared" si="0"/>
        <v>14.454999999999998</v>
      </c>
      <c r="C12" s="50">
        <f>'Ref Voltages'!AO27</f>
        <v>18.899999999999999</v>
      </c>
      <c r="D12" s="67">
        <v>1</v>
      </c>
      <c r="E12" s="111"/>
    </row>
    <row r="13" spans="1:10">
      <c r="A13" s="60">
        <v>2.4</v>
      </c>
      <c r="B13" s="68">
        <f t="shared" si="0"/>
        <v>14.55</v>
      </c>
      <c r="C13" s="50">
        <f>'Ref Voltages'!AO28</f>
        <v>19</v>
      </c>
      <c r="D13" s="67">
        <v>1</v>
      </c>
      <c r="E13" s="111"/>
    </row>
    <row r="14" spans="1:10">
      <c r="A14" s="61">
        <v>3.1</v>
      </c>
      <c r="B14" s="68">
        <f t="shared" si="0"/>
        <v>14.074999999999999</v>
      </c>
      <c r="C14" s="50">
        <f>'Ref Voltages'!AM32</f>
        <v>18.5</v>
      </c>
      <c r="D14" s="67">
        <v>1</v>
      </c>
      <c r="E14" s="111">
        <v>3</v>
      </c>
    </row>
    <row r="15" spans="1:10">
      <c r="A15" s="61">
        <v>3.2</v>
      </c>
      <c r="B15" s="68">
        <f t="shared" si="0"/>
        <v>14.55</v>
      </c>
      <c r="C15" s="50">
        <f>'Ref Voltages'!AM33</f>
        <v>19</v>
      </c>
      <c r="D15" s="67">
        <v>1</v>
      </c>
      <c r="E15" s="111"/>
    </row>
    <row r="16" spans="1:10">
      <c r="A16" s="61">
        <v>3.3</v>
      </c>
      <c r="B16" s="68">
        <f t="shared" si="0"/>
        <v>13.79</v>
      </c>
      <c r="C16" s="50">
        <f>'Ref Voltages'!AM34</f>
        <v>18.2</v>
      </c>
      <c r="D16" s="67">
        <v>1</v>
      </c>
      <c r="E16" s="111"/>
    </row>
    <row r="17" spans="1:5">
      <c r="A17" s="61">
        <v>3.4</v>
      </c>
      <c r="B17" s="68">
        <f t="shared" si="0"/>
        <v>14.36</v>
      </c>
      <c r="C17" s="50">
        <f>'Ref Voltages'!AM35</f>
        <v>18.8</v>
      </c>
      <c r="D17" s="67">
        <v>1</v>
      </c>
      <c r="E17" s="111"/>
    </row>
    <row r="18" spans="1:5">
      <c r="A18" s="62">
        <v>4.0999999999999996</v>
      </c>
      <c r="B18" s="68">
        <f t="shared" si="0"/>
        <v>15.5</v>
      </c>
      <c r="C18" s="50">
        <f>'Ref Voltages'!AK25</f>
        <v>20</v>
      </c>
      <c r="D18" s="67">
        <v>1</v>
      </c>
      <c r="E18" s="111">
        <v>4</v>
      </c>
    </row>
    <row r="19" spans="1:5">
      <c r="A19" s="62">
        <v>4.2</v>
      </c>
      <c r="B19" s="68">
        <f t="shared" si="0"/>
        <v>15.215</v>
      </c>
      <c r="C19" s="50">
        <f>'Ref Voltages'!AK26</f>
        <v>19.7</v>
      </c>
      <c r="D19" s="67">
        <v>1</v>
      </c>
      <c r="E19" s="111"/>
    </row>
    <row r="20" spans="1:5">
      <c r="A20" s="62">
        <v>4.3</v>
      </c>
      <c r="B20" s="68">
        <f t="shared" si="0"/>
        <v>15.594999999999999</v>
      </c>
      <c r="C20" s="50">
        <f>'Ref Voltages'!AK27</f>
        <v>20.100000000000001</v>
      </c>
      <c r="D20" s="67">
        <v>1</v>
      </c>
      <c r="E20" s="111"/>
    </row>
    <row r="21" spans="1:5">
      <c r="A21" s="62">
        <v>4.4000000000000004</v>
      </c>
      <c r="B21" s="68">
        <f t="shared" si="0"/>
        <v>15.309999999999999</v>
      </c>
      <c r="C21" s="50">
        <f>'Ref Voltages'!AK28</f>
        <v>19.8</v>
      </c>
      <c r="D21" s="67">
        <v>1</v>
      </c>
      <c r="E21" s="111"/>
    </row>
    <row r="22" spans="1:5">
      <c r="A22" s="59">
        <v>1.1000000000000001</v>
      </c>
      <c r="B22" s="68">
        <f t="shared" si="0"/>
        <v>14.55</v>
      </c>
      <c r="C22" s="50">
        <f>'Ref Voltages'!AI32</f>
        <v>19</v>
      </c>
      <c r="D22" s="67">
        <v>1</v>
      </c>
      <c r="E22" s="111">
        <v>5</v>
      </c>
    </row>
    <row r="23" spans="1:5">
      <c r="A23" s="59">
        <v>1.2</v>
      </c>
      <c r="B23" s="68">
        <f t="shared" si="0"/>
        <v>14.170000000000002</v>
      </c>
      <c r="C23" s="50">
        <f>'Ref Voltages'!AI33</f>
        <v>18.600000000000001</v>
      </c>
      <c r="D23" s="67">
        <v>1</v>
      </c>
      <c r="E23" s="111"/>
    </row>
    <row r="24" spans="1:5">
      <c r="A24" s="59">
        <v>1.3</v>
      </c>
      <c r="B24" s="68">
        <f t="shared" si="0"/>
        <v>14.264999999999997</v>
      </c>
      <c r="C24" s="50">
        <f>'Ref Voltages'!AI34</f>
        <v>18.7</v>
      </c>
      <c r="D24" s="67">
        <v>1</v>
      </c>
      <c r="E24" s="111"/>
    </row>
    <row r="25" spans="1:5">
      <c r="A25" s="59">
        <v>1.4</v>
      </c>
      <c r="B25" s="68">
        <f t="shared" si="0"/>
        <v>14.645</v>
      </c>
      <c r="C25" s="50">
        <f>'Ref Voltages'!AI35</f>
        <v>19.100000000000001</v>
      </c>
      <c r="D25" s="67">
        <v>1</v>
      </c>
      <c r="E25" s="111"/>
    </row>
    <row r="26" spans="1:5">
      <c r="A26" s="60">
        <v>2.1</v>
      </c>
      <c r="B26" s="68">
        <f t="shared" si="0"/>
        <v>15.215</v>
      </c>
      <c r="C26" s="50">
        <f>'Ref Voltages'!AG25</f>
        <v>19.7</v>
      </c>
      <c r="D26" s="67">
        <v>1</v>
      </c>
      <c r="E26" s="111">
        <v>6</v>
      </c>
    </row>
    <row r="27" spans="1:5">
      <c r="A27" s="60">
        <v>2.2000000000000002</v>
      </c>
      <c r="B27" s="68">
        <f t="shared" si="0"/>
        <v>15.215</v>
      </c>
      <c r="C27" s="50">
        <f>'Ref Voltages'!AG26</f>
        <v>19.7</v>
      </c>
      <c r="D27" s="67">
        <v>1</v>
      </c>
      <c r="E27" s="111"/>
    </row>
    <row r="28" spans="1:5">
      <c r="A28" s="60">
        <v>2.2999999999999998</v>
      </c>
      <c r="B28" s="68">
        <f t="shared" si="0"/>
        <v>14.170000000000002</v>
      </c>
      <c r="C28" s="50">
        <f>'Ref Voltages'!AG27</f>
        <v>18.600000000000001</v>
      </c>
      <c r="D28" s="67">
        <v>1</v>
      </c>
      <c r="E28" s="111"/>
    </row>
    <row r="29" spans="1:5">
      <c r="A29" s="60">
        <v>2.4</v>
      </c>
      <c r="B29" s="68">
        <f t="shared" si="0"/>
        <v>14.36</v>
      </c>
      <c r="C29" s="50">
        <f>'Ref Voltages'!AG28</f>
        <v>18.8</v>
      </c>
      <c r="D29" s="67">
        <v>1</v>
      </c>
      <c r="E29" s="111"/>
    </row>
    <row r="30" spans="1:5">
      <c r="A30" s="61">
        <v>3.1</v>
      </c>
      <c r="B30" s="68">
        <f t="shared" si="0"/>
        <v>14.739999999999998</v>
      </c>
      <c r="C30" s="50">
        <f>'Ref Voltages'!AE32</f>
        <v>19.2</v>
      </c>
      <c r="D30" s="67">
        <v>1</v>
      </c>
      <c r="E30" s="111">
        <v>7</v>
      </c>
    </row>
    <row r="31" spans="1:5">
      <c r="A31" s="61">
        <v>3.2</v>
      </c>
      <c r="B31" s="68">
        <f t="shared" si="0"/>
        <v>14.929999999999996</v>
      </c>
      <c r="C31" s="50">
        <f>'Ref Voltages'!AE33</f>
        <v>19.399999999999999</v>
      </c>
      <c r="D31" s="67">
        <v>1</v>
      </c>
      <c r="E31" s="111"/>
    </row>
    <row r="32" spans="1:5">
      <c r="A32" s="61">
        <v>3.3</v>
      </c>
      <c r="B32" s="68">
        <f t="shared" si="0"/>
        <v>15.215</v>
      </c>
      <c r="C32" s="50">
        <f>'Ref Voltages'!AE34</f>
        <v>19.7</v>
      </c>
      <c r="D32" s="67">
        <v>1</v>
      </c>
      <c r="E32" s="111"/>
    </row>
    <row r="33" spans="1:7">
      <c r="A33" s="61">
        <v>3.4</v>
      </c>
      <c r="B33" s="68">
        <f t="shared" si="0"/>
        <v>15.309999999999999</v>
      </c>
      <c r="C33" s="50">
        <f>'Ref Voltages'!AE35</f>
        <v>19.8</v>
      </c>
      <c r="D33" s="67">
        <v>1</v>
      </c>
      <c r="E33" s="111"/>
    </row>
    <row r="34" spans="1:7">
      <c r="A34" s="62">
        <v>4.0999999999999996</v>
      </c>
      <c r="B34" s="68">
        <f t="shared" si="0"/>
        <v>15.5</v>
      </c>
      <c r="C34" s="50">
        <f>'Ref Voltages'!AC25</f>
        <v>20</v>
      </c>
      <c r="D34" s="67">
        <v>1</v>
      </c>
      <c r="E34" s="111">
        <v>8</v>
      </c>
    </row>
    <row r="35" spans="1:7">
      <c r="A35" s="62">
        <v>4.2</v>
      </c>
      <c r="B35" s="68">
        <f t="shared" si="0"/>
        <v>14.929999999999996</v>
      </c>
      <c r="C35" s="50">
        <f>'Ref Voltages'!AC26</f>
        <v>19.399999999999999</v>
      </c>
      <c r="D35" s="67">
        <v>1</v>
      </c>
      <c r="E35" s="111"/>
    </row>
    <row r="36" spans="1:7">
      <c r="A36" s="62">
        <v>4.3</v>
      </c>
      <c r="B36" s="68">
        <f t="shared" si="0"/>
        <v>15.120000000000001</v>
      </c>
      <c r="C36" s="50">
        <f>'Ref Voltages'!AC27</f>
        <v>19.600000000000001</v>
      </c>
      <c r="D36" s="67">
        <v>1</v>
      </c>
      <c r="E36" s="111"/>
    </row>
    <row r="37" spans="1:7">
      <c r="A37" s="62">
        <v>4.4000000000000004</v>
      </c>
      <c r="B37" s="68">
        <f t="shared" si="0"/>
        <v>14.645</v>
      </c>
      <c r="C37" s="50">
        <f>'Ref Voltages'!AC28</f>
        <v>19.100000000000001</v>
      </c>
      <c r="D37" s="67">
        <v>1</v>
      </c>
      <c r="E37" s="111"/>
    </row>
    <row r="38" spans="1:7">
      <c r="A38" s="59">
        <v>1.1000000000000001</v>
      </c>
      <c r="B38" s="68">
        <f t="shared" si="0"/>
        <v>15.215</v>
      </c>
      <c r="C38" s="50">
        <f>'Ref Voltages'!AA32</f>
        <v>19.7</v>
      </c>
      <c r="D38" s="67">
        <v>1</v>
      </c>
      <c r="E38" s="111">
        <v>9</v>
      </c>
    </row>
    <row r="39" spans="1:7">
      <c r="A39" s="59">
        <v>1.2</v>
      </c>
      <c r="B39" s="68">
        <f t="shared" si="0"/>
        <v>14.835000000000001</v>
      </c>
      <c r="C39" s="50">
        <f>'Ref Voltages'!AA33</f>
        <v>19.3</v>
      </c>
      <c r="D39" s="67">
        <v>1</v>
      </c>
      <c r="E39" s="111"/>
    </row>
    <row r="40" spans="1:7">
      <c r="A40" s="59">
        <v>1.3</v>
      </c>
      <c r="B40" s="68">
        <f t="shared" si="0"/>
        <v>14.929999999999996</v>
      </c>
      <c r="C40" s="50">
        <f>'Ref Voltages'!AA34</f>
        <v>19.399999999999999</v>
      </c>
      <c r="D40" s="67">
        <v>1</v>
      </c>
      <c r="E40" s="111"/>
    </row>
    <row r="41" spans="1:7">
      <c r="A41" s="59">
        <v>1.4</v>
      </c>
      <c r="B41" s="68">
        <f t="shared" si="0"/>
        <v>14.739999999999998</v>
      </c>
      <c r="C41" s="50">
        <f>'Ref Voltages'!AA35</f>
        <v>19.2</v>
      </c>
      <c r="D41" s="67">
        <v>1</v>
      </c>
      <c r="E41" s="111"/>
    </row>
    <row r="42" spans="1:7">
      <c r="A42" s="60">
        <v>2.1</v>
      </c>
      <c r="B42" s="68">
        <f t="shared" si="0"/>
        <v>16.354999999999997</v>
      </c>
      <c r="C42" s="50">
        <f>'Ref Voltages'!Y25</f>
        <v>20.9</v>
      </c>
      <c r="D42" s="67">
        <v>1</v>
      </c>
      <c r="E42" s="111">
        <v>10</v>
      </c>
      <c r="F42">
        <v>12.57</v>
      </c>
      <c r="G42" t="s">
        <v>140</v>
      </c>
    </row>
    <row r="43" spans="1:7">
      <c r="A43" s="60">
        <v>2.2000000000000002</v>
      </c>
      <c r="B43" s="68">
        <f t="shared" si="0"/>
        <v>16.259999999999998</v>
      </c>
      <c r="C43" s="50">
        <f>'Ref Voltages'!Y26</f>
        <v>20.8</v>
      </c>
      <c r="D43" s="67">
        <v>1</v>
      </c>
      <c r="E43" s="111"/>
      <c r="F43">
        <v>12.1</v>
      </c>
    </row>
    <row r="44" spans="1:7">
      <c r="A44" s="60">
        <v>2.2999999999999998</v>
      </c>
      <c r="B44" s="68">
        <f t="shared" si="0"/>
        <v>14.264999999999997</v>
      </c>
      <c r="C44" s="50">
        <f>'Ref Voltages'!Y27</f>
        <v>18.7</v>
      </c>
      <c r="D44" s="67">
        <v>1</v>
      </c>
      <c r="E44" s="111"/>
      <c r="F44">
        <v>11.6</v>
      </c>
    </row>
    <row r="45" spans="1:7">
      <c r="A45" s="60">
        <v>2.4</v>
      </c>
      <c r="B45" s="68">
        <f t="shared" si="0"/>
        <v>14.739999999999998</v>
      </c>
      <c r="C45" s="50">
        <f>'Ref Voltages'!Y28</f>
        <v>19.2</v>
      </c>
      <c r="D45" s="67">
        <v>1</v>
      </c>
      <c r="E45" s="111"/>
      <c r="F45">
        <v>11.6</v>
      </c>
    </row>
    <row r="46" spans="1:7">
      <c r="A46" s="61">
        <v>3.1</v>
      </c>
      <c r="B46" s="68">
        <f t="shared" si="0"/>
        <v>14.835000000000001</v>
      </c>
      <c r="C46" s="50">
        <f>'Ref Voltages'!W32</f>
        <v>19.3</v>
      </c>
      <c r="D46" s="67">
        <v>1</v>
      </c>
      <c r="E46" s="111">
        <v>11</v>
      </c>
      <c r="F46">
        <v>11.5</v>
      </c>
      <c r="G46" t="s">
        <v>139</v>
      </c>
    </row>
    <row r="47" spans="1:7">
      <c r="A47" s="61">
        <v>3.2</v>
      </c>
      <c r="B47" s="68">
        <f t="shared" si="0"/>
        <v>14.55</v>
      </c>
      <c r="C47" s="50">
        <f>'Ref Voltages'!W33</f>
        <v>19</v>
      </c>
      <c r="D47" s="67">
        <v>1</v>
      </c>
      <c r="E47" s="111"/>
      <c r="F47">
        <v>11.2</v>
      </c>
    </row>
    <row r="48" spans="1:7">
      <c r="A48" s="61">
        <v>3.3</v>
      </c>
      <c r="B48" s="68">
        <f t="shared" si="0"/>
        <v>14.835000000000001</v>
      </c>
      <c r="C48" s="50">
        <f>'Ref Voltages'!W34</f>
        <v>19.3</v>
      </c>
      <c r="D48" s="67">
        <v>1</v>
      </c>
      <c r="E48" s="111"/>
      <c r="F48">
        <v>11.5</v>
      </c>
    </row>
    <row r="49" spans="1:6">
      <c r="A49" s="61">
        <v>3.4</v>
      </c>
      <c r="B49" s="68">
        <f t="shared" si="0"/>
        <v>14.739999999999998</v>
      </c>
      <c r="C49" s="50">
        <f>'Ref Voltages'!W35</f>
        <v>19.2</v>
      </c>
      <c r="D49" s="67">
        <v>1</v>
      </c>
      <c r="E49" s="111"/>
      <c r="F49">
        <v>11.4</v>
      </c>
    </row>
    <row r="50" spans="1:6">
      <c r="A50" s="62">
        <v>4.0999999999999996</v>
      </c>
      <c r="B50" s="68">
        <f t="shared" si="0"/>
        <v>14.645</v>
      </c>
      <c r="C50" s="50">
        <f>'Ref Voltages'!U25</f>
        <v>19.100000000000001</v>
      </c>
      <c r="D50" s="67">
        <v>1</v>
      </c>
      <c r="E50" s="111">
        <v>12</v>
      </c>
    </row>
    <row r="51" spans="1:6">
      <c r="A51" s="62">
        <v>4.2</v>
      </c>
      <c r="B51" s="68">
        <f t="shared" si="0"/>
        <v>14.55</v>
      </c>
      <c r="C51" s="50">
        <f>'Ref Voltages'!U26</f>
        <v>19</v>
      </c>
      <c r="D51" s="67">
        <v>1</v>
      </c>
      <c r="E51" s="111"/>
    </row>
    <row r="52" spans="1:6">
      <c r="A52" s="62">
        <v>4.3</v>
      </c>
      <c r="B52" s="68">
        <f t="shared" si="0"/>
        <v>14.739999999999998</v>
      </c>
      <c r="C52" s="50">
        <f>'Ref Voltages'!U27</f>
        <v>19.2</v>
      </c>
      <c r="D52" s="67">
        <v>1</v>
      </c>
      <c r="E52" s="111"/>
    </row>
    <row r="53" spans="1:6">
      <c r="A53" s="62">
        <v>4.4000000000000004</v>
      </c>
      <c r="B53" s="68">
        <f t="shared" si="0"/>
        <v>14.264999999999997</v>
      </c>
      <c r="C53" s="50">
        <f>'Ref Voltages'!U28</f>
        <v>18.7</v>
      </c>
      <c r="D53" s="67">
        <v>1</v>
      </c>
      <c r="E53" s="111"/>
    </row>
    <row r="54" spans="1:6">
      <c r="A54" s="59">
        <v>1.1000000000000001</v>
      </c>
      <c r="B54" s="68">
        <f t="shared" si="0"/>
        <v>15.215</v>
      </c>
      <c r="C54" s="50">
        <f>'Ref Voltages'!S32</f>
        <v>19.7</v>
      </c>
      <c r="D54" s="67">
        <v>1</v>
      </c>
      <c r="E54" s="111">
        <v>13</v>
      </c>
    </row>
    <row r="55" spans="1:6">
      <c r="A55" s="59">
        <v>1.2</v>
      </c>
      <c r="B55" s="68">
        <f t="shared" si="0"/>
        <v>15.215</v>
      </c>
      <c r="C55" s="50">
        <f>'Ref Voltages'!S33</f>
        <v>19.7</v>
      </c>
      <c r="D55" s="67">
        <v>1</v>
      </c>
      <c r="E55" s="111"/>
    </row>
    <row r="56" spans="1:6">
      <c r="A56" s="59">
        <v>1.3</v>
      </c>
      <c r="B56" s="68">
        <f t="shared" si="0"/>
        <v>14.55</v>
      </c>
      <c r="C56" s="50">
        <f>'Ref Voltages'!S34</f>
        <v>19</v>
      </c>
      <c r="D56" s="67">
        <v>1</v>
      </c>
      <c r="E56" s="111"/>
    </row>
    <row r="57" spans="1:6">
      <c r="A57" s="59">
        <v>1.4</v>
      </c>
      <c r="B57" s="68">
        <f t="shared" si="0"/>
        <v>14.454999999999998</v>
      </c>
      <c r="C57" s="50">
        <f>'Ref Voltages'!S35</f>
        <v>18.899999999999999</v>
      </c>
      <c r="D57" s="67">
        <v>1</v>
      </c>
      <c r="E57" s="111"/>
    </row>
    <row r="58" spans="1:6">
      <c r="A58" s="60">
        <v>97</v>
      </c>
      <c r="B58" s="68">
        <f t="shared" si="0"/>
        <v>15.309999999999999</v>
      </c>
      <c r="C58" s="50">
        <f>'Ref Voltages'!Q25</f>
        <v>19.8</v>
      </c>
      <c r="D58" s="67">
        <v>1</v>
      </c>
      <c r="E58" s="111">
        <v>14</v>
      </c>
    </row>
    <row r="59" spans="1:6">
      <c r="A59" s="60">
        <v>2.2000000000000002</v>
      </c>
      <c r="B59" s="68">
        <f t="shared" si="0"/>
        <v>15.215</v>
      </c>
      <c r="C59" s="50">
        <f>'Ref Voltages'!Q26</f>
        <v>19.7</v>
      </c>
      <c r="D59" s="67">
        <v>1</v>
      </c>
      <c r="E59" s="111"/>
    </row>
    <row r="60" spans="1:6">
      <c r="A60" s="60">
        <v>2.2999999999999998</v>
      </c>
      <c r="B60" s="68">
        <f t="shared" si="0"/>
        <v>14.170000000000002</v>
      </c>
      <c r="C60" s="50">
        <f>'Ref Voltages'!Q27</f>
        <v>18.600000000000001</v>
      </c>
      <c r="D60" s="67">
        <v>1</v>
      </c>
      <c r="E60" s="111"/>
    </row>
    <row r="61" spans="1:6">
      <c r="A61" s="60">
        <v>2.4</v>
      </c>
      <c r="B61" s="68">
        <f t="shared" si="0"/>
        <v>14.36</v>
      </c>
      <c r="C61" s="50">
        <f>'Ref Voltages'!Q28</f>
        <v>18.8</v>
      </c>
      <c r="D61" s="67">
        <v>1</v>
      </c>
      <c r="E61" s="111"/>
    </row>
    <row r="62" spans="1:6">
      <c r="A62" s="61">
        <v>3.1</v>
      </c>
      <c r="B62" s="68">
        <f t="shared" si="0"/>
        <v>14.55</v>
      </c>
      <c r="C62" s="50">
        <f>'Ref Voltages'!O32</f>
        <v>19</v>
      </c>
      <c r="D62" s="67">
        <v>1</v>
      </c>
      <c r="E62" s="111">
        <v>15</v>
      </c>
    </row>
    <row r="63" spans="1:6">
      <c r="A63" s="61">
        <v>3.2</v>
      </c>
      <c r="B63" s="68">
        <f t="shared" si="0"/>
        <v>14.55</v>
      </c>
      <c r="C63" s="50">
        <f>'Ref Voltages'!O33</f>
        <v>19</v>
      </c>
      <c r="D63" s="67">
        <v>1</v>
      </c>
      <c r="E63" s="111"/>
    </row>
    <row r="64" spans="1:6">
      <c r="A64" s="61">
        <v>3.3</v>
      </c>
      <c r="B64" s="68">
        <f t="shared" si="0"/>
        <v>14.36</v>
      </c>
      <c r="C64" s="50">
        <f>'Ref Voltages'!O34</f>
        <v>18.8</v>
      </c>
      <c r="D64" s="67">
        <v>1</v>
      </c>
      <c r="E64" s="111"/>
    </row>
    <row r="65" spans="1:5">
      <c r="A65" s="61">
        <v>3.4</v>
      </c>
      <c r="B65" s="68">
        <f t="shared" si="0"/>
        <v>14.645</v>
      </c>
      <c r="C65" s="50">
        <f>'Ref Voltages'!O35</f>
        <v>19.100000000000001</v>
      </c>
      <c r="D65" s="67">
        <v>1</v>
      </c>
      <c r="E65" s="111"/>
    </row>
    <row r="66" spans="1:5">
      <c r="A66" s="62">
        <v>4.0999999999999996</v>
      </c>
      <c r="B66" s="68">
        <f t="shared" si="0"/>
        <v>15.5</v>
      </c>
      <c r="C66" s="50">
        <f>'Ref Voltages'!M25</f>
        <v>20</v>
      </c>
      <c r="D66" s="67">
        <v>1</v>
      </c>
      <c r="E66" s="111">
        <v>16</v>
      </c>
    </row>
    <row r="67" spans="1:5">
      <c r="A67" s="62">
        <v>4.2</v>
      </c>
      <c r="B67" s="68">
        <f t="shared" si="0"/>
        <v>15.5</v>
      </c>
      <c r="C67" s="50">
        <f>'Ref Voltages'!M26</f>
        <v>20</v>
      </c>
      <c r="D67" s="67">
        <v>1</v>
      </c>
      <c r="E67" s="111"/>
    </row>
    <row r="68" spans="1:5">
      <c r="A68" s="62">
        <v>4.3</v>
      </c>
      <c r="B68" s="68">
        <f t="shared" si="0"/>
        <v>14.170000000000002</v>
      </c>
      <c r="C68" s="50">
        <f>'Ref Voltages'!M27</f>
        <v>18.600000000000001</v>
      </c>
      <c r="D68" s="67">
        <v>1</v>
      </c>
      <c r="E68" s="111"/>
    </row>
    <row r="69" spans="1:5">
      <c r="A69" s="62">
        <v>4.4000000000000004</v>
      </c>
      <c r="B69" s="68">
        <f t="shared" si="0"/>
        <v>14.645</v>
      </c>
      <c r="C69" s="50">
        <f>'Ref Voltages'!M28</f>
        <v>19.100000000000001</v>
      </c>
      <c r="D69" s="67">
        <v>1</v>
      </c>
      <c r="E69" s="111"/>
    </row>
    <row r="70" spans="1:5">
      <c r="A70" s="59">
        <v>1.1000000000000001</v>
      </c>
      <c r="B70" s="68">
        <f t="shared" si="0"/>
        <v>14.074999999999999</v>
      </c>
      <c r="C70" s="50">
        <f>'Ref Voltages'!K32</f>
        <v>18.5</v>
      </c>
      <c r="D70" s="67">
        <v>1</v>
      </c>
      <c r="E70" s="111">
        <v>17</v>
      </c>
    </row>
    <row r="71" spans="1:5">
      <c r="A71" s="59">
        <v>1.2</v>
      </c>
      <c r="B71" s="68">
        <f t="shared" ref="B71:B85" si="1">(C71*$D$3+$F$3*(C71-$H$3)+$J$3)*D71</f>
        <v>14.170000000000002</v>
      </c>
      <c r="C71" s="50">
        <f>'Ref Voltages'!K33</f>
        <v>18.600000000000001</v>
      </c>
      <c r="D71" s="67">
        <v>1</v>
      </c>
      <c r="E71" s="111"/>
    </row>
    <row r="72" spans="1:5">
      <c r="A72" s="59">
        <v>1.3</v>
      </c>
      <c r="B72" s="68">
        <f t="shared" si="1"/>
        <v>13.885000000000002</v>
      </c>
      <c r="C72" s="50">
        <f>'Ref Voltages'!K34</f>
        <v>18.3</v>
      </c>
      <c r="D72" s="67">
        <v>1</v>
      </c>
      <c r="E72" s="111"/>
    </row>
    <row r="73" spans="1:5">
      <c r="A73" s="59">
        <v>1.4</v>
      </c>
      <c r="B73" s="68">
        <f t="shared" si="1"/>
        <v>14.074999999999999</v>
      </c>
      <c r="C73" s="50">
        <f>'Ref Voltages'!K35</f>
        <v>18.5</v>
      </c>
      <c r="D73" s="67">
        <v>1</v>
      </c>
      <c r="E73" s="111"/>
    </row>
    <row r="74" spans="1:5">
      <c r="A74" s="60">
        <v>2.1</v>
      </c>
      <c r="B74" s="68">
        <f t="shared" si="1"/>
        <v>15.594999999999999</v>
      </c>
      <c r="C74" s="50">
        <f>'Ref Voltages'!I25</f>
        <v>20.100000000000001</v>
      </c>
      <c r="D74" s="67">
        <v>1</v>
      </c>
      <c r="E74" s="111">
        <v>18</v>
      </c>
    </row>
    <row r="75" spans="1:5">
      <c r="A75" s="60">
        <v>2.2000000000000002</v>
      </c>
      <c r="B75" s="68">
        <f t="shared" si="1"/>
        <v>16.07</v>
      </c>
      <c r="C75" s="50">
        <f>'Ref Voltages'!I26</f>
        <v>20.6</v>
      </c>
      <c r="D75" s="67">
        <v>1</v>
      </c>
      <c r="E75" s="111"/>
    </row>
    <row r="76" spans="1:5">
      <c r="A76" s="60">
        <v>2.2999999999999998</v>
      </c>
      <c r="B76" s="68">
        <f t="shared" si="1"/>
        <v>14.929999999999996</v>
      </c>
      <c r="C76" s="50">
        <f>'Ref Voltages'!I27</f>
        <v>19.399999999999999</v>
      </c>
      <c r="D76" s="67">
        <v>1</v>
      </c>
      <c r="E76" s="111"/>
    </row>
    <row r="77" spans="1:5">
      <c r="A77" s="60">
        <v>2.4</v>
      </c>
      <c r="B77" s="68">
        <f t="shared" si="1"/>
        <v>14.929999999999996</v>
      </c>
      <c r="C77" s="50">
        <f>'Ref Voltages'!I28</f>
        <v>19.399999999999999</v>
      </c>
      <c r="D77" s="67">
        <v>1</v>
      </c>
      <c r="E77" s="111"/>
    </row>
    <row r="78" spans="1:5">
      <c r="A78" s="61">
        <v>3.1</v>
      </c>
      <c r="B78" s="68">
        <f>(C78*$D$3+$F$3*(C78-$H$3)+$J$3)*D78</f>
        <v>14.645</v>
      </c>
      <c r="C78" s="50">
        <f>'Ref Voltages'!G32</f>
        <v>19.100000000000001</v>
      </c>
      <c r="D78" s="67">
        <v>1</v>
      </c>
      <c r="E78" s="111">
        <v>19</v>
      </c>
    </row>
    <row r="79" spans="1:5">
      <c r="A79" s="61">
        <v>3.2</v>
      </c>
      <c r="B79" s="68">
        <f t="shared" si="1"/>
        <v>14.645</v>
      </c>
      <c r="C79" s="50">
        <f>'Ref Voltages'!G33</f>
        <v>19.100000000000001</v>
      </c>
      <c r="D79" s="67">
        <v>1</v>
      </c>
      <c r="E79" s="111"/>
    </row>
    <row r="80" spans="1:5">
      <c r="A80" s="61">
        <v>3.3</v>
      </c>
      <c r="B80" s="68">
        <f t="shared" si="1"/>
        <v>13.695</v>
      </c>
      <c r="C80" s="50">
        <f>'Ref Voltages'!G34</f>
        <v>18.100000000000001</v>
      </c>
      <c r="D80" s="67">
        <v>1</v>
      </c>
      <c r="E80" s="111"/>
    </row>
    <row r="81" spans="1:5">
      <c r="A81" s="61">
        <v>3.4</v>
      </c>
      <c r="B81" s="68">
        <f t="shared" si="1"/>
        <v>14.835000000000001</v>
      </c>
      <c r="C81" s="50">
        <f>'Ref Voltages'!G35</f>
        <v>19.3</v>
      </c>
      <c r="D81" s="67">
        <v>1</v>
      </c>
      <c r="E81" s="111"/>
    </row>
    <row r="82" spans="1:5">
      <c r="A82" s="62">
        <v>4.0999999999999996</v>
      </c>
      <c r="B82" s="68">
        <f t="shared" si="1"/>
        <v>14.739999999999998</v>
      </c>
      <c r="C82" s="50">
        <f>'Ref Voltages'!E25</f>
        <v>19.2</v>
      </c>
      <c r="D82" s="67">
        <v>1</v>
      </c>
      <c r="E82" s="111">
        <v>20</v>
      </c>
    </row>
    <row r="83" spans="1:5">
      <c r="A83" s="62">
        <v>4.2</v>
      </c>
      <c r="B83" s="68">
        <f t="shared" si="1"/>
        <v>14.55</v>
      </c>
      <c r="C83" s="50">
        <f>'Ref Voltages'!E26</f>
        <v>19</v>
      </c>
      <c r="D83" s="67">
        <v>1</v>
      </c>
      <c r="E83" s="111"/>
    </row>
    <row r="84" spans="1:5">
      <c r="A84" s="62">
        <v>4.3</v>
      </c>
      <c r="B84" s="68">
        <f t="shared" si="1"/>
        <v>14.55</v>
      </c>
      <c r="C84" s="50">
        <f>'Ref Voltages'!E27</f>
        <v>19</v>
      </c>
      <c r="D84" s="67">
        <v>1</v>
      </c>
      <c r="E84" s="111"/>
    </row>
    <row r="85" spans="1:5">
      <c r="A85" s="62">
        <v>4.4000000000000004</v>
      </c>
      <c r="B85" s="68">
        <f t="shared" si="1"/>
        <v>14.264999999999997</v>
      </c>
      <c r="C85" s="50">
        <f>'Ref Voltages'!E28</f>
        <v>18.7</v>
      </c>
      <c r="D85" s="67">
        <v>1</v>
      </c>
      <c r="E85" s="111"/>
    </row>
    <row r="86" spans="1:5">
      <c r="A86" s="69">
        <v>1.1000000000000001</v>
      </c>
      <c r="B86" s="68">
        <f>(C86*$D$3+$F$3*(C86-$H$3)+$J$3)*D86</f>
        <v>14.264999999999997</v>
      </c>
      <c r="C86" s="50">
        <f>'Ref Voltages'!AQ17</f>
        <v>18.7</v>
      </c>
      <c r="D86" s="67">
        <v>1</v>
      </c>
      <c r="E86" s="111">
        <v>21</v>
      </c>
    </row>
    <row r="87" spans="1:5">
      <c r="A87" s="69">
        <v>1.2</v>
      </c>
      <c r="B87" s="68">
        <f t="shared" ref="B87:B150" si="2">(C87*$D$3+$F$3*(C87-$H$3)+$J$3)*D87</f>
        <v>14.55</v>
      </c>
      <c r="C87" s="50">
        <f>'Ref Voltages'!AQ18</f>
        <v>19</v>
      </c>
      <c r="D87" s="67">
        <v>1</v>
      </c>
      <c r="E87" s="111"/>
    </row>
    <row r="88" spans="1:5">
      <c r="A88" s="69">
        <v>1.3</v>
      </c>
      <c r="B88" s="68">
        <f t="shared" si="2"/>
        <v>14.36</v>
      </c>
      <c r="C88" s="50">
        <f>'Ref Voltages'!AQ19</f>
        <v>18.8</v>
      </c>
      <c r="D88" s="67">
        <v>1</v>
      </c>
      <c r="E88" s="111"/>
    </row>
    <row r="89" spans="1:5">
      <c r="A89" s="69">
        <v>1.4</v>
      </c>
      <c r="B89" s="68">
        <f t="shared" si="2"/>
        <v>14.835000000000001</v>
      </c>
      <c r="C89" s="50">
        <f>'Ref Voltages'!AQ20</f>
        <v>19.3</v>
      </c>
      <c r="D89" s="67">
        <v>1</v>
      </c>
      <c r="E89" s="111"/>
    </row>
    <row r="90" spans="1:5">
      <c r="A90" s="70">
        <v>2.1</v>
      </c>
      <c r="B90" s="68">
        <f t="shared" si="2"/>
        <v>15.5</v>
      </c>
      <c r="C90" s="50">
        <f>'Ref Voltages'!AO10</f>
        <v>20</v>
      </c>
      <c r="D90" s="67">
        <v>1</v>
      </c>
      <c r="E90" s="111">
        <v>22</v>
      </c>
    </row>
    <row r="91" spans="1:5">
      <c r="A91" s="70">
        <v>2.2000000000000002</v>
      </c>
      <c r="B91" s="68">
        <f t="shared" si="2"/>
        <v>15.215</v>
      </c>
      <c r="C91" s="50">
        <f>'Ref Voltages'!AO11</f>
        <v>19.7</v>
      </c>
      <c r="D91" s="67">
        <v>1</v>
      </c>
      <c r="E91" s="111"/>
    </row>
    <row r="92" spans="1:5">
      <c r="A92" s="70">
        <v>2.2999999999999998</v>
      </c>
      <c r="B92" s="68">
        <f t="shared" si="2"/>
        <v>15.024999999999999</v>
      </c>
      <c r="C92" s="50">
        <f>'Ref Voltages'!AO12</f>
        <v>19.5</v>
      </c>
      <c r="D92" s="67">
        <v>1</v>
      </c>
      <c r="E92" s="111"/>
    </row>
    <row r="93" spans="1:5">
      <c r="A93" s="70">
        <v>2.4</v>
      </c>
      <c r="B93" s="68">
        <f t="shared" si="2"/>
        <v>14.929999999999996</v>
      </c>
      <c r="C93" s="50">
        <f>'Ref Voltages'!AO13</f>
        <v>19.399999999999999</v>
      </c>
      <c r="D93" s="67">
        <v>1</v>
      </c>
      <c r="E93" s="111"/>
    </row>
    <row r="94" spans="1:5">
      <c r="A94" s="71">
        <v>3.1</v>
      </c>
      <c r="B94" s="68">
        <f t="shared" si="2"/>
        <v>14.929999999999996</v>
      </c>
      <c r="C94" s="50">
        <f>'Ref Voltages'!AM17</f>
        <v>19.399999999999999</v>
      </c>
      <c r="D94" s="67">
        <v>1</v>
      </c>
      <c r="E94" s="111">
        <v>23</v>
      </c>
    </row>
    <row r="95" spans="1:5">
      <c r="A95" s="71">
        <v>3.2</v>
      </c>
      <c r="B95" s="68">
        <f t="shared" si="2"/>
        <v>15.120000000000001</v>
      </c>
      <c r="C95" s="50">
        <f>'Ref Voltages'!AM18</f>
        <v>19.600000000000001</v>
      </c>
      <c r="D95" s="67">
        <v>1</v>
      </c>
      <c r="E95" s="111"/>
    </row>
    <row r="96" spans="1:5">
      <c r="A96" s="71">
        <v>3.3</v>
      </c>
      <c r="B96" s="68">
        <f t="shared" si="2"/>
        <v>14.739999999999998</v>
      </c>
      <c r="C96" s="50">
        <f>'Ref Voltages'!AM19</f>
        <v>19.2</v>
      </c>
      <c r="D96" s="67">
        <v>1</v>
      </c>
      <c r="E96" s="111"/>
    </row>
    <row r="97" spans="1:5">
      <c r="A97" s="71">
        <v>3.4</v>
      </c>
      <c r="B97" s="68">
        <f t="shared" si="2"/>
        <v>14.835000000000001</v>
      </c>
      <c r="C97" s="50">
        <f>'Ref Voltages'!AM20</f>
        <v>19.3</v>
      </c>
      <c r="D97" s="67">
        <v>1</v>
      </c>
      <c r="E97" s="111"/>
    </row>
    <row r="98" spans="1:5">
      <c r="A98" s="72">
        <v>4.0999999999999996</v>
      </c>
      <c r="B98" s="68">
        <f t="shared" si="2"/>
        <v>15.309999999999999</v>
      </c>
      <c r="C98" s="50">
        <f>'Ref Voltages'!AK10</f>
        <v>19.8</v>
      </c>
      <c r="D98" s="67">
        <v>1</v>
      </c>
      <c r="E98" s="111">
        <v>24</v>
      </c>
    </row>
    <row r="99" spans="1:5">
      <c r="A99" s="72">
        <v>4.2</v>
      </c>
      <c r="B99" s="68">
        <f t="shared" si="2"/>
        <v>14.929999999999996</v>
      </c>
      <c r="C99" s="50">
        <f>'Ref Voltages'!AK11</f>
        <v>19.399999999999999</v>
      </c>
      <c r="D99" s="67">
        <v>1</v>
      </c>
      <c r="E99" s="111"/>
    </row>
    <row r="100" spans="1:5">
      <c r="A100" s="72">
        <v>4.3</v>
      </c>
      <c r="B100" s="68">
        <f t="shared" si="2"/>
        <v>15.024999999999999</v>
      </c>
      <c r="C100" s="50">
        <f>'Ref Voltages'!AK12</f>
        <v>19.5</v>
      </c>
      <c r="D100" s="67">
        <v>1</v>
      </c>
      <c r="E100" s="111"/>
    </row>
    <row r="101" spans="1:5">
      <c r="A101" s="72">
        <v>4.4000000000000004</v>
      </c>
      <c r="B101" s="68">
        <f t="shared" si="2"/>
        <v>14.835000000000001</v>
      </c>
      <c r="C101" s="50">
        <f>'Ref Voltages'!AK13</f>
        <v>19.3</v>
      </c>
      <c r="D101" s="67">
        <v>1</v>
      </c>
      <c r="E101" s="111"/>
    </row>
    <row r="102" spans="1:5">
      <c r="A102" s="69">
        <v>1.1000000000000001</v>
      </c>
      <c r="B102" s="68">
        <f t="shared" si="2"/>
        <v>15.120000000000001</v>
      </c>
      <c r="C102" s="50">
        <f>'Ref Voltages'!AI17</f>
        <v>19.600000000000001</v>
      </c>
      <c r="D102" s="67">
        <v>1</v>
      </c>
      <c r="E102" s="111">
        <v>25</v>
      </c>
    </row>
    <row r="103" spans="1:5">
      <c r="A103" s="69">
        <v>1.2</v>
      </c>
      <c r="B103" s="68">
        <f t="shared" si="2"/>
        <v>15.024999999999999</v>
      </c>
      <c r="C103" s="50">
        <f>'Ref Voltages'!AI18</f>
        <v>19.5</v>
      </c>
      <c r="D103" s="67">
        <v>1</v>
      </c>
      <c r="E103" s="111"/>
    </row>
    <row r="104" spans="1:5">
      <c r="A104" s="69">
        <v>1.3</v>
      </c>
      <c r="B104" s="68">
        <f t="shared" si="2"/>
        <v>14.55</v>
      </c>
      <c r="C104" s="50">
        <f>'Ref Voltages'!AI19</f>
        <v>19</v>
      </c>
      <c r="D104" s="67">
        <v>1</v>
      </c>
      <c r="E104" s="111"/>
    </row>
    <row r="105" spans="1:5">
      <c r="A105" s="69">
        <v>1.4</v>
      </c>
      <c r="B105" s="68">
        <f t="shared" si="2"/>
        <v>15.024999999999999</v>
      </c>
      <c r="C105" s="50">
        <f>'Ref Voltages'!AI20</f>
        <v>19.5</v>
      </c>
      <c r="D105" s="67">
        <v>1</v>
      </c>
      <c r="E105" s="111"/>
    </row>
    <row r="106" spans="1:5">
      <c r="A106" s="70">
        <v>2.1</v>
      </c>
      <c r="B106" s="68">
        <f t="shared" si="2"/>
        <v>15.024999999999999</v>
      </c>
      <c r="C106" s="50">
        <f>'Ref Voltages'!AG10</f>
        <v>19.5</v>
      </c>
      <c r="D106" s="67">
        <v>1</v>
      </c>
      <c r="E106" s="111">
        <v>26</v>
      </c>
    </row>
    <row r="107" spans="1:5">
      <c r="A107" s="70">
        <v>2.2000000000000002</v>
      </c>
      <c r="B107" s="68">
        <f t="shared" si="2"/>
        <v>14.835000000000001</v>
      </c>
      <c r="C107" s="50">
        <f>'Ref Voltages'!AG11</f>
        <v>19.3</v>
      </c>
      <c r="D107" s="67">
        <v>1</v>
      </c>
      <c r="E107" s="111"/>
    </row>
    <row r="108" spans="1:5">
      <c r="A108" s="70">
        <v>2.2999999999999998</v>
      </c>
      <c r="B108" s="68">
        <f t="shared" si="2"/>
        <v>14.645</v>
      </c>
      <c r="C108" s="50">
        <f>'Ref Voltages'!AG12</f>
        <v>19.100000000000001</v>
      </c>
      <c r="D108" s="67">
        <v>1</v>
      </c>
      <c r="E108" s="111"/>
    </row>
    <row r="109" spans="1:5">
      <c r="A109" s="70">
        <v>2.4</v>
      </c>
      <c r="B109" s="68">
        <f t="shared" si="2"/>
        <v>14.739999999999998</v>
      </c>
      <c r="C109" s="50">
        <f>'Ref Voltages'!AG13</f>
        <v>19.2</v>
      </c>
      <c r="D109" s="67">
        <v>1</v>
      </c>
      <c r="E109" s="111"/>
    </row>
    <row r="110" spans="1:5">
      <c r="A110" s="71">
        <v>3.1</v>
      </c>
      <c r="B110" s="68">
        <f t="shared" si="2"/>
        <v>14.929999999999996</v>
      </c>
      <c r="C110" s="50">
        <f>'Ref Voltages'!AE17</f>
        <v>19.399999999999999</v>
      </c>
      <c r="D110" s="67">
        <v>1</v>
      </c>
      <c r="E110" s="111">
        <v>27</v>
      </c>
    </row>
    <row r="111" spans="1:5">
      <c r="A111" s="71">
        <v>3.2</v>
      </c>
      <c r="B111" s="68">
        <f t="shared" si="2"/>
        <v>14.929999999999996</v>
      </c>
      <c r="C111" s="50">
        <f>'Ref Voltages'!AE18</f>
        <v>19.399999999999999</v>
      </c>
      <c r="D111" s="67">
        <v>1</v>
      </c>
      <c r="E111" s="111"/>
    </row>
    <row r="112" spans="1:5">
      <c r="A112" s="71">
        <v>3.3</v>
      </c>
      <c r="B112" s="68">
        <f t="shared" si="2"/>
        <v>14.36</v>
      </c>
      <c r="C112" s="50">
        <f>'Ref Voltages'!AE19</f>
        <v>18.8</v>
      </c>
      <c r="D112" s="67">
        <v>1</v>
      </c>
      <c r="E112" s="111"/>
    </row>
    <row r="113" spans="1:5">
      <c r="A113" s="71">
        <v>3.4</v>
      </c>
      <c r="B113" s="68">
        <f t="shared" si="2"/>
        <v>14.645</v>
      </c>
      <c r="C113" s="50">
        <f>'Ref Voltages'!AE20</f>
        <v>19.100000000000001</v>
      </c>
      <c r="D113" s="67">
        <v>1</v>
      </c>
      <c r="E113" s="111"/>
    </row>
    <row r="114" spans="1:5">
      <c r="A114" s="72">
        <v>4.0999999999999996</v>
      </c>
      <c r="B114" s="68">
        <f t="shared" si="2"/>
        <v>14.739999999999998</v>
      </c>
      <c r="C114" s="50">
        <f>'Ref Voltages'!AC10</f>
        <v>19.2</v>
      </c>
      <c r="D114" s="67">
        <v>1</v>
      </c>
      <c r="E114" s="111">
        <v>28</v>
      </c>
    </row>
    <row r="115" spans="1:5">
      <c r="A115" s="72">
        <v>4.2</v>
      </c>
      <c r="B115" s="68">
        <f t="shared" si="2"/>
        <v>14.454999999999998</v>
      </c>
      <c r="C115" s="50">
        <f>'Ref Voltages'!AC11</f>
        <v>18.899999999999999</v>
      </c>
      <c r="D115" s="67">
        <v>1</v>
      </c>
      <c r="E115" s="111"/>
    </row>
    <row r="116" spans="1:5">
      <c r="A116" s="72">
        <v>4.3</v>
      </c>
      <c r="B116" s="68">
        <f t="shared" si="2"/>
        <v>14.645</v>
      </c>
      <c r="C116" s="50">
        <f>'Ref Voltages'!AC12</f>
        <v>19.100000000000001</v>
      </c>
      <c r="D116" s="67">
        <v>1</v>
      </c>
      <c r="E116" s="111"/>
    </row>
    <row r="117" spans="1:5">
      <c r="A117" s="72">
        <v>4.4000000000000004</v>
      </c>
      <c r="B117" s="68">
        <f t="shared" si="2"/>
        <v>14.645</v>
      </c>
      <c r="C117" s="50">
        <f>'Ref Voltages'!AC13</f>
        <v>19.100000000000001</v>
      </c>
      <c r="D117" s="67">
        <v>1</v>
      </c>
      <c r="E117" s="111"/>
    </row>
    <row r="118" spans="1:5">
      <c r="A118" s="69">
        <v>1.1000000000000001</v>
      </c>
      <c r="B118" s="68">
        <f t="shared" si="2"/>
        <v>14.835000000000001</v>
      </c>
      <c r="C118" s="50">
        <f>'Ref Voltages'!AA17</f>
        <v>19.3</v>
      </c>
      <c r="D118" s="67">
        <v>1</v>
      </c>
      <c r="E118" s="111">
        <v>29</v>
      </c>
    </row>
    <row r="119" spans="1:5">
      <c r="A119" s="69">
        <v>1.2</v>
      </c>
      <c r="B119" s="68">
        <f t="shared" si="2"/>
        <v>14.835000000000001</v>
      </c>
      <c r="C119" s="50">
        <f>'Ref Voltages'!AA18</f>
        <v>19.3</v>
      </c>
      <c r="D119" s="67">
        <v>1</v>
      </c>
      <c r="E119" s="111"/>
    </row>
    <row r="120" spans="1:5">
      <c r="A120" s="69">
        <v>1.3</v>
      </c>
      <c r="B120" s="68">
        <f t="shared" si="2"/>
        <v>14.645</v>
      </c>
      <c r="C120" s="50">
        <f>'Ref Voltages'!AA19</f>
        <v>19.100000000000001</v>
      </c>
      <c r="D120" s="67">
        <v>1</v>
      </c>
      <c r="E120" s="111"/>
    </row>
    <row r="121" spans="1:5">
      <c r="A121" s="69">
        <v>1.4</v>
      </c>
      <c r="B121" s="68">
        <f t="shared" si="2"/>
        <v>15.309999999999999</v>
      </c>
      <c r="C121" s="50">
        <f>'Ref Voltages'!AA20</f>
        <v>19.8</v>
      </c>
      <c r="D121" s="67">
        <v>1</v>
      </c>
      <c r="E121" s="111"/>
    </row>
    <row r="122" spans="1:5">
      <c r="A122" s="70">
        <v>2.1</v>
      </c>
      <c r="B122" s="68">
        <f t="shared" si="2"/>
        <v>15.5</v>
      </c>
      <c r="C122" s="50">
        <f>'Ref Voltages'!Y10</f>
        <v>20</v>
      </c>
      <c r="D122" s="67">
        <v>1</v>
      </c>
      <c r="E122" s="111">
        <v>30</v>
      </c>
    </row>
    <row r="123" spans="1:5">
      <c r="A123" s="70">
        <v>2.2000000000000002</v>
      </c>
      <c r="B123" s="68">
        <f t="shared" si="2"/>
        <v>15.024999999999999</v>
      </c>
      <c r="C123" s="50">
        <f>'Ref Voltages'!Y11</f>
        <v>19.5</v>
      </c>
      <c r="D123" s="67">
        <v>1</v>
      </c>
      <c r="E123" s="111"/>
    </row>
    <row r="124" spans="1:5">
      <c r="A124" s="70">
        <v>2.2999999999999998</v>
      </c>
      <c r="B124" s="68">
        <f t="shared" si="2"/>
        <v>14.835000000000001</v>
      </c>
      <c r="C124" s="50">
        <f>'Ref Voltages'!Y12</f>
        <v>19.3</v>
      </c>
      <c r="D124" s="67">
        <v>1</v>
      </c>
      <c r="E124" s="111"/>
    </row>
    <row r="125" spans="1:5">
      <c r="A125" s="70">
        <v>2.4</v>
      </c>
      <c r="B125" s="68">
        <f t="shared" si="2"/>
        <v>14.929999999999996</v>
      </c>
      <c r="C125" s="50">
        <f>'Ref Voltages'!Y13</f>
        <v>19.399999999999999</v>
      </c>
      <c r="D125" s="67">
        <v>1</v>
      </c>
      <c r="E125" s="111"/>
    </row>
    <row r="126" spans="1:5">
      <c r="A126" s="71">
        <v>3.1</v>
      </c>
      <c r="B126" s="68">
        <f t="shared" si="2"/>
        <v>15.594999999999999</v>
      </c>
      <c r="C126" s="50">
        <f>'Ref Voltages'!W17</f>
        <v>20.100000000000001</v>
      </c>
      <c r="D126" s="67">
        <v>1</v>
      </c>
      <c r="E126" s="111">
        <v>31</v>
      </c>
    </row>
    <row r="127" spans="1:5">
      <c r="A127" s="71">
        <v>3.2</v>
      </c>
      <c r="B127" s="68">
        <f t="shared" si="2"/>
        <v>15.215</v>
      </c>
      <c r="C127" s="50">
        <f>'Ref Voltages'!W18</f>
        <v>19.7</v>
      </c>
      <c r="D127" s="67">
        <v>1</v>
      </c>
      <c r="E127" s="111"/>
    </row>
    <row r="128" spans="1:5">
      <c r="A128" s="71">
        <v>3.3</v>
      </c>
      <c r="B128" s="68">
        <f t="shared" si="2"/>
        <v>16.07</v>
      </c>
      <c r="C128" s="50">
        <f>'Ref Voltages'!W19</f>
        <v>20.6</v>
      </c>
      <c r="D128" s="67">
        <v>1</v>
      </c>
      <c r="E128" s="111"/>
    </row>
    <row r="129" spans="1:5">
      <c r="A129" s="71">
        <v>3.4</v>
      </c>
      <c r="B129" s="68">
        <f t="shared" si="2"/>
        <v>16.07</v>
      </c>
      <c r="C129" s="50">
        <f>'Ref Voltages'!W20</f>
        <v>20.6</v>
      </c>
      <c r="D129" s="67">
        <v>1</v>
      </c>
      <c r="E129" s="111"/>
    </row>
    <row r="130" spans="1:5">
      <c r="A130" s="72">
        <v>4.0999999999999996</v>
      </c>
      <c r="B130" s="68">
        <f t="shared" si="2"/>
        <v>15.120000000000001</v>
      </c>
      <c r="C130" s="50">
        <f>'Ref Voltages'!U10</f>
        <v>19.600000000000001</v>
      </c>
      <c r="D130" s="67">
        <v>1</v>
      </c>
      <c r="E130" s="111">
        <v>32</v>
      </c>
    </row>
    <row r="131" spans="1:5">
      <c r="A131" s="72">
        <v>4.2</v>
      </c>
      <c r="B131" s="68">
        <f t="shared" si="2"/>
        <v>14.929999999999996</v>
      </c>
      <c r="C131" s="50">
        <f>'Ref Voltages'!U11</f>
        <v>19.399999999999999</v>
      </c>
      <c r="D131" s="67">
        <v>1</v>
      </c>
      <c r="E131" s="111"/>
    </row>
    <row r="132" spans="1:5">
      <c r="A132" s="72">
        <v>4.3</v>
      </c>
      <c r="B132" s="68">
        <f t="shared" si="2"/>
        <v>14.645</v>
      </c>
      <c r="C132" s="50">
        <f>'Ref Voltages'!U12</f>
        <v>19.100000000000001</v>
      </c>
      <c r="D132" s="67">
        <v>1</v>
      </c>
      <c r="E132" s="111"/>
    </row>
    <row r="133" spans="1:5">
      <c r="A133" s="72">
        <v>4.4000000000000004</v>
      </c>
      <c r="B133" s="68">
        <f t="shared" si="2"/>
        <v>15.024999999999999</v>
      </c>
      <c r="C133" s="50">
        <f>'Ref Voltages'!U13</f>
        <v>19.5</v>
      </c>
      <c r="D133" s="67">
        <v>1</v>
      </c>
      <c r="E133" s="111"/>
    </row>
    <row r="134" spans="1:5">
      <c r="A134" s="69">
        <v>1.1000000000000001</v>
      </c>
      <c r="B134" s="68">
        <f t="shared" si="2"/>
        <v>14.645</v>
      </c>
      <c r="C134" s="50">
        <f>'Ref Voltages'!S17</f>
        <v>19.100000000000001</v>
      </c>
      <c r="D134" s="67">
        <v>1</v>
      </c>
      <c r="E134" s="111">
        <v>33</v>
      </c>
    </row>
    <row r="135" spans="1:5">
      <c r="A135" s="69">
        <v>1.2</v>
      </c>
      <c r="B135" s="68">
        <f t="shared" si="2"/>
        <v>14.454999999999998</v>
      </c>
      <c r="C135" s="50">
        <f>'Ref Voltages'!S18</f>
        <v>18.899999999999999</v>
      </c>
      <c r="D135" s="67">
        <v>1</v>
      </c>
      <c r="E135" s="111"/>
    </row>
    <row r="136" spans="1:5">
      <c r="A136" s="69">
        <v>1.3</v>
      </c>
      <c r="B136" s="68">
        <f t="shared" si="2"/>
        <v>14.454999999999998</v>
      </c>
      <c r="C136" s="50">
        <f>'Ref Voltages'!S19</f>
        <v>18.899999999999999</v>
      </c>
      <c r="D136" s="67">
        <v>1</v>
      </c>
      <c r="E136" s="111"/>
    </row>
    <row r="137" spans="1:5">
      <c r="A137" s="69">
        <v>1.4</v>
      </c>
      <c r="B137" s="68">
        <f t="shared" si="2"/>
        <v>14.739999999999998</v>
      </c>
      <c r="C137" s="50">
        <f>'Ref Voltages'!S20</f>
        <v>19.2</v>
      </c>
      <c r="D137" s="67">
        <v>1</v>
      </c>
      <c r="E137" s="111"/>
    </row>
    <row r="138" spans="1:5">
      <c r="A138" s="70">
        <v>2.1</v>
      </c>
      <c r="B138" s="68">
        <f t="shared" si="2"/>
        <v>14.929999999999996</v>
      </c>
      <c r="C138" s="50">
        <f>'Ref Voltages'!Q10</f>
        <v>19.399999999999999</v>
      </c>
      <c r="D138" s="67">
        <v>1</v>
      </c>
      <c r="E138" s="111">
        <v>34</v>
      </c>
    </row>
    <row r="139" spans="1:5">
      <c r="A139" s="70">
        <v>2.2000000000000002</v>
      </c>
      <c r="B139" s="68">
        <f t="shared" si="2"/>
        <v>14.645</v>
      </c>
      <c r="C139" s="50">
        <f>'Ref Voltages'!Q11</f>
        <v>19.100000000000001</v>
      </c>
      <c r="D139" s="67">
        <v>1</v>
      </c>
      <c r="E139" s="111"/>
    </row>
    <row r="140" spans="1:5">
      <c r="A140" s="70">
        <v>2.2999999999999998</v>
      </c>
      <c r="B140" s="68">
        <f t="shared" si="2"/>
        <v>14.55</v>
      </c>
      <c r="C140" s="50">
        <f>'Ref Voltages'!Q12</f>
        <v>19</v>
      </c>
      <c r="D140" s="67">
        <v>1</v>
      </c>
      <c r="E140" s="111"/>
    </row>
    <row r="141" spans="1:5">
      <c r="A141" s="70">
        <v>2.4</v>
      </c>
      <c r="B141" s="68">
        <f t="shared" si="2"/>
        <v>14.835000000000001</v>
      </c>
      <c r="C141" s="50">
        <f>'Ref Voltages'!Q13</f>
        <v>19.3</v>
      </c>
      <c r="D141" s="67">
        <v>1</v>
      </c>
      <c r="E141" s="111"/>
    </row>
    <row r="142" spans="1:5">
      <c r="A142" s="71">
        <v>3.1</v>
      </c>
      <c r="B142" s="68">
        <f t="shared" si="2"/>
        <v>14.55</v>
      </c>
      <c r="C142" s="50">
        <f>'Ref Voltages'!O17</f>
        <v>19</v>
      </c>
      <c r="D142" s="67">
        <v>1</v>
      </c>
      <c r="E142" s="111">
        <v>35</v>
      </c>
    </row>
    <row r="143" spans="1:5">
      <c r="A143" s="71">
        <v>3.2</v>
      </c>
      <c r="B143" s="68">
        <f t="shared" si="2"/>
        <v>14.170000000000002</v>
      </c>
      <c r="C143" s="50">
        <f>'Ref Voltages'!O18</f>
        <v>18.600000000000001</v>
      </c>
      <c r="D143" s="67">
        <v>1</v>
      </c>
      <c r="E143" s="111"/>
    </row>
    <row r="144" spans="1:5">
      <c r="A144" s="71">
        <v>3.3</v>
      </c>
      <c r="B144" s="68">
        <f t="shared" si="2"/>
        <v>14.264999999999997</v>
      </c>
      <c r="C144" s="50">
        <f>'Ref Voltages'!O19</f>
        <v>18.7</v>
      </c>
      <c r="D144" s="67">
        <v>1</v>
      </c>
      <c r="E144" s="111"/>
    </row>
    <row r="145" spans="1:5">
      <c r="A145" s="71">
        <v>3.4</v>
      </c>
      <c r="B145" s="68">
        <f t="shared" si="2"/>
        <v>14.454999999999998</v>
      </c>
      <c r="C145" s="50">
        <f>'Ref Voltages'!O20</f>
        <v>18.899999999999999</v>
      </c>
      <c r="D145" s="67">
        <v>1</v>
      </c>
      <c r="E145" s="111"/>
    </row>
    <row r="146" spans="1:5">
      <c r="A146" s="72">
        <v>4.0999999999999996</v>
      </c>
      <c r="B146" s="68">
        <f t="shared" si="2"/>
        <v>14.835000000000001</v>
      </c>
      <c r="C146" s="50">
        <f>'Ref Voltages'!M10</f>
        <v>19.3</v>
      </c>
      <c r="D146" s="67">
        <v>1</v>
      </c>
      <c r="E146" s="111">
        <v>36</v>
      </c>
    </row>
    <row r="147" spans="1:5">
      <c r="A147" s="72">
        <v>4.2</v>
      </c>
      <c r="B147" s="68">
        <f t="shared" si="2"/>
        <v>15.024999999999999</v>
      </c>
      <c r="C147" s="50">
        <f>'Ref Voltages'!M11</f>
        <v>19.5</v>
      </c>
      <c r="D147" s="67">
        <v>1</v>
      </c>
      <c r="E147" s="111"/>
    </row>
    <row r="148" spans="1:5">
      <c r="A148" s="72">
        <v>4.3</v>
      </c>
      <c r="B148" s="68">
        <f t="shared" si="2"/>
        <v>14.835000000000001</v>
      </c>
      <c r="C148" s="50">
        <f>'Ref Voltages'!M12</f>
        <v>19.3</v>
      </c>
      <c r="D148" s="67">
        <v>1</v>
      </c>
      <c r="E148" s="111"/>
    </row>
    <row r="149" spans="1:5">
      <c r="A149" s="72">
        <v>4.4000000000000004</v>
      </c>
      <c r="B149" s="68">
        <f t="shared" si="2"/>
        <v>15.309999999999999</v>
      </c>
      <c r="C149" s="50">
        <f>'Ref Voltages'!M13</f>
        <v>19.8</v>
      </c>
      <c r="D149" s="67">
        <v>1</v>
      </c>
      <c r="E149" s="111"/>
    </row>
    <row r="150" spans="1:5">
      <c r="A150" s="69">
        <v>1.1000000000000001</v>
      </c>
      <c r="B150" s="68">
        <f t="shared" si="2"/>
        <v>15.689999999999998</v>
      </c>
      <c r="C150" s="50">
        <f>'Ref Voltages'!K17</f>
        <v>20.2</v>
      </c>
      <c r="D150" s="67">
        <v>1</v>
      </c>
      <c r="E150" s="111">
        <v>37</v>
      </c>
    </row>
    <row r="151" spans="1:5">
      <c r="A151" s="69">
        <v>1.2</v>
      </c>
      <c r="B151" s="68">
        <f t="shared" ref="B151:B165" si="3">(C151*$D$3+$F$3*(C151-$H$3)+$J$3)*D151</f>
        <v>15.215</v>
      </c>
      <c r="C151" s="50">
        <f>'Ref Voltages'!K18</f>
        <v>19.7</v>
      </c>
      <c r="D151" s="67">
        <v>1</v>
      </c>
      <c r="E151" s="111"/>
    </row>
    <row r="152" spans="1:5">
      <c r="A152" s="69">
        <v>1.3</v>
      </c>
      <c r="B152" s="68">
        <f t="shared" si="3"/>
        <v>15.404999999999998</v>
      </c>
      <c r="C152" s="50">
        <f>'Ref Voltages'!K19</f>
        <v>19.899999999999999</v>
      </c>
      <c r="D152" s="67">
        <v>1</v>
      </c>
      <c r="E152" s="111"/>
    </row>
    <row r="153" spans="1:5">
      <c r="A153" s="69">
        <v>1.4</v>
      </c>
      <c r="B153" s="68">
        <f t="shared" si="3"/>
        <v>15.215</v>
      </c>
      <c r="C153" s="50">
        <f>'Ref Voltages'!K20</f>
        <v>19.7</v>
      </c>
      <c r="D153" s="67">
        <v>1</v>
      </c>
      <c r="E153" s="111"/>
    </row>
    <row r="154" spans="1:5">
      <c r="A154" s="70">
        <v>2.1</v>
      </c>
      <c r="B154" s="68">
        <f t="shared" si="3"/>
        <v>14.454999999999998</v>
      </c>
      <c r="C154" s="50">
        <f>'Ref Voltages'!I10</f>
        <v>18.899999999999999</v>
      </c>
      <c r="D154" s="67">
        <v>1</v>
      </c>
      <c r="E154" s="111">
        <v>38</v>
      </c>
    </row>
    <row r="155" spans="1:5">
      <c r="A155" s="70">
        <v>2.2000000000000002</v>
      </c>
      <c r="B155" s="68">
        <f t="shared" si="3"/>
        <v>15.024999999999999</v>
      </c>
      <c r="C155" s="50">
        <f>'Ref Voltages'!I11</f>
        <v>19.5</v>
      </c>
      <c r="D155" s="67">
        <v>1</v>
      </c>
      <c r="E155" s="111"/>
    </row>
    <row r="156" spans="1:5">
      <c r="A156" s="70">
        <v>2.2999999999999998</v>
      </c>
      <c r="B156" s="68">
        <f t="shared" si="3"/>
        <v>14.55</v>
      </c>
      <c r="C156" s="50">
        <f>'Ref Voltages'!I12</f>
        <v>19</v>
      </c>
      <c r="D156" s="67">
        <v>1</v>
      </c>
      <c r="E156" s="111"/>
    </row>
    <row r="157" spans="1:5">
      <c r="A157" s="70">
        <v>2.4</v>
      </c>
      <c r="B157" s="68">
        <f t="shared" si="3"/>
        <v>14.929999999999996</v>
      </c>
      <c r="C157" s="50">
        <f>'Ref Voltages'!I13</f>
        <v>19.399999999999999</v>
      </c>
      <c r="D157" s="67">
        <v>1</v>
      </c>
      <c r="E157" s="111"/>
    </row>
    <row r="158" spans="1:5">
      <c r="A158" s="71">
        <v>3.1</v>
      </c>
      <c r="B158" s="68">
        <f t="shared" si="3"/>
        <v>15.785</v>
      </c>
      <c r="C158" s="50">
        <f>'Ref Voltages'!G17</f>
        <v>20.3</v>
      </c>
      <c r="D158" s="67">
        <v>1</v>
      </c>
      <c r="E158" s="111">
        <v>39</v>
      </c>
    </row>
    <row r="159" spans="1:5">
      <c r="A159" s="71">
        <v>3.2</v>
      </c>
      <c r="B159" s="68">
        <f t="shared" si="3"/>
        <v>15.309999999999999</v>
      </c>
      <c r="C159" s="50">
        <f>'Ref Voltages'!G18</f>
        <v>19.8</v>
      </c>
      <c r="D159" s="67">
        <v>1</v>
      </c>
      <c r="E159" s="111"/>
    </row>
    <row r="160" spans="1:5">
      <c r="A160" s="71">
        <v>3.3</v>
      </c>
      <c r="B160" s="68">
        <f t="shared" si="3"/>
        <v>15.215</v>
      </c>
      <c r="C160" s="50">
        <f>'Ref Voltages'!G19</f>
        <v>19.7</v>
      </c>
      <c r="D160" s="67">
        <v>1</v>
      </c>
      <c r="E160" s="111"/>
    </row>
    <row r="161" spans="1:5">
      <c r="A161" s="71">
        <v>3.4</v>
      </c>
      <c r="B161" s="68">
        <f t="shared" si="3"/>
        <v>15.215</v>
      </c>
      <c r="C161" s="50">
        <f>'Ref Voltages'!G20</f>
        <v>19.7</v>
      </c>
      <c r="D161" s="67">
        <v>1</v>
      </c>
      <c r="E161" s="111"/>
    </row>
    <row r="162" spans="1:5">
      <c r="A162" s="72">
        <v>4.0999999999999996</v>
      </c>
      <c r="B162" s="68">
        <f t="shared" si="3"/>
        <v>14.739999999999998</v>
      </c>
      <c r="C162" s="50">
        <f>'Ref Voltages'!E10</f>
        <v>19.2</v>
      </c>
      <c r="D162" s="67">
        <v>1</v>
      </c>
      <c r="E162" s="111">
        <v>40</v>
      </c>
    </row>
    <row r="163" spans="1:5">
      <c r="A163" s="72">
        <v>4.2</v>
      </c>
      <c r="B163" s="68">
        <f t="shared" si="3"/>
        <v>14.55</v>
      </c>
      <c r="C163" s="50">
        <f>'Ref Voltages'!E11</f>
        <v>19</v>
      </c>
      <c r="D163" s="67">
        <v>1</v>
      </c>
      <c r="E163" s="111"/>
    </row>
    <row r="164" spans="1:5">
      <c r="A164" s="72">
        <v>4.3</v>
      </c>
      <c r="B164" s="68">
        <f t="shared" si="3"/>
        <v>14.739999999999998</v>
      </c>
      <c r="C164" s="50">
        <f>'Ref Voltages'!E12</f>
        <v>19.2</v>
      </c>
      <c r="D164" s="67">
        <v>1</v>
      </c>
      <c r="E164" s="111"/>
    </row>
    <row r="165" spans="1:5">
      <c r="A165" s="72">
        <v>4.4000000000000004</v>
      </c>
      <c r="B165" s="68">
        <f t="shared" si="3"/>
        <v>14.929999999999996</v>
      </c>
      <c r="C165" s="50">
        <f>'Ref Voltages'!E13</f>
        <v>19.399999999999999</v>
      </c>
      <c r="D165" s="67">
        <v>1</v>
      </c>
      <c r="E165" s="111"/>
    </row>
  </sheetData>
  <mergeCells count="40">
    <mergeCell ref="E50:E53"/>
    <mergeCell ref="E6:E9"/>
    <mergeCell ref="E10:E13"/>
    <mergeCell ref="E14:E17"/>
    <mergeCell ref="E18:E21"/>
    <mergeCell ref="E22:E25"/>
    <mergeCell ref="E26:E29"/>
    <mergeCell ref="E30:E33"/>
    <mergeCell ref="E34:E37"/>
    <mergeCell ref="E38:E41"/>
    <mergeCell ref="E42:E45"/>
    <mergeCell ref="E46:E49"/>
    <mergeCell ref="E78:E81"/>
    <mergeCell ref="E82:E85"/>
    <mergeCell ref="E54:E57"/>
    <mergeCell ref="E58:E61"/>
    <mergeCell ref="E62:E65"/>
    <mergeCell ref="E66:E69"/>
    <mergeCell ref="E70:E73"/>
    <mergeCell ref="E74:E77"/>
    <mergeCell ref="E86:E89"/>
    <mergeCell ref="E90:E93"/>
    <mergeCell ref="E94:E97"/>
    <mergeCell ref="E98:E101"/>
    <mergeCell ref="E102:E105"/>
    <mergeCell ref="E106:E109"/>
    <mergeCell ref="E110:E113"/>
    <mergeCell ref="E114:E117"/>
    <mergeCell ref="E118:E121"/>
    <mergeCell ref="E122:E125"/>
    <mergeCell ref="E126:E129"/>
    <mergeCell ref="E130:E133"/>
    <mergeCell ref="E134:E137"/>
    <mergeCell ref="E138:E141"/>
    <mergeCell ref="E142:E145"/>
    <mergeCell ref="E146:E149"/>
    <mergeCell ref="E150:E153"/>
    <mergeCell ref="E154:E157"/>
    <mergeCell ref="E158:E161"/>
    <mergeCell ref="E162:E16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S50"/>
  <sheetViews>
    <sheetView zoomScale="90" zoomScaleNormal="90" workbookViewId="0">
      <selection activeCell="H6" sqref="H6"/>
    </sheetView>
  </sheetViews>
  <sheetFormatPr baseColWidth="10" defaultColWidth="11.42578125" defaultRowHeight="12.75"/>
  <sheetData>
    <row r="1" spans="1:45">
      <c r="A1" s="65" t="s">
        <v>107</v>
      </c>
      <c r="B1" s="65"/>
      <c r="C1" s="65"/>
      <c r="D1" s="65"/>
      <c r="E1" s="65"/>
      <c r="F1" s="65"/>
      <c r="G1" s="65"/>
      <c r="H1" s="65"/>
      <c r="I1" s="65"/>
      <c r="J1" s="65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</row>
    <row r="2" spans="1:45" ht="23.25">
      <c r="A2" s="64" t="s">
        <v>96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1:4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</row>
    <row r="4" spans="1:45">
      <c r="A4" s="7" t="s">
        <v>97</v>
      </c>
      <c r="B4" s="3" t="s">
        <v>197</v>
      </c>
      <c r="C4" s="7"/>
      <c r="D4" s="7"/>
      <c r="E4" s="7"/>
      <c r="F4" s="7"/>
      <c r="G4" s="7"/>
      <c r="H4" s="7"/>
      <c r="I4" s="7"/>
      <c r="J4" s="7" t="s">
        <v>142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</row>
    <row r="5" spans="1:4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1:45" ht="13.5" thickBo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</row>
    <row r="8" spans="1:45" ht="12.75" customHeight="1">
      <c r="A8" s="115" t="s">
        <v>98</v>
      </c>
      <c r="B8" s="7"/>
      <c r="C8" s="112" t="s">
        <v>178</v>
      </c>
      <c r="D8" s="77" t="s">
        <v>99</v>
      </c>
      <c r="E8" s="78" t="s">
        <v>105</v>
      </c>
      <c r="F8" s="76"/>
      <c r="G8" s="112" t="s">
        <v>182</v>
      </c>
      <c r="H8" s="77" t="s">
        <v>99</v>
      </c>
      <c r="I8" s="78" t="s">
        <v>138</v>
      </c>
      <c r="J8" s="76"/>
      <c r="K8" s="112" t="s">
        <v>180</v>
      </c>
      <c r="L8" s="77" t="s">
        <v>99</v>
      </c>
      <c r="M8" s="78" t="s">
        <v>138</v>
      </c>
      <c r="N8" s="76"/>
      <c r="O8" s="112" t="s">
        <v>143</v>
      </c>
      <c r="P8" s="77" t="s">
        <v>99</v>
      </c>
      <c r="Q8" s="78" t="s">
        <v>105</v>
      </c>
      <c r="R8" s="76"/>
      <c r="S8" s="112" t="s">
        <v>144</v>
      </c>
      <c r="T8" s="77" t="s">
        <v>99</v>
      </c>
      <c r="U8" s="78" t="s">
        <v>105</v>
      </c>
      <c r="V8" s="76"/>
      <c r="W8" s="112" t="s">
        <v>145</v>
      </c>
      <c r="X8" s="77" t="s">
        <v>99</v>
      </c>
      <c r="Y8" s="78" t="s">
        <v>105</v>
      </c>
      <c r="Z8" s="76"/>
      <c r="AA8" s="112" t="s">
        <v>146</v>
      </c>
      <c r="AB8" s="77" t="s">
        <v>99</v>
      </c>
      <c r="AC8" s="78" t="s">
        <v>105</v>
      </c>
      <c r="AD8" s="76"/>
      <c r="AE8" s="112" t="s">
        <v>147</v>
      </c>
      <c r="AF8" s="77" t="s">
        <v>99</v>
      </c>
      <c r="AG8" s="78" t="s">
        <v>105</v>
      </c>
      <c r="AH8" s="76"/>
      <c r="AI8" s="112" t="s">
        <v>148</v>
      </c>
      <c r="AJ8" s="77" t="s">
        <v>99</v>
      </c>
      <c r="AK8" s="78" t="s">
        <v>105</v>
      </c>
      <c r="AL8" s="76"/>
      <c r="AM8" s="112" t="s">
        <v>149</v>
      </c>
      <c r="AN8" s="77" t="s">
        <v>99</v>
      </c>
      <c r="AO8" s="78" t="s">
        <v>105</v>
      </c>
      <c r="AP8" s="76"/>
      <c r="AQ8" s="76"/>
      <c r="AR8" s="76"/>
      <c r="AS8" s="76"/>
    </row>
    <row r="9" spans="1:45" ht="12.75" customHeight="1">
      <c r="A9" s="116"/>
      <c r="B9" s="7"/>
      <c r="C9" s="113"/>
      <c r="D9" s="79" t="s">
        <v>100</v>
      </c>
      <c r="E9" s="80"/>
      <c r="F9" s="76"/>
      <c r="G9" s="113"/>
      <c r="H9" s="79" t="s">
        <v>100</v>
      </c>
      <c r="I9" s="80"/>
      <c r="J9" s="76"/>
      <c r="K9" s="113"/>
      <c r="L9" s="79" t="s">
        <v>100</v>
      </c>
      <c r="M9" s="80"/>
      <c r="N9" s="76"/>
      <c r="O9" s="113"/>
      <c r="P9" s="79" t="s">
        <v>100</v>
      </c>
      <c r="Q9" s="80"/>
      <c r="R9" s="76"/>
      <c r="S9" s="113"/>
      <c r="T9" s="79" t="s">
        <v>100</v>
      </c>
      <c r="U9" s="80"/>
      <c r="V9" s="76"/>
      <c r="W9" s="113"/>
      <c r="X9" s="79" t="s">
        <v>100</v>
      </c>
      <c r="Y9" s="80"/>
      <c r="Z9" s="76"/>
      <c r="AA9" s="113"/>
      <c r="AB9" s="79" t="s">
        <v>100</v>
      </c>
      <c r="AC9" s="80"/>
      <c r="AD9" s="76"/>
      <c r="AE9" s="113"/>
      <c r="AF9" s="79" t="s">
        <v>100</v>
      </c>
      <c r="AG9" s="80"/>
      <c r="AH9" s="76"/>
      <c r="AI9" s="113"/>
      <c r="AJ9" s="79" t="s">
        <v>100</v>
      </c>
      <c r="AK9" s="80"/>
      <c r="AL9" s="76"/>
      <c r="AM9" s="113"/>
      <c r="AN9" s="79" t="s">
        <v>100</v>
      </c>
      <c r="AO9" s="80"/>
      <c r="AP9" s="76"/>
      <c r="AQ9" s="76"/>
      <c r="AR9" s="76"/>
      <c r="AS9" s="76"/>
    </row>
    <row r="10" spans="1:45" ht="12.75" customHeight="1">
      <c r="A10" s="116"/>
      <c r="B10" s="7"/>
      <c r="C10" s="113"/>
      <c r="D10" s="79" t="s">
        <v>101</v>
      </c>
      <c r="E10" s="80">
        <v>19.2</v>
      </c>
      <c r="F10" s="76"/>
      <c r="G10" s="113"/>
      <c r="H10" s="79" t="s">
        <v>101</v>
      </c>
      <c r="I10" s="80">
        <v>18.899999999999999</v>
      </c>
      <c r="J10" s="76"/>
      <c r="K10" s="113"/>
      <c r="L10" s="79" t="s">
        <v>101</v>
      </c>
      <c r="M10" s="80">
        <v>19.3</v>
      </c>
      <c r="N10" s="76"/>
      <c r="O10" s="113"/>
      <c r="P10" s="79" t="s">
        <v>101</v>
      </c>
      <c r="Q10" s="80">
        <v>19.399999999999999</v>
      </c>
      <c r="R10" s="76"/>
      <c r="S10" s="113"/>
      <c r="T10" s="79" t="s">
        <v>101</v>
      </c>
      <c r="U10" s="80">
        <v>19.600000000000001</v>
      </c>
      <c r="V10" s="76"/>
      <c r="W10" s="113"/>
      <c r="X10" s="79" t="s">
        <v>101</v>
      </c>
      <c r="Y10" s="80">
        <v>20</v>
      </c>
      <c r="Z10" s="76"/>
      <c r="AA10" s="113"/>
      <c r="AB10" s="79" t="s">
        <v>101</v>
      </c>
      <c r="AC10" s="80">
        <v>19.2</v>
      </c>
      <c r="AD10" s="76"/>
      <c r="AE10" s="113"/>
      <c r="AF10" s="79" t="s">
        <v>101</v>
      </c>
      <c r="AG10" s="80">
        <v>19.5</v>
      </c>
      <c r="AH10" s="76"/>
      <c r="AI10" s="113"/>
      <c r="AJ10" s="79" t="s">
        <v>101</v>
      </c>
      <c r="AK10" s="80">
        <v>19.8</v>
      </c>
      <c r="AL10" s="76"/>
      <c r="AM10" s="113"/>
      <c r="AN10" s="79" t="s">
        <v>101</v>
      </c>
      <c r="AO10" s="80">
        <v>20</v>
      </c>
      <c r="AP10" s="76"/>
      <c r="AQ10" s="76"/>
      <c r="AR10" s="76"/>
      <c r="AS10" s="76"/>
    </row>
    <row r="11" spans="1:45" ht="12.75" customHeight="1">
      <c r="A11" s="116"/>
      <c r="B11" s="7"/>
      <c r="C11" s="113"/>
      <c r="D11" s="79" t="s">
        <v>102</v>
      </c>
      <c r="E11" s="80">
        <v>19</v>
      </c>
      <c r="F11" s="76"/>
      <c r="G11" s="113"/>
      <c r="H11" s="79" t="s">
        <v>102</v>
      </c>
      <c r="I11" s="80">
        <v>19.5</v>
      </c>
      <c r="J11" s="76"/>
      <c r="K11" s="113"/>
      <c r="L11" s="79" t="s">
        <v>102</v>
      </c>
      <c r="M11" s="80">
        <v>19.5</v>
      </c>
      <c r="N11" s="76"/>
      <c r="O11" s="113"/>
      <c r="P11" s="79" t="s">
        <v>102</v>
      </c>
      <c r="Q11" s="80">
        <v>19.100000000000001</v>
      </c>
      <c r="R11" s="76"/>
      <c r="S11" s="113"/>
      <c r="T11" s="79" t="s">
        <v>102</v>
      </c>
      <c r="U11" s="80">
        <v>19.399999999999999</v>
      </c>
      <c r="V11" s="76"/>
      <c r="W11" s="113"/>
      <c r="X11" s="79" t="s">
        <v>102</v>
      </c>
      <c r="Y11" s="80">
        <v>19.5</v>
      </c>
      <c r="Z11" s="76"/>
      <c r="AA11" s="113"/>
      <c r="AB11" s="79" t="s">
        <v>102</v>
      </c>
      <c r="AC11" s="80">
        <v>18.899999999999999</v>
      </c>
      <c r="AD11" s="76"/>
      <c r="AE11" s="113"/>
      <c r="AF11" s="79" t="s">
        <v>102</v>
      </c>
      <c r="AG11" s="80">
        <v>19.3</v>
      </c>
      <c r="AH11" s="76"/>
      <c r="AI11" s="113"/>
      <c r="AJ11" s="79" t="s">
        <v>102</v>
      </c>
      <c r="AK11" s="80">
        <v>19.399999999999999</v>
      </c>
      <c r="AL11" s="76"/>
      <c r="AM11" s="113"/>
      <c r="AN11" s="79" t="s">
        <v>102</v>
      </c>
      <c r="AO11" s="80">
        <v>19.7</v>
      </c>
      <c r="AP11" s="76"/>
      <c r="AQ11" s="76"/>
      <c r="AR11" s="76"/>
      <c r="AS11" s="76"/>
    </row>
    <row r="12" spans="1:45" ht="12.75" customHeight="1">
      <c r="A12" s="116"/>
      <c r="B12" s="7"/>
      <c r="C12" s="113"/>
      <c r="D12" s="79" t="s">
        <v>103</v>
      </c>
      <c r="E12" s="80">
        <v>19.2</v>
      </c>
      <c r="F12" s="76"/>
      <c r="G12" s="113"/>
      <c r="H12" s="79" t="s">
        <v>103</v>
      </c>
      <c r="I12" s="80">
        <v>19</v>
      </c>
      <c r="J12" s="76"/>
      <c r="K12" s="113"/>
      <c r="L12" s="79" t="s">
        <v>103</v>
      </c>
      <c r="M12" s="80">
        <v>19.3</v>
      </c>
      <c r="N12" s="76"/>
      <c r="O12" s="113"/>
      <c r="P12" s="79" t="s">
        <v>103</v>
      </c>
      <c r="Q12" s="80">
        <v>19</v>
      </c>
      <c r="R12" s="76"/>
      <c r="S12" s="113"/>
      <c r="T12" s="79" t="s">
        <v>103</v>
      </c>
      <c r="U12" s="80">
        <v>19.100000000000001</v>
      </c>
      <c r="V12" s="76"/>
      <c r="W12" s="113"/>
      <c r="X12" s="79" t="s">
        <v>103</v>
      </c>
      <c r="Y12" s="80">
        <v>19.3</v>
      </c>
      <c r="Z12" s="76"/>
      <c r="AA12" s="113"/>
      <c r="AB12" s="79" t="s">
        <v>103</v>
      </c>
      <c r="AC12" s="80">
        <v>19.100000000000001</v>
      </c>
      <c r="AD12" s="76"/>
      <c r="AE12" s="113"/>
      <c r="AF12" s="79" t="s">
        <v>103</v>
      </c>
      <c r="AG12" s="80">
        <v>19.100000000000001</v>
      </c>
      <c r="AH12" s="76"/>
      <c r="AI12" s="113"/>
      <c r="AJ12" s="79" t="s">
        <v>103</v>
      </c>
      <c r="AK12" s="80">
        <v>19.5</v>
      </c>
      <c r="AL12" s="76"/>
      <c r="AM12" s="113"/>
      <c r="AN12" s="79" t="s">
        <v>103</v>
      </c>
      <c r="AO12" s="80">
        <v>19.5</v>
      </c>
      <c r="AP12" s="76"/>
      <c r="AQ12" s="76"/>
      <c r="AR12" s="76"/>
      <c r="AS12" s="76"/>
    </row>
    <row r="13" spans="1:45" ht="13.5" customHeight="1" thickBot="1">
      <c r="A13" s="116"/>
      <c r="B13" s="7"/>
      <c r="C13" s="114"/>
      <c r="D13" s="81" t="s">
        <v>104</v>
      </c>
      <c r="E13" s="82">
        <v>19.399999999999999</v>
      </c>
      <c r="F13" s="76"/>
      <c r="G13" s="114"/>
      <c r="H13" s="81" t="s">
        <v>104</v>
      </c>
      <c r="I13" s="82">
        <v>19.399999999999999</v>
      </c>
      <c r="J13" s="35"/>
      <c r="K13" s="114"/>
      <c r="L13" s="81" t="s">
        <v>104</v>
      </c>
      <c r="M13" s="82">
        <v>19.8</v>
      </c>
      <c r="N13" s="35"/>
      <c r="O13" s="114"/>
      <c r="P13" s="81" t="s">
        <v>104</v>
      </c>
      <c r="Q13" s="82">
        <v>19.3</v>
      </c>
      <c r="R13" s="35"/>
      <c r="S13" s="114"/>
      <c r="T13" s="81" t="s">
        <v>104</v>
      </c>
      <c r="U13" s="82">
        <v>19.5</v>
      </c>
      <c r="V13" s="35"/>
      <c r="W13" s="114"/>
      <c r="X13" s="81" t="s">
        <v>104</v>
      </c>
      <c r="Y13" s="82">
        <v>19.399999999999999</v>
      </c>
      <c r="Z13" s="35"/>
      <c r="AA13" s="114"/>
      <c r="AB13" s="81" t="s">
        <v>104</v>
      </c>
      <c r="AC13" s="82">
        <v>19.100000000000001</v>
      </c>
      <c r="AD13" s="35"/>
      <c r="AE13" s="114"/>
      <c r="AF13" s="81" t="s">
        <v>104</v>
      </c>
      <c r="AG13" s="82">
        <v>19.2</v>
      </c>
      <c r="AH13" s="35"/>
      <c r="AI13" s="114"/>
      <c r="AJ13" s="81" t="s">
        <v>104</v>
      </c>
      <c r="AK13" s="82">
        <v>19.3</v>
      </c>
      <c r="AL13" s="35"/>
      <c r="AM13" s="114"/>
      <c r="AN13" s="81" t="s">
        <v>104</v>
      </c>
      <c r="AO13" s="82">
        <v>19.399999999999999</v>
      </c>
      <c r="AP13" s="35"/>
      <c r="AQ13" s="76"/>
      <c r="AR13" s="76"/>
      <c r="AS13" s="76"/>
    </row>
    <row r="14" spans="1:45" ht="13.5" thickBot="1">
      <c r="A14" s="116"/>
      <c r="B14" s="7"/>
      <c r="C14" s="76"/>
      <c r="D14" s="76"/>
      <c r="E14" s="76"/>
      <c r="F14" s="76"/>
      <c r="G14" s="76"/>
      <c r="H14" s="76"/>
      <c r="I14" s="76"/>
      <c r="J14" s="35"/>
      <c r="K14" s="76"/>
      <c r="L14" s="35"/>
      <c r="M14" s="76"/>
      <c r="N14" s="35"/>
      <c r="O14" s="76"/>
      <c r="P14" s="35"/>
      <c r="Q14" s="76"/>
      <c r="R14" s="35"/>
      <c r="S14" s="76"/>
      <c r="T14" s="35"/>
      <c r="U14" s="76"/>
      <c r="V14" s="35"/>
      <c r="W14" s="76"/>
      <c r="X14" s="35"/>
      <c r="Y14" s="76"/>
      <c r="Z14" s="35"/>
      <c r="AA14" s="76"/>
      <c r="AB14" s="35"/>
      <c r="AC14" s="76"/>
      <c r="AD14" s="35"/>
      <c r="AE14" s="76"/>
      <c r="AF14" s="35"/>
      <c r="AG14" s="76"/>
      <c r="AH14" s="35"/>
      <c r="AI14" s="76"/>
      <c r="AJ14" s="35"/>
      <c r="AK14" s="76"/>
      <c r="AL14" s="35"/>
      <c r="AM14" s="76"/>
      <c r="AN14" s="35"/>
      <c r="AO14" s="76"/>
      <c r="AP14" s="35"/>
      <c r="AQ14" s="76"/>
      <c r="AR14" s="76"/>
      <c r="AS14" s="76"/>
    </row>
    <row r="15" spans="1:45" ht="12.75" customHeight="1">
      <c r="A15" s="116"/>
      <c r="B15" s="7"/>
      <c r="C15" s="76"/>
      <c r="D15" s="76"/>
      <c r="E15" s="112" t="s">
        <v>183</v>
      </c>
      <c r="F15" s="77" t="s">
        <v>99</v>
      </c>
      <c r="G15" s="78" t="s">
        <v>105</v>
      </c>
      <c r="H15" s="76"/>
      <c r="I15" s="112" t="s">
        <v>181</v>
      </c>
      <c r="J15" s="77" t="s">
        <v>99</v>
      </c>
      <c r="K15" s="78" t="s">
        <v>138</v>
      </c>
      <c r="L15" s="35"/>
      <c r="M15" s="112" t="s">
        <v>179</v>
      </c>
      <c r="N15" s="77" t="s">
        <v>99</v>
      </c>
      <c r="O15" s="78" t="s">
        <v>105</v>
      </c>
      <c r="P15" s="35"/>
      <c r="Q15" s="112" t="s">
        <v>150</v>
      </c>
      <c r="R15" s="77" t="s">
        <v>99</v>
      </c>
      <c r="S15" s="78" t="s">
        <v>105</v>
      </c>
      <c r="T15" s="35"/>
      <c r="U15" s="112" t="s">
        <v>151</v>
      </c>
      <c r="V15" s="77" t="s">
        <v>99</v>
      </c>
      <c r="W15" s="78" t="s">
        <v>105</v>
      </c>
      <c r="X15" s="35"/>
      <c r="Y15" s="112" t="s">
        <v>152</v>
      </c>
      <c r="Z15" s="77" t="s">
        <v>99</v>
      </c>
      <c r="AA15" s="78" t="s">
        <v>105</v>
      </c>
      <c r="AB15" s="35"/>
      <c r="AC15" s="112" t="s">
        <v>153</v>
      </c>
      <c r="AD15" s="77" t="s">
        <v>99</v>
      </c>
      <c r="AE15" s="78" t="s">
        <v>105</v>
      </c>
      <c r="AF15" s="35"/>
      <c r="AG15" s="112" t="s">
        <v>154</v>
      </c>
      <c r="AH15" s="77" t="s">
        <v>99</v>
      </c>
      <c r="AI15" s="78" t="s">
        <v>138</v>
      </c>
      <c r="AJ15" s="35"/>
      <c r="AK15" s="112" t="s">
        <v>155</v>
      </c>
      <c r="AL15" s="77" t="s">
        <v>99</v>
      </c>
      <c r="AM15" s="78" t="s">
        <v>105</v>
      </c>
      <c r="AN15" s="35"/>
      <c r="AO15" s="112" t="s">
        <v>156</v>
      </c>
      <c r="AP15" s="77" t="s">
        <v>99</v>
      </c>
      <c r="AQ15" s="78" t="s">
        <v>138</v>
      </c>
      <c r="AR15" s="76"/>
      <c r="AS15" s="76"/>
    </row>
    <row r="16" spans="1:45" ht="12.75" customHeight="1">
      <c r="A16" s="116"/>
      <c r="B16" s="7"/>
      <c r="C16" s="76"/>
      <c r="D16" s="76"/>
      <c r="E16" s="113"/>
      <c r="F16" s="79" t="s">
        <v>100</v>
      </c>
      <c r="G16" s="80"/>
      <c r="H16" s="76"/>
      <c r="I16" s="113"/>
      <c r="J16" s="79" t="s">
        <v>100</v>
      </c>
      <c r="K16" s="80"/>
      <c r="L16" s="35"/>
      <c r="M16" s="113"/>
      <c r="N16" s="79" t="s">
        <v>100</v>
      </c>
      <c r="O16" s="80"/>
      <c r="P16" s="35"/>
      <c r="Q16" s="113"/>
      <c r="R16" s="79" t="s">
        <v>100</v>
      </c>
      <c r="S16" s="80"/>
      <c r="T16" s="35"/>
      <c r="U16" s="113"/>
      <c r="V16" s="79" t="s">
        <v>100</v>
      </c>
      <c r="W16" s="80"/>
      <c r="X16" s="35"/>
      <c r="Y16" s="113"/>
      <c r="Z16" s="79" t="s">
        <v>100</v>
      </c>
      <c r="AA16" s="80"/>
      <c r="AB16" s="35"/>
      <c r="AC16" s="113"/>
      <c r="AD16" s="79" t="s">
        <v>100</v>
      </c>
      <c r="AE16" s="80"/>
      <c r="AF16" s="35"/>
      <c r="AG16" s="113"/>
      <c r="AH16" s="79" t="s">
        <v>100</v>
      </c>
      <c r="AI16" s="80"/>
      <c r="AJ16" s="35"/>
      <c r="AK16" s="113"/>
      <c r="AL16" s="79" t="s">
        <v>100</v>
      </c>
      <c r="AM16" s="80"/>
      <c r="AN16" s="35"/>
      <c r="AO16" s="113"/>
      <c r="AP16" s="79" t="s">
        <v>100</v>
      </c>
      <c r="AQ16" s="80"/>
      <c r="AR16" s="76"/>
      <c r="AS16" s="76"/>
    </row>
    <row r="17" spans="1:45" ht="12.75" customHeight="1">
      <c r="A17" s="116"/>
      <c r="B17" s="7"/>
      <c r="C17" s="76"/>
      <c r="D17" s="76"/>
      <c r="E17" s="113"/>
      <c r="F17" s="79" t="s">
        <v>101</v>
      </c>
      <c r="G17" s="80">
        <v>20.3</v>
      </c>
      <c r="H17" s="76"/>
      <c r="I17" s="113"/>
      <c r="J17" s="79" t="s">
        <v>101</v>
      </c>
      <c r="K17" s="80">
        <v>20.2</v>
      </c>
      <c r="L17" s="35"/>
      <c r="M17" s="113"/>
      <c r="N17" s="79" t="s">
        <v>101</v>
      </c>
      <c r="O17" s="80">
        <v>19</v>
      </c>
      <c r="P17" s="35"/>
      <c r="Q17" s="113"/>
      <c r="R17" s="79" t="s">
        <v>101</v>
      </c>
      <c r="S17" s="80">
        <v>19.100000000000001</v>
      </c>
      <c r="T17" s="35"/>
      <c r="U17" s="113"/>
      <c r="V17" s="79" t="s">
        <v>101</v>
      </c>
      <c r="W17" s="80">
        <v>20.100000000000001</v>
      </c>
      <c r="X17" s="35"/>
      <c r="Y17" s="113"/>
      <c r="Z17" s="79" t="s">
        <v>101</v>
      </c>
      <c r="AA17" s="80">
        <v>19.3</v>
      </c>
      <c r="AB17" s="35"/>
      <c r="AC17" s="113"/>
      <c r="AD17" s="79" t="s">
        <v>101</v>
      </c>
      <c r="AE17" s="80">
        <v>19.399999999999999</v>
      </c>
      <c r="AF17" s="35"/>
      <c r="AG17" s="113"/>
      <c r="AH17" s="79" t="s">
        <v>101</v>
      </c>
      <c r="AI17" s="80">
        <v>19.600000000000001</v>
      </c>
      <c r="AJ17" s="35"/>
      <c r="AK17" s="113"/>
      <c r="AL17" s="79" t="s">
        <v>101</v>
      </c>
      <c r="AM17" s="80">
        <v>19.399999999999999</v>
      </c>
      <c r="AN17" s="35"/>
      <c r="AO17" s="113"/>
      <c r="AP17" s="79" t="s">
        <v>101</v>
      </c>
      <c r="AQ17" s="80">
        <v>18.7</v>
      </c>
      <c r="AR17" s="76"/>
      <c r="AS17" s="76"/>
    </row>
    <row r="18" spans="1:45" ht="12.75" customHeight="1">
      <c r="A18" s="116"/>
      <c r="B18" s="7"/>
      <c r="C18" s="76"/>
      <c r="D18" s="76"/>
      <c r="E18" s="113"/>
      <c r="F18" s="79" t="s">
        <v>102</v>
      </c>
      <c r="G18" s="80">
        <v>19.8</v>
      </c>
      <c r="H18" s="76"/>
      <c r="I18" s="113"/>
      <c r="J18" s="79" t="s">
        <v>102</v>
      </c>
      <c r="K18" s="80">
        <v>19.7</v>
      </c>
      <c r="L18" s="35"/>
      <c r="M18" s="113"/>
      <c r="N18" s="79" t="s">
        <v>102</v>
      </c>
      <c r="O18" s="80">
        <v>18.600000000000001</v>
      </c>
      <c r="P18" s="35"/>
      <c r="Q18" s="113"/>
      <c r="R18" s="79" t="s">
        <v>102</v>
      </c>
      <c r="S18" s="80">
        <v>18.899999999999999</v>
      </c>
      <c r="T18" s="35"/>
      <c r="U18" s="113"/>
      <c r="V18" s="79" t="s">
        <v>102</v>
      </c>
      <c r="W18" s="80">
        <v>19.7</v>
      </c>
      <c r="X18" s="35"/>
      <c r="Y18" s="113"/>
      <c r="Z18" s="79" t="s">
        <v>102</v>
      </c>
      <c r="AA18" s="80">
        <v>19.3</v>
      </c>
      <c r="AB18" s="35"/>
      <c r="AC18" s="113"/>
      <c r="AD18" s="79" t="s">
        <v>102</v>
      </c>
      <c r="AE18" s="80">
        <v>19.399999999999999</v>
      </c>
      <c r="AF18" s="35"/>
      <c r="AG18" s="113"/>
      <c r="AH18" s="79" t="s">
        <v>102</v>
      </c>
      <c r="AI18" s="80">
        <v>19.5</v>
      </c>
      <c r="AJ18" s="35"/>
      <c r="AK18" s="113"/>
      <c r="AL18" s="79" t="s">
        <v>102</v>
      </c>
      <c r="AM18" s="80">
        <v>19.600000000000001</v>
      </c>
      <c r="AN18" s="35"/>
      <c r="AO18" s="113"/>
      <c r="AP18" s="79" t="s">
        <v>102</v>
      </c>
      <c r="AQ18" s="80">
        <v>19</v>
      </c>
      <c r="AR18" s="76"/>
      <c r="AS18" s="76"/>
    </row>
    <row r="19" spans="1:45" ht="12.75" customHeight="1">
      <c r="A19" s="116"/>
      <c r="B19" s="7"/>
      <c r="C19" s="76"/>
      <c r="D19" s="76"/>
      <c r="E19" s="113"/>
      <c r="F19" s="79" t="s">
        <v>103</v>
      </c>
      <c r="G19" s="80">
        <v>19.7</v>
      </c>
      <c r="H19" s="76"/>
      <c r="I19" s="113"/>
      <c r="J19" s="79" t="s">
        <v>103</v>
      </c>
      <c r="K19" s="80">
        <v>19.899999999999999</v>
      </c>
      <c r="L19" s="35"/>
      <c r="M19" s="113"/>
      <c r="N19" s="79" t="s">
        <v>103</v>
      </c>
      <c r="O19" s="80">
        <v>18.7</v>
      </c>
      <c r="P19" s="35"/>
      <c r="Q19" s="113"/>
      <c r="R19" s="79" t="s">
        <v>103</v>
      </c>
      <c r="S19" s="80">
        <v>18.899999999999999</v>
      </c>
      <c r="T19" s="35"/>
      <c r="U19" s="113"/>
      <c r="V19" s="79" t="s">
        <v>103</v>
      </c>
      <c r="W19" s="80">
        <v>20.6</v>
      </c>
      <c r="X19" s="35"/>
      <c r="Y19" s="113"/>
      <c r="Z19" s="79" t="s">
        <v>103</v>
      </c>
      <c r="AA19" s="80">
        <v>19.100000000000001</v>
      </c>
      <c r="AB19" s="35"/>
      <c r="AC19" s="113"/>
      <c r="AD19" s="79" t="s">
        <v>103</v>
      </c>
      <c r="AE19" s="80">
        <v>18.8</v>
      </c>
      <c r="AF19" s="35"/>
      <c r="AG19" s="113"/>
      <c r="AH19" s="79" t="s">
        <v>103</v>
      </c>
      <c r="AI19" s="80">
        <v>19</v>
      </c>
      <c r="AJ19" s="35"/>
      <c r="AK19" s="113"/>
      <c r="AL19" s="79" t="s">
        <v>103</v>
      </c>
      <c r="AM19" s="80">
        <v>19.2</v>
      </c>
      <c r="AN19" s="35"/>
      <c r="AO19" s="113"/>
      <c r="AP19" s="79" t="s">
        <v>103</v>
      </c>
      <c r="AQ19" s="80">
        <v>18.8</v>
      </c>
      <c r="AR19" s="76"/>
      <c r="AS19" s="76"/>
    </row>
    <row r="20" spans="1:45" ht="13.5" customHeight="1" thickBot="1">
      <c r="A20" s="116"/>
      <c r="B20" s="7"/>
      <c r="C20" s="76"/>
      <c r="D20" s="76"/>
      <c r="E20" s="114"/>
      <c r="F20" s="81" t="s">
        <v>104</v>
      </c>
      <c r="G20" s="82">
        <v>19.7</v>
      </c>
      <c r="H20" s="76"/>
      <c r="I20" s="114"/>
      <c r="J20" s="81" t="s">
        <v>104</v>
      </c>
      <c r="K20" s="82">
        <v>19.7</v>
      </c>
      <c r="L20" s="35"/>
      <c r="M20" s="114"/>
      <c r="N20" s="81" t="s">
        <v>104</v>
      </c>
      <c r="O20" s="82">
        <v>18.899999999999999</v>
      </c>
      <c r="P20" s="35"/>
      <c r="Q20" s="114"/>
      <c r="R20" s="81" t="s">
        <v>104</v>
      </c>
      <c r="S20" s="82">
        <v>19.2</v>
      </c>
      <c r="T20" s="35"/>
      <c r="U20" s="114"/>
      <c r="V20" s="81" t="s">
        <v>104</v>
      </c>
      <c r="W20" s="82">
        <v>20.6</v>
      </c>
      <c r="X20" s="35"/>
      <c r="Y20" s="114"/>
      <c r="Z20" s="81" t="s">
        <v>104</v>
      </c>
      <c r="AA20" s="82">
        <v>19.8</v>
      </c>
      <c r="AB20" s="35"/>
      <c r="AC20" s="114"/>
      <c r="AD20" s="81" t="s">
        <v>104</v>
      </c>
      <c r="AE20" s="82">
        <v>19.100000000000001</v>
      </c>
      <c r="AF20" s="35"/>
      <c r="AG20" s="114"/>
      <c r="AH20" s="81" t="s">
        <v>104</v>
      </c>
      <c r="AI20" s="82">
        <v>19.5</v>
      </c>
      <c r="AJ20" s="35"/>
      <c r="AK20" s="114"/>
      <c r="AL20" s="81" t="s">
        <v>104</v>
      </c>
      <c r="AM20" s="82">
        <v>19.3</v>
      </c>
      <c r="AN20" s="35"/>
      <c r="AO20" s="114"/>
      <c r="AP20" s="81" t="s">
        <v>104</v>
      </c>
      <c r="AQ20" s="82">
        <v>19.3</v>
      </c>
      <c r="AR20" s="76"/>
      <c r="AS20" s="76"/>
    </row>
    <row r="21" spans="1:45">
      <c r="A21" s="117"/>
      <c r="B21" s="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</row>
    <row r="22" spans="1:45" ht="13.5" thickBot="1">
      <c r="A22" s="117"/>
      <c r="B22" s="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</row>
    <row r="23" spans="1:45" ht="12.75" customHeight="1">
      <c r="A23" s="117"/>
      <c r="B23" s="7"/>
      <c r="C23" s="112" t="s">
        <v>177</v>
      </c>
      <c r="D23" s="77" t="s">
        <v>99</v>
      </c>
      <c r="E23" s="78" t="s">
        <v>105</v>
      </c>
      <c r="F23" s="76"/>
      <c r="G23" s="112" t="s">
        <v>175</v>
      </c>
      <c r="H23" s="77" t="s">
        <v>99</v>
      </c>
      <c r="I23" s="78" t="s">
        <v>105</v>
      </c>
      <c r="J23" s="76"/>
      <c r="K23" s="112" t="s">
        <v>173</v>
      </c>
      <c r="L23" s="77" t="s">
        <v>99</v>
      </c>
      <c r="M23" s="78" t="s">
        <v>105</v>
      </c>
      <c r="N23" s="76"/>
      <c r="O23" s="112" t="s">
        <v>157</v>
      </c>
      <c r="P23" s="77" t="s">
        <v>99</v>
      </c>
      <c r="Q23" s="78" t="s">
        <v>105</v>
      </c>
      <c r="R23" s="76"/>
      <c r="S23" s="112" t="s">
        <v>158</v>
      </c>
      <c r="T23" s="77" t="s">
        <v>99</v>
      </c>
      <c r="U23" s="78" t="s">
        <v>105</v>
      </c>
      <c r="V23" s="76"/>
      <c r="W23" s="112" t="s">
        <v>159</v>
      </c>
      <c r="X23" s="77" t="s">
        <v>99</v>
      </c>
      <c r="Y23" s="78" t="s">
        <v>105</v>
      </c>
      <c r="Z23" s="76"/>
      <c r="AA23" s="112" t="s">
        <v>160</v>
      </c>
      <c r="AB23" s="77" t="s">
        <v>99</v>
      </c>
      <c r="AC23" s="78" t="s">
        <v>105</v>
      </c>
      <c r="AD23" s="76"/>
      <c r="AE23" s="112" t="s">
        <v>161</v>
      </c>
      <c r="AF23" s="77" t="s">
        <v>99</v>
      </c>
      <c r="AG23" s="78" t="s">
        <v>105</v>
      </c>
      <c r="AH23" s="76"/>
      <c r="AI23" s="112" t="s">
        <v>162</v>
      </c>
      <c r="AJ23" s="77" t="s">
        <v>99</v>
      </c>
      <c r="AK23" s="78" t="s">
        <v>105</v>
      </c>
      <c r="AL23" s="76"/>
      <c r="AM23" s="112" t="s">
        <v>163</v>
      </c>
      <c r="AN23" s="77" t="s">
        <v>99</v>
      </c>
      <c r="AO23" s="78" t="s">
        <v>105</v>
      </c>
      <c r="AP23" s="76"/>
      <c r="AQ23" s="76"/>
      <c r="AR23" s="76"/>
      <c r="AS23" s="76"/>
    </row>
    <row r="24" spans="1:45" ht="12.75" customHeight="1">
      <c r="A24" s="117"/>
      <c r="B24" s="7"/>
      <c r="C24" s="113"/>
      <c r="D24" s="79" t="s">
        <v>100</v>
      </c>
      <c r="E24" s="80"/>
      <c r="F24" s="76"/>
      <c r="G24" s="113"/>
      <c r="H24" s="79" t="s">
        <v>100</v>
      </c>
      <c r="I24" s="80"/>
      <c r="J24" s="76"/>
      <c r="K24" s="113"/>
      <c r="L24" s="79" t="s">
        <v>100</v>
      </c>
      <c r="M24" s="80"/>
      <c r="N24" s="76"/>
      <c r="O24" s="113"/>
      <c r="P24" s="79" t="s">
        <v>100</v>
      </c>
      <c r="Q24" s="80"/>
      <c r="R24" s="76"/>
      <c r="S24" s="113"/>
      <c r="T24" s="79" t="s">
        <v>100</v>
      </c>
      <c r="U24" s="80"/>
      <c r="V24" s="76"/>
      <c r="W24" s="113"/>
      <c r="X24" s="79" t="s">
        <v>100</v>
      </c>
      <c r="Y24" s="80"/>
      <c r="Z24" s="76"/>
      <c r="AA24" s="113"/>
      <c r="AB24" s="79" t="s">
        <v>100</v>
      </c>
      <c r="AC24" s="80"/>
      <c r="AD24" s="76"/>
      <c r="AE24" s="113"/>
      <c r="AF24" s="79" t="s">
        <v>100</v>
      </c>
      <c r="AG24" s="80"/>
      <c r="AH24" s="76"/>
      <c r="AI24" s="113"/>
      <c r="AJ24" s="79" t="s">
        <v>100</v>
      </c>
      <c r="AK24" s="80"/>
      <c r="AL24" s="76"/>
      <c r="AM24" s="113"/>
      <c r="AN24" s="79" t="s">
        <v>100</v>
      </c>
      <c r="AO24" s="80"/>
      <c r="AP24" s="76"/>
      <c r="AQ24" s="76"/>
      <c r="AR24" s="76"/>
      <c r="AS24" s="76"/>
    </row>
    <row r="25" spans="1:45" ht="12.75" customHeight="1">
      <c r="A25" s="117"/>
      <c r="B25" s="7"/>
      <c r="C25" s="113"/>
      <c r="D25" s="79" t="s">
        <v>101</v>
      </c>
      <c r="E25" s="80">
        <v>19.2</v>
      </c>
      <c r="F25" s="76">
        <f>0.6667*E25-1.1667</f>
        <v>11.633939999999999</v>
      </c>
      <c r="G25" s="113"/>
      <c r="H25" s="79" t="s">
        <v>101</v>
      </c>
      <c r="I25" s="80">
        <v>20.100000000000001</v>
      </c>
      <c r="J25" s="76">
        <f>0.6667*I25-1.1667</f>
        <v>12.233969999999999</v>
      </c>
      <c r="K25" s="113"/>
      <c r="L25" s="79" t="s">
        <v>101</v>
      </c>
      <c r="M25" s="80">
        <v>20</v>
      </c>
      <c r="N25" s="76">
        <f>0.6667*M25-1.1667</f>
        <v>12.167299999999999</v>
      </c>
      <c r="O25" s="113"/>
      <c r="P25" s="79" t="s">
        <v>101</v>
      </c>
      <c r="Q25" s="80">
        <v>19.8</v>
      </c>
      <c r="R25" s="76">
        <f>0.6667*Q25-1.1667</f>
        <v>12.033959999999999</v>
      </c>
      <c r="S25" s="113"/>
      <c r="T25" s="79" t="s">
        <v>101</v>
      </c>
      <c r="U25" s="80">
        <v>19.100000000000001</v>
      </c>
      <c r="V25" s="76">
        <f>0.6667*U25-1.1667</f>
        <v>11.567269999999999</v>
      </c>
      <c r="W25" s="113"/>
      <c r="X25" s="79" t="s">
        <v>101</v>
      </c>
      <c r="Y25" s="80">
        <v>20.9</v>
      </c>
      <c r="Z25" s="76">
        <f>0.6667*Y25-1.1667</f>
        <v>12.767329999999998</v>
      </c>
      <c r="AA25" s="113"/>
      <c r="AB25" s="79" t="s">
        <v>101</v>
      </c>
      <c r="AC25" s="80">
        <v>20</v>
      </c>
      <c r="AD25" s="76">
        <f>0.6667*AC25-1.1667</f>
        <v>12.167299999999999</v>
      </c>
      <c r="AE25" s="113"/>
      <c r="AF25" s="79" t="s">
        <v>101</v>
      </c>
      <c r="AG25" s="80">
        <v>19.7</v>
      </c>
      <c r="AH25" s="76">
        <f>0.6667*AG25-1.1667</f>
        <v>11.967289999999998</v>
      </c>
      <c r="AI25" s="113"/>
      <c r="AJ25" s="79" t="s">
        <v>101</v>
      </c>
      <c r="AK25" s="80">
        <v>20</v>
      </c>
      <c r="AL25" s="76">
        <f>0.6667*AK25-1.1667</f>
        <v>12.167299999999999</v>
      </c>
      <c r="AM25" s="113"/>
      <c r="AN25" s="79" t="s">
        <v>101</v>
      </c>
      <c r="AO25" s="80">
        <v>19.100000000000001</v>
      </c>
      <c r="AP25" s="76">
        <f>0.6667*AO25-1.1667</f>
        <v>11.567269999999999</v>
      </c>
      <c r="AQ25" s="76"/>
      <c r="AR25" s="76"/>
      <c r="AS25" s="76"/>
    </row>
    <row r="26" spans="1:45" ht="12.75" customHeight="1">
      <c r="A26" s="117"/>
      <c r="B26" s="7"/>
      <c r="C26" s="113"/>
      <c r="D26" s="79" t="s">
        <v>102</v>
      </c>
      <c r="E26" s="80">
        <v>19</v>
      </c>
      <c r="F26" s="76">
        <f t="shared" ref="F26:F28" si="0">0.6667*E26-1.1667</f>
        <v>11.500599999999999</v>
      </c>
      <c r="G26" s="113"/>
      <c r="H26" s="79" t="s">
        <v>102</v>
      </c>
      <c r="I26" s="80">
        <v>20.6</v>
      </c>
      <c r="J26" s="76">
        <f t="shared" ref="J26:J28" si="1">0.6667*I26-1.1667</f>
        <v>12.567319999999999</v>
      </c>
      <c r="K26" s="113"/>
      <c r="L26" s="79" t="s">
        <v>102</v>
      </c>
      <c r="M26" s="80">
        <v>20</v>
      </c>
      <c r="N26" s="76">
        <f t="shared" ref="N26:N28" si="2">0.6667*M26-1.1667</f>
        <v>12.167299999999999</v>
      </c>
      <c r="O26" s="113"/>
      <c r="P26" s="79" t="s">
        <v>102</v>
      </c>
      <c r="Q26" s="80">
        <v>19.7</v>
      </c>
      <c r="R26" s="76">
        <f t="shared" ref="R26:R28" si="3">0.6667*Q26-1.1667</f>
        <v>11.967289999999998</v>
      </c>
      <c r="S26" s="113"/>
      <c r="T26" s="79" t="s">
        <v>102</v>
      </c>
      <c r="U26" s="80">
        <v>19</v>
      </c>
      <c r="V26" s="76">
        <f t="shared" ref="V26:V28" si="4">0.6667*U26-1.1667</f>
        <v>11.500599999999999</v>
      </c>
      <c r="W26" s="113"/>
      <c r="X26" s="79" t="s">
        <v>102</v>
      </c>
      <c r="Y26" s="80">
        <v>20.8</v>
      </c>
      <c r="Z26" s="76">
        <f t="shared" ref="Z26:Z28" si="5">0.6667*Y26-1.1667</f>
        <v>12.700659999999999</v>
      </c>
      <c r="AA26" s="113"/>
      <c r="AB26" s="79" t="s">
        <v>102</v>
      </c>
      <c r="AC26" s="80">
        <v>19.399999999999999</v>
      </c>
      <c r="AD26" s="76">
        <f t="shared" ref="AD26:AD28" si="6">0.6667*AC26-1.1667</f>
        <v>11.767279999999998</v>
      </c>
      <c r="AE26" s="113"/>
      <c r="AF26" s="79" t="s">
        <v>102</v>
      </c>
      <c r="AG26" s="80">
        <v>19.7</v>
      </c>
      <c r="AH26" s="76">
        <f t="shared" ref="AH26:AH28" si="7">0.6667*AG26-1.1667</f>
        <v>11.967289999999998</v>
      </c>
      <c r="AI26" s="113"/>
      <c r="AJ26" s="79" t="s">
        <v>102</v>
      </c>
      <c r="AK26" s="80">
        <v>19.7</v>
      </c>
      <c r="AL26" s="76">
        <f t="shared" ref="AL26:AL28" si="8">0.6667*AK26-1.1667</f>
        <v>11.967289999999998</v>
      </c>
      <c r="AM26" s="113"/>
      <c r="AN26" s="79" t="s">
        <v>102</v>
      </c>
      <c r="AO26" s="80">
        <v>19.100000000000001</v>
      </c>
      <c r="AP26" s="76">
        <f t="shared" ref="AP26:AP28" si="9">0.6667*AO26-1.1667</f>
        <v>11.567269999999999</v>
      </c>
      <c r="AQ26" s="76"/>
      <c r="AR26" s="76"/>
      <c r="AS26" s="76"/>
    </row>
    <row r="27" spans="1:45" ht="12.75" customHeight="1">
      <c r="A27" s="117"/>
      <c r="B27" s="7"/>
      <c r="C27" s="113"/>
      <c r="D27" s="79" t="s">
        <v>103</v>
      </c>
      <c r="E27" s="80">
        <v>19</v>
      </c>
      <c r="F27" s="76">
        <f t="shared" si="0"/>
        <v>11.500599999999999</v>
      </c>
      <c r="G27" s="113"/>
      <c r="H27" s="79" t="s">
        <v>103</v>
      </c>
      <c r="I27" s="80">
        <v>19.399999999999999</v>
      </c>
      <c r="J27" s="76">
        <f t="shared" si="1"/>
        <v>11.767279999999998</v>
      </c>
      <c r="K27" s="113"/>
      <c r="L27" s="79" t="s">
        <v>103</v>
      </c>
      <c r="M27" s="83">
        <v>18.600000000000001</v>
      </c>
      <c r="N27" s="76">
        <f t="shared" si="2"/>
        <v>11.233919999999999</v>
      </c>
      <c r="O27" s="113"/>
      <c r="P27" s="79" t="s">
        <v>103</v>
      </c>
      <c r="Q27" s="80">
        <v>18.600000000000001</v>
      </c>
      <c r="R27" s="76">
        <f t="shared" si="3"/>
        <v>11.233919999999999</v>
      </c>
      <c r="S27" s="113"/>
      <c r="T27" s="79" t="s">
        <v>103</v>
      </c>
      <c r="U27" s="80">
        <v>19.2</v>
      </c>
      <c r="V27" s="76">
        <f t="shared" si="4"/>
        <v>11.633939999999999</v>
      </c>
      <c r="W27" s="113"/>
      <c r="X27" s="79" t="s">
        <v>103</v>
      </c>
      <c r="Y27" s="80">
        <v>18.7</v>
      </c>
      <c r="Z27" s="76">
        <f t="shared" si="5"/>
        <v>11.300589999999998</v>
      </c>
      <c r="AA27" s="113"/>
      <c r="AB27" s="79" t="s">
        <v>103</v>
      </c>
      <c r="AC27" s="80">
        <v>19.600000000000001</v>
      </c>
      <c r="AD27" s="76">
        <f t="shared" si="6"/>
        <v>11.90062</v>
      </c>
      <c r="AE27" s="113"/>
      <c r="AF27" s="79" t="s">
        <v>103</v>
      </c>
      <c r="AG27" s="83">
        <v>18.600000000000001</v>
      </c>
      <c r="AH27" s="76">
        <f t="shared" si="7"/>
        <v>11.233919999999999</v>
      </c>
      <c r="AI27" s="113"/>
      <c r="AJ27" s="79" t="s">
        <v>103</v>
      </c>
      <c r="AK27" s="80">
        <v>20.100000000000001</v>
      </c>
      <c r="AL27" s="76">
        <f t="shared" si="8"/>
        <v>12.233969999999999</v>
      </c>
      <c r="AM27" s="113"/>
      <c r="AN27" s="79" t="s">
        <v>103</v>
      </c>
      <c r="AO27" s="80">
        <v>18.899999999999999</v>
      </c>
      <c r="AP27" s="76">
        <f t="shared" si="9"/>
        <v>11.433929999999998</v>
      </c>
      <c r="AQ27" s="76"/>
      <c r="AR27" s="76"/>
      <c r="AS27" s="76"/>
    </row>
    <row r="28" spans="1:45" ht="13.5" customHeight="1" thickBot="1">
      <c r="A28" s="117"/>
      <c r="B28" s="7"/>
      <c r="C28" s="114"/>
      <c r="D28" s="81" t="s">
        <v>104</v>
      </c>
      <c r="E28" s="82">
        <v>18.7</v>
      </c>
      <c r="F28" s="76">
        <f t="shared" si="0"/>
        <v>11.300589999999998</v>
      </c>
      <c r="G28" s="114"/>
      <c r="H28" s="81" t="s">
        <v>104</v>
      </c>
      <c r="I28" s="82">
        <v>19.399999999999999</v>
      </c>
      <c r="J28" s="76">
        <f t="shared" si="1"/>
        <v>11.767279999999998</v>
      </c>
      <c r="K28" s="114"/>
      <c r="L28" s="81" t="s">
        <v>104</v>
      </c>
      <c r="M28" s="82">
        <v>19.100000000000001</v>
      </c>
      <c r="N28" s="76">
        <f t="shared" si="2"/>
        <v>11.567269999999999</v>
      </c>
      <c r="O28" s="114"/>
      <c r="P28" s="81" t="s">
        <v>104</v>
      </c>
      <c r="Q28" s="82">
        <v>18.8</v>
      </c>
      <c r="R28" s="76">
        <f t="shared" si="3"/>
        <v>11.36726</v>
      </c>
      <c r="S28" s="114"/>
      <c r="T28" s="81" t="s">
        <v>104</v>
      </c>
      <c r="U28" s="84">
        <v>18.7</v>
      </c>
      <c r="V28" s="76">
        <f t="shared" si="4"/>
        <v>11.300589999999998</v>
      </c>
      <c r="W28" s="114"/>
      <c r="X28" s="81" t="s">
        <v>104</v>
      </c>
      <c r="Y28" s="82">
        <v>19.2</v>
      </c>
      <c r="Z28" s="76">
        <f t="shared" si="5"/>
        <v>11.633939999999999</v>
      </c>
      <c r="AA28" s="114"/>
      <c r="AB28" s="81" t="s">
        <v>104</v>
      </c>
      <c r="AC28" s="82">
        <v>19.100000000000001</v>
      </c>
      <c r="AD28" s="76">
        <f t="shared" si="6"/>
        <v>11.567269999999999</v>
      </c>
      <c r="AE28" s="114"/>
      <c r="AF28" s="81" t="s">
        <v>104</v>
      </c>
      <c r="AG28" s="82">
        <v>18.8</v>
      </c>
      <c r="AH28" s="76">
        <f t="shared" si="7"/>
        <v>11.36726</v>
      </c>
      <c r="AI28" s="114"/>
      <c r="AJ28" s="81" t="s">
        <v>104</v>
      </c>
      <c r="AK28" s="82">
        <v>19.8</v>
      </c>
      <c r="AL28" s="76">
        <f t="shared" si="8"/>
        <v>12.033959999999999</v>
      </c>
      <c r="AM28" s="114"/>
      <c r="AN28" s="81" t="s">
        <v>104</v>
      </c>
      <c r="AO28" s="82">
        <v>19</v>
      </c>
      <c r="AP28" s="76">
        <f t="shared" si="9"/>
        <v>11.500599999999999</v>
      </c>
      <c r="AQ28" s="76"/>
      <c r="AR28" s="35"/>
      <c r="AS28" s="76"/>
    </row>
    <row r="29" spans="1:45" ht="13.5" thickBot="1">
      <c r="A29" s="117"/>
      <c r="B29" s="7"/>
      <c r="C29" s="76"/>
      <c r="D29" s="76"/>
      <c r="E29" s="76"/>
      <c r="F29" s="76"/>
      <c r="G29" s="76"/>
      <c r="H29" s="76"/>
      <c r="I29" s="76"/>
      <c r="J29" s="35"/>
      <c r="K29" s="76"/>
      <c r="L29" s="35"/>
      <c r="M29" s="76"/>
      <c r="N29" s="35"/>
      <c r="O29" s="76"/>
      <c r="P29" s="35"/>
      <c r="Q29" s="76"/>
      <c r="R29" s="35"/>
      <c r="S29" s="76"/>
      <c r="T29" s="35"/>
      <c r="U29" s="76"/>
      <c r="V29" s="35"/>
      <c r="W29" s="76"/>
      <c r="X29" s="35"/>
      <c r="Y29" s="76"/>
      <c r="Z29" s="35"/>
      <c r="AA29" s="76"/>
      <c r="AB29" s="35"/>
      <c r="AC29" s="76"/>
      <c r="AD29" s="35"/>
      <c r="AE29" s="76"/>
      <c r="AF29" s="35"/>
      <c r="AG29" s="76"/>
      <c r="AH29" s="35"/>
      <c r="AI29" s="76"/>
      <c r="AJ29" s="35"/>
      <c r="AK29" s="76"/>
      <c r="AL29" s="35"/>
      <c r="AM29" s="76"/>
      <c r="AN29" s="35"/>
      <c r="AO29" s="76"/>
      <c r="AP29" s="35"/>
      <c r="AQ29" s="76"/>
      <c r="AR29" s="35"/>
      <c r="AS29" s="76"/>
    </row>
    <row r="30" spans="1:45" ht="12.75" customHeight="1">
      <c r="A30" s="117"/>
      <c r="B30" s="7"/>
      <c r="C30" s="76"/>
      <c r="D30" s="76"/>
      <c r="E30" s="112" t="s">
        <v>176</v>
      </c>
      <c r="F30" s="77" t="s">
        <v>99</v>
      </c>
      <c r="G30" s="78" t="s">
        <v>105</v>
      </c>
      <c r="H30" s="76"/>
      <c r="I30" s="112" t="s">
        <v>174</v>
      </c>
      <c r="J30" s="77" t="s">
        <v>99</v>
      </c>
      <c r="K30" s="78" t="s">
        <v>105</v>
      </c>
      <c r="L30" s="35"/>
      <c r="M30" s="112" t="s">
        <v>172</v>
      </c>
      <c r="N30" s="77" t="s">
        <v>99</v>
      </c>
      <c r="O30" s="78" t="s">
        <v>105</v>
      </c>
      <c r="P30" s="35"/>
      <c r="Q30" s="112" t="s">
        <v>164</v>
      </c>
      <c r="R30" s="77" t="s">
        <v>99</v>
      </c>
      <c r="S30" s="78" t="s">
        <v>105</v>
      </c>
      <c r="T30" s="35"/>
      <c r="U30" s="112" t="s">
        <v>165</v>
      </c>
      <c r="V30" s="77" t="s">
        <v>99</v>
      </c>
      <c r="W30" s="78" t="s">
        <v>105</v>
      </c>
      <c r="X30" s="35"/>
      <c r="Y30" s="112" t="s">
        <v>166</v>
      </c>
      <c r="Z30" s="77" t="s">
        <v>99</v>
      </c>
      <c r="AA30" s="78" t="s">
        <v>105</v>
      </c>
      <c r="AB30" s="35"/>
      <c r="AC30" s="112" t="s">
        <v>167</v>
      </c>
      <c r="AD30" s="77" t="s">
        <v>99</v>
      </c>
      <c r="AE30" s="78" t="s">
        <v>105</v>
      </c>
      <c r="AF30" s="35"/>
      <c r="AG30" s="112" t="s">
        <v>168</v>
      </c>
      <c r="AH30" s="77" t="s">
        <v>99</v>
      </c>
      <c r="AI30" s="78" t="s">
        <v>105</v>
      </c>
      <c r="AJ30" s="35"/>
      <c r="AK30" s="112" t="s">
        <v>169</v>
      </c>
      <c r="AL30" s="77" t="s">
        <v>99</v>
      </c>
      <c r="AM30" s="78" t="s">
        <v>138</v>
      </c>
      <c r="AN30" s="35"/>
      <c r="AO30" s="112" t="s">
        <v>170</v>
      </c>
      <c r="AP30" s="77" t="s">
        <v>99</v>
      </c>
      <c r="AQ30" s="78" t="s">
        <v>105</v>
      </c>
      <c r="AR30" s="35"/>
      <c r="AS30" s="76"/>
    </row>
    <row r="31" spans="1:45" ht="12.75" customHeight="1">
      <c r="A31" s="117"/>
      <c r="B31" s="7"/>
      <c r="C31" s="76"/>
      <c r="D31" s="76"/>
      <c r="E31" s="113"/>
      <c r="F31" s="79" t="s">
        <v>100</v>
      </c>
      <c r="G31" s="80"/>
      <c r="H31" s="76"/>
      <c r="I31" s="113"/>
      <c r="J31" s="79" t="s">
        <v>100</v>
      </c>
      <c r="K31" s="80"/>
      <c r="L31" s="35"/>
      <c r="M31" s="113"/>
      <c r="N31" s="79" t="s">
        <v>100</v>
      </c>
      <c r="O31" s="80"/>
      <c r="P31" s="35"/>
      <c r="Q31" s="113"/>
      <c r="R31" s="79" t="s">
        <v>100</v>
      </c>
      <c r="S31" s="80"/>
      <c r="T31" s="35"/>
      <c r="U31" s="113"/>
      <c r="V31" s="79" t="s">
        <v>100</v>
      </c>
      <c r="W31" s="80"/>
      <c r="X31" s="35"/>
      <c r="Y31" s="113"/>
      <c r="Z31" s="79" t="s">
        <v>100</v>
      </c>
      <c r="AA31" s="80"/>
      <c r="AB31" s="35"/>
      <c r="AC31" s="113"/>
      <c r="AD31" s="79" t="s">
        <v>100</v>
      </c>
      <c r="AE31" s="80"/>
      <c r="AF31" s="35"/>
      <c r="AG31" s="113"/>
      <c r="AH31" s="79" t="s">
        <v>100</v>
      </c>
      <c r="AI31" s="80"/>
      <c r="AJ31" s="35"/>
      <c r="AK31" s="113"/>
      <c r="AL31" s="79" t="s">
        <v>100</v>
      </c>
      <c r="AM31" s="80"/>
      <c r="AN31" s="35"/>
      <c r="AO31" s="113"/>
      <c r="AP31" s="79" t="s">
        <v>100</v>
      </c>
      <c r="AQ31" s="80"/>
      <c r="AR31" s="35"/>
      <c r="AS31" s="76"/>
    </row>
    <row r="32" spans="1:45" ht="12.75" customHeight="1">
      <c r="A32" s="117"/>
      <c r="B32" s="7"/>
      <c r="C32" s="76"/>
      <c r="D32" s="76"/>
      <c r="E32" s="113"/>
      <c r="F32" s="79" t="s">
        <v>101</v>
      </c>
      <c r="G32" s="80">
        <v>19.100000000000001</v>
      </c>
      <c r="H32" s="76">
        <f>0.6667*G32-1.1667</f>
        <v>11.567269999999999</v>
      </c>
      <c r="I32" s="113"/>
      <c r="J32" s="79" t="s">
        <v>101</v>
      </c>
      <c r="K32" s="80">
        <v>18.5</v>
      </c>
      <c r="L32" s="76">
        <f>0.6667*K32-1.1667</f>
        <v>11.167249999999999</v>
      </c>
      <c r="M32" s="113"/>
      <c r="N32" s="79" t="s">
        <v>101</v>
      </c>
      <c r="O32" s="80">
        <v>19</v>
      </c>
      <c r="P32" s="76">
        <f>0.6667*O32-1.1667</f>
        <v>11.500599999999999</v>
      </c>
      <c r="Q32" s="113"/>
      <c r="R32" s="79" t="s">
        <v>101</v>
      </c>
      <c r="S32" s="80">
        <v>19.7</v>
      </c>
      <c r="T32" s="76">
        <f>0.6667*S32-1.1667</f>
        <v>11.967289999999998</v>
      </c>
      <c r="U32" s="113"/>
      <c r="V32" s="79" t="s">
        <v>101</v>
      </c>
      <c r="W32" s="80">
        <v>19.3</v>
      </c>
      <c r="X32" s="35"/>
      <c r="Y32" s="113"/>
      <c r="Z32" s="79" t="s">
        <v>101</v>
      </c>
      <c r="AA32" s="80">
        <v>19.7</v>
      </c>
      <c r="AB32" s="76">
        <f>0.6667*AA32-1.1667</f>
        <v>11.967289999999998</v>
      </c>
      <c r="AC32" s="113"/>
      <c r="AD32" s="79" t="s">
        <v>101</v>
      </c>
      <c r="AE32" s="80">
        <v>19.2</v>
      </c>
      <c r="AF32" s="76">
        <f>0.6667*AE32-1.1667</f>
        <v>11.633939999999999</v>
      </c>
      <c r="AG32" s="113"/>
      <c r="AH32" s="79" t="s">
        <v>101</v>
      </c>
      <c r="AI32" s="80">
        <v>19</v>
      </c>
      <c r="AJ32" s="76">
        <f>0.6667*AI32-1.1667</f>
        <v>11.500599999999999</v>
      </c>
      <c r="AK32" s="113"/>
      <c r="AL32" s="79" t="s">
        <v>101</v>
      </c>
      <c r="AM32" s="80">
        <v>18.5</v>
      </c>
      <c r="AN32" s="76">
        <f>0.6667*AM32-1.1667</f>
        <v>11.167249999999999</v>
      </c>
      <c r="AO32" s="113"/>
      <c r="AP32" s="79" t="s">
        <v>101</v>
      </c>
      <c r="AQ32" s="80">
        <v>19.3</v>
      </c>
      <c r="AR32" s="76">
        <f>0.6667*AQ32-1.1667</f>
        <v>11.700609999999999</v>
      </c>
      <c r="AS32" s="76"/>
    </row>
    <row r="33" spans="1:45" ht="12.75" customHeight="1">
      <c r="A33" s="117"/>
      <c r="B33" s="7"/>
      <c r="C33" s="76"/>
      <c r="D33" s="76"/>
      <c r="E33" s="113"/>
      <c r="F33" s="79" t="s">
        <v>102</v>
      </c>
      <c r="G33" s="80">
        <v>19.100000000000001</v>
      </c>
      <c r="H33" s="76">
        <f t="shared" ref="H33:H35" si="10">0.6667*G33-1.1667</f>
        <v>11.567269999999999</v>
      </c>
      <c r="I33" s="113"/>
      <c r="J33" s="79" t="s">
        <v>102</v>
      </c>
      <c r="K33" s="83">
        <v>18.600000000000001</v>
      </c>
      <c r="L33" s="76">
        <f t="shared" ref="L33:L35" si="11">0.6667*K33-1.1667</f>
        <v>11.233919999999999</v>
      </c>
      <c r="M33" s="113"/>
      <c r="N33" s="79" t="s">
        <v>102</v>
      </c>
      <c r="O33" s="80">
        <v>19</v>
      </c>
      <c r="P33" s="76">
        <f t="shared" ref="P33:P35" si="12">0.6667*O33-1.1667</f>
        <v>11.500599999999999</v>
      </c>
      <c r="Q33" s="113"/>
      <c r="R33" s="79" t="s">
        <v>102</v>
      </c>
      <c r="S33" s="80">
        <v>19.7</v>
      </c>
      <c r="T33" s="76">
        <f t="shared" ref="T33:T35" si="13">0.6667*S33-1.1667</f>
        <v>11.967289999999998</v>
      </c>
      <c r="U33" s="113"/>
      <c r="V33" s="79" t="s">
        <v>102</v>
      </c>
      <c r="W33" s="80">
        <v>19</v>
      </c>
      <c r="X33" s="35"/>
      <c r="Y33" s="113"/>
      <c r="Z33" s="79" t="s">
        <v>102</v>
      </c>
      <c r="AA33" s="80">
        <v>19.3</v>
      </c>
      <c r="AB33" s="76">
        <f t="shared" ref="AB33:AB35" si="14">0.6667*AA33-1.1667</f>
        <v>11.700609999999999</v>
      </c>
      <c r="AC33" s="113"/>
      <c r="AD33" s="79" t="s">
        <v>102</v>
      </c>
      <c r="AE33" s="80">
        <v>19.399999999999999</v>
      </c>
      <c r="AF33" s="76">
        <f t="shared" ref="AF33:AF35" si="15">0.6667*AE33-1.1667</f>
        <v>11.767279999999998</v>
      </c>
      <c r="AG33" s="113"/>
      <c r="AH33" s="79" t="s">
        <v>102</v>
      </c>
      <c r="AI33" s="83">
        <v>18.600000000000001</v>
      </c>
      <c r="AJ33" s="76">
        <f t="shared" ref="AJ33:AJ35" si="16">0.6667*AI33-1.1667</f>
        <v>11.233919999999999</v>
      </c>
      <c r="AK33" s="113"/>
      <c r="AL33" s="79" t="s">
        <v>102</v>
      </c>
      <c r="AM33" s="80">
        <v>19</v>
      </c>
      <c r="AN33" s="76">
        <f t="shared" ref="AN33:AN35" si="17">0.6667*AM33-1.1667</f>
        <v>11.500599999999999</v>
      </c>
      <c r="AO33" s="113"/>
      <c r="AP33" s="79" t="s">
        <v>102</v>
      </c>
      <c r="AQ33" s="80">
        <v>19.7</v>
      </c>
      <c r="AR33" s="76">
        <f t="shared" ref="AR33:AR35" si="18">0.6667*AQ33-1.1667</f>
        <v>11.967289999999998</v>
      </c>
      <c r="AS33" s="76"/>
    </row>
    <row r="34" spans="1:45" ht="12.75" customHeight="1">
      <c r="A34" s="117"/>
      <c r="B34" s="7"/>
      <c r="C34" s="76"/>
      <c r="D34" s="76"/>
      <c r="E34" s="113"/>
      <c r="F34" s="79" t="s">
        <v>103</v>
      </c>
      <c r="G34" s="80">
        <v>18.100000000000001</v>
      </c>
      <c r="H34" s="76">
        <f t="shared" si="10"/>
        <v>10.90057</v>
      </c>
      <c r="I34" s="113"/>
      <c r="J34" s="79" t="s">
        <v>103</v>
      </c>
      <c r="K34" s="83">
        <v>18.3</v>
      </c>
      <c r="L34" s="76">
        <f t="shared" si="11"/>
        <v>11.033909999999999</v>
      </c>
      <c r="M34" s="113"/>
      <c r="N34" s="79" t="s">
        <v>103</v>
      </c>
      <c r="O34" s="83">
        <v>18.8</v>
      </c>
      <c r="P34" s="76">
        <f t="shared" si="12"/>
        <v>11.36726</v>
      </c>
      <c r="Q34" s="113"/>
      <c r="R34" s="79" t="s">
        <v>103</v>
      </c>
      <c r="S34" s="80">
        <v>19</v>
      </c>
      <c r="T34" s="76">
        <f t="shared" si="13"/>
        <v>11.500599999999999</v>
      </c>
      <c r="U34" s="113"/>
      <c r="V34" s="79" t="s">
        <v>103</v>
      </c>
      <c r="W34" s="80">
        <v>19.3</v>
      </c>
      <c r="X34" s="35"/>
      <c r="Y34" s="113"/>
      <c r="Z34" s="79" t="s">
        <v>103</v>
      </c>
      <c r="AA34" s="80">
        <v>19.399999999999999</v>
      </c>
      <c r="AB34" s="76">
        <f t="shared" si="14"/>
        <v>11.767279999999998</v>
      </c>
      <c r="AC34" s="113"/>
      <c r="AD34" s="79" t="s">
        <v>103</v>
      </c>
      <c r="AE34" s="80">
        <v>19.7</v>
      </c>
      <c r="AF34" s="76">
        <f t="shared" si="15"/>
        <v>11.967289999999998</v>
      </c>
      <c r="AG34" s="113"/>
      <c r="AH34" s="79" t="s">
        <v>103</v>
      </c>
      <c r="AI34" s="80">
        <v>18.7</v>
      </c>
      <c r="AJ34" s="76">
        <f t="shared" si="16"/>
        <v>11.300589999999998</v>
      </c>
      <c r="AK34" s="113"/>
      <c r="AL34" s="79" t="s">
        <v>103</v>
      </c>
      <c r="AM34" s="80">
        <v>18.2</v>
      </c>
      <c r="AN34" s="76">
        <f t="shared" si="17"/>
        <v>10.967239999999999</v>
      </c>
      <c r="AO34" s="113"/>
      <c r="AP34" s="79" t="s">
        <v>103</v>
      </c>
      <c r="AQ34" s="80">
        <v>18.399999999999999</v>
      </c>
      <c r="AR34" s="76">
        <f t="shared" si="18"/>
        <v>11.100579999999997</v>
      </c>
      <c r="AS34" s="76"/>
    </row>
    <row r="35" spans="1:45" ht="13.5" customHeight="1" thickBot="1">
      <c r="A35" s="118"/>
      <c r="B35" s="7"/>
      <c r="C35" s="76"/>
      <c r="D35" s="76"/>
      <c r="E35" s="114"/>
      <c r="F35" s="81" t="s">
        <v>104</v>
      </c>
      <c r="G35" s="82">
        <v>19.3</v>
      </c>
      <c r="H35" s="76">
        <f t="shared" si="10"/>
        <v>11.700609999999999</v>
      </c>
      <c r="I35" s="114"/>
      <c r="J35" s="81" t="s">
        <v>104</v>
      </c>
      <c r="K35" s="82">
        <v>18.5</v>
      </c>
      <c r="L35" s="76">
        <f t="shared" si="11"/>
        <v>11.167249999999999</v>
      </c>
      <c r="M35" s="114"/>
      <c r="N35" s="81" t="s">
        <v>104</v>
      </c>
      <c r="O35" s="82">
        <v>19.100000000000001</v>
      </c>
      <c r="P35" s="76">
        <f t="shared" si="12"/>
        <v>11.567269999999999</v>
      </c>
      <c r="Q35" s="114"/>
      <c r="R35" s="81" t="s">
        <v>104</v>
      </c>
      <c r="S35" s="82">
        <v>18.899999999999999</v>
      </c>
      <c r="T35" s="76">
        <f t="shared" si="13"/>
        <v>11.433929999999998</v>
      </c>
      <c r="U35" s="114"/>
      <c r="V35" s="81" t="s">
        <v>104</v>
      </c>
      <c r="W35" s="82">
        <v>19.2</v>
      </c>
      <c r="X35" s="35"/>
      <c r="Y35" s="114"/>
      <c r="Z35" s="81" t="s">
        <v>104</v>
      </c>
      <c r="AA35" s="84">
        <v>19.2</v>
      </c>
      <c r="AB35" s="76">
        <f t="shared" si="14"/>
        <v>11.633939999999999</v>
      </c>
      <c r="AC35" s="114"/>
      <c r="AD35" s="81" t="s">
        <v>104</v>
      </c>
      <c r="AE35" s="84">
        <v>19.8</v>
      </c>
      <c r="AF35" s="76">
        <f t="shared" si="15"/>
        <v>12.033959999999999</v>
      </c>
      <c r="AG35" s="114"/>
      <c r="AH35" s="81" t="s">
        <v>104</v>
      </c>
      <c r="AI35" s="84">
        <v>19.100000000000001</v>
      </c>
      <c r="AJ35" s="76">
        <f t="shared" si="16"/>
        <v>11.567269999999999</v>
      </c>
      <c r="AK35" s="114"/>
      <c r="AL35" s="81" t="s">
        <v>104</v>
      </c>
      <c r="AM35" s="82">
        <v>18.8</v>
      </c>
      <c r="AN35" s="76">
        <f t="shared" si="17"/>
        <v>11.36726</v>
      </c>
      <c r="AO35" s="114"/>
      <c r="AP35" s="81" t="s">
        <v>104</v>
      </c>
      <c r="AQ35" s="84">
        <v>19</v>
      </c>
      <c r="AR35" s="76">
        <f t="shared" si="18"/>
        <v>11.500599999999999</v>
      </c>
      <c r="AS35" s="76"/>
    </row>
    <row r="36" spans="1:45"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</row>
    <row r="37" spans="1:45"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</row>
    <row r="38" spans="1:45"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</row>
    <row r="39" spans="1:45"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</row>
    <row r="40" spans="1:45">
      <c r="D40" s="76"/>
      <c r="E40" s="76"/>
      <c r="F40" s="76"/>
      <c r="G40" s="76"/>
      <c r="H40" s="76"/>
      <c r="I40" s="76"/>
      <c r="J40" s="7" t="s">
        <v>171</v>
      </c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</row>
    <row r="41" spans="1:45"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</row>
    <row r="42" spans="1:45"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</row>
    <row r="43" spans="1:45"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</row>
    <row r="44" spans="1:45"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</row>
    <row r="45" spans="1:45"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</row>
    <row r="46" spans="1:45"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</row>
    <row r="47" spans="1:45"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</row>
    <row r="48" spans="1:45"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</row>
    <row r="49" spans="4:14"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</row>
    <row r="50" spans="4:14"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</row>
  </sheetData>
  <protectedRanges>
    <protectedRange sqref="I9:I13 E9:E13" name="Bereich1_2_1"/>
    <protectedRange sqref="M9:M13 Q9:Q13 U9:U13 Y9:Y13 AC9:AC13 AG9:AG13 AK9:AK13 AO9:AO13" name="Bereich1_2_3"/>
    <protectedRange sqref="Y24:Y28" name="Bereich1_1_1_3"/>
  </protectedRanges>
  <mergeCells count="41">
    <mergeCell ref="Q15:Q20"/>
    <mergeCell ref="A8:A35"/>
    <mergeCell ref="C8:C13"/>
    <mergeCell ref="G8:G13"/>
    <mergeCell ref="K8:K13"/>
    <mergeCell ref="O8:O13"/>
    <mergeCell ref="E15:E20"/>
    <mergeCell ref="I15:I20"/>
    <mergeCell ref="M15:M20"/>
    <mergeCell ref="AM8:AM13"/>
    <mergeCell ref="C23:C28"/>
    <mergeCell ref="G23:G28"/>
    <mergeCell ref="K23:K28"/>
    <mergeCell ref="O23:O28"/>
    <mergeCell ref="S23:S28"/>
    <mergeCell ref="Y15:Y20"/>
    <mergeCell ref="AC15:AC20"/>
    <mergeCell ref="AG15:AG20"/>
    <mergeCell ref="AK15:AK20"/>
    <mergeCell ref="U15:U20"/>
    <mergeCell ref="W8:W13"/>
    <mergeCell ref="AA8:AA13"/>
    <mergeCell ref="AE8:AE13"/>
    <mergeCell ref="AI8:AI13"/>
    <mergeCell ref="S8:S13"/>
    <mergeCell ref="AO15:AO20"/>
    <mergeCell ref="E30:E35"/>
    <mergeCell ref="I30:I35"/>
    <mergeCell ref="M30:M35"/>
    <mergeCell ref="Q30:Q35"/>
    <mergeCell ref="U30:U35"/>
    <mergeCell ref="W23:W28"/>
    <mergeCell ref="AA23:AA28"/>
    <mergeCell ref="AE23:AE28"/>
    <mergeCell ref="AI23:AI28"/>
    <mergeCell ref="AM23:AM28"/>
    <mergeCell ref="Y30:Y35"/>
    <mergeCell ref="AC30:AC35"/>
    <mergeCell ref="AG30:AG35"/>
    <mergeCell ref="AK30:AK35"/>
    <mergeCell ref="AO30:AO35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C000"/>
  </sheetPr>
  <dimension ref="A1:E6"/>
  <sheetViews>
    <sheetView workbookViewId="0">
      <selection activeCell="D4" sqref="D4"/>
    </sheetView>
  </sheetViews>
  <sheetFormatPr baseColWidth="10" defaultColWidth="11.42578125" defaultRowHeight="12.75"/>
  <cols>
    <col min="1" max="1" width="10.140625" bestFit="1" customWidth="1"/>
    <col min="2" max="2" width="7.140625" style="11" bestFit="1" customWidth="1"/>
    <col min="3" max="3" width="7" bestFit="1" customWidth="1"/>
    <col min="4" max="4" width="82.42578125" customWidth="1"/>
    <col min="5" max="5" width="10.42578125" customWidth="1"/>
  </cols>
  <sheetData>
    <row r="1" spans="1:5">
      <c r="A1" s="4" t="s">
        <v>17</v>
      </c>
      <c r="B1" s="10" t="s">
        <v>20</v>
      </c>
      <c r="C1" s="4" t="s">
        <v>18</v>
      </c>
      <c r="D1" s="4" t="s">
        <v>19</v>
      </c>
    </row>
    <row r="2" spans="1:5">
      <c r="A2" s="9">
        <v>44354</v>
      </c>
      <c r="B2" s="11">
        <v>12632</v>
      </c>
      <c r="C2" s="7" t="s">
        <v>184</v>
      </c>
      <c r="D2" s="7" t="s">
        <v>216</v>
      </c>
    </row>
    <row r="3" spans="1:5">
      <c r="A3" s="9">
        <v>44470</v>
      </c>
      <c r="C3" s="7" t="s">
        <v>184</v>
      </c>
      <c r="D3" s="7" t="s">
        <v>228</v>
      </c>
      <c r="E3" s="7"/>
    </row>
    <row r="4" spans="1:5">
      <c r="A4" s="9">
        <v>44495</v>
      </c>
      <c r="C4" s="7" t="s">
        <v>184</v>
      </c>
      <c r="D4" s="7" t="s">
        <v>265</v>
      </c>
    </row>
    <row r="5" spans="1:5">
      <c r="A5" s="9"/>
      <c r="C5" s="7"/>
      <c r="D5" s="7"/>
    </row>
    <row r="6" spans="1:5">
      <c r="A6" s="9"/>
      <c r="C6" s="7"/>
      <c r="D6" s="7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/>
  </sheetPr>
  <dimension ref="A1:Y38"/>
  <sheetViews>
    <sheetView workbookViewId="0">
      <selection activeCell="T27" sqref="T27"/>
    </sheetView>
  </sheetViews>
  <sheetFormatPr baseColWidth="10" defaultColWidth="11.42578125" defaultRowHeight="12.75"/>
  <cols>
    <col min="1" max="1" width="71.28515625" style="7" bestFit="1" customWidth="1"/>
    <col min="2" max="14" width="1.7109375" style="7" customWidth="1"/>
    <col min="15" max="15" width="11.42578125" style="7"/>
    <col min="16" max="16" width="18.7109375" style="7" customWidth="1"/>
    <col min="17" max="17" width="11.42578125" style="7"/>
    <col min="18" max="18" width="7.7109375" style="7" customWidth="1"/>
    <col min="19" max="19" width="7.42578125" style="7" customWidth="1"/>
    <col min="20" max="20" width="4.7109375" style="7" customWidth="1"/>
    <col min="21" max="21" width="11.42578125" style="7"/>
    <col min="22" max="22" width="26.42578125" style="7" bestFit="1" customWidth="1"/>
    <col min="23" max="16384" width="11.42578125" style="7"/>
  </cols>
  <sheetData>
    <row r="1" spans="1:25">
      <c r="A1" s="7" t="s">
        <v>40</v>
      </c>
    </row>
    <row r="4" spans="1:25" ht="13.5" thickBot="1">
      <c r="A4" s="7" t="s">
        <v>41</v>
      </c>
    </row>
    <row r="5" spans="1:25" ht="13.5" thickBot="1">
      <c r="A5" s="42" t="s">
        <v>42</v>
      </c>
      <c r="P5" s="95" t="s">
        <v>229</v>
      </c>
      <c r="S5" s="96"/>
      <c r="T5" s="96"/>
    </row>
    <row r="6" spans="1:25">
      <c r="O6" s="97"/>
      <c r="P6" s="98"/>
      <c r="Q6" s="99"/>
      <c r="R6" s="99"/>
      <c r="S6" s="100" t="s">
        <v>230</v>
      </c>
      <c r="T6" s="100" t="s">
        <v>231</v>
      </c>
      <c r="U6" s="98" t="s">
        <v>232</v>
      </c>
      <c r="V6" s="98" t="s">
        <v>233</v>
      </c>
      <c r="W6" s="101"/>
    </row>
    <row r="7" spans="1:25">
      <c r="O7" s="102"/>
      <c r="P7" s="2"/>
      <c r="Q7" s="103"/>
      <c r="R7" s="2" t="s">
        <v>234</v>
      </c>
      <c r="S7" s="104">
        <v>0</v>
      </c>
      <c r="T7" s="104">
        <v>0</v>
      </c>
      <c r="U7" s="2"/>
      <c r="V7" s="2"/>
      <c r="W7" s="105"/>
      <c r="X7" s="4" t="s">
        <v>235</v>
      </c>
    </row>
    <row r="8" spans="1:25">
      <c r="O8" s="102"/>
      <c r="P8" s="106" t="str">
        <f>CONCATENATE(P17,P16,P15,P14)</f>
        <v>200C5C10</v>
      </c>
      <c r="Q8" s="2"/>
      <c r="R8" s="2" t="s">
        <v>234</v>
      </c>
      <c r="S8" s="104">
        <v>1</v>
      </c>
      <c r="T8" s="104">
        <v>0</v>
      </c>
      <c r="U8" s="2"/>
      <c r="V8" s="2"/>
      <c r="W8" s="105"/>
      <c r="X8" s="3" t="s">
        <v>236</v>
      </c>
      <c r="Y8" s="7" t="s">
        <v>237</v>
      </c>
    </row>
    <row r="9" spans="1:25">
      <c r="O9" s="102"/>
      <c r="P9" s="2"/>
      <c r="Q9" s="2"/>
      <c r="R9" s="2" t="s">
        <v>234</v>
      </c>
      <c r="S9" s="104">
        <v>2</v>
      </c>
      <c r="T9" s="104">
        <v>0</v>
      </c>
      <c r="U9" s="2"/>
      <c r="V9" s="2"/>
      <c r="W9" s="105"/>
      <c r="X9" s="3" t="s">
        <v>238</v>
      </c>
      <c r="Y9" s="7" t="s">
        <v>239</v>
      </c>
    </row>
    <row r="10" spans="1:25">
      <c r="O10" s="102"/>
      <c r="P10" s="2" t="str">
        <f>CONCATENATE($T$14,$T$13,$T$12,$T$11,$T$10,$T$9,$T$8,$T$7)</f>
        <v>00010000</v>
      </c>
      <c r="Q10" s="2" t="s">
        <v>240</v>
      </c>
      <c r="R10" s="2" t="s">
        <v>234</v>
      </c>
      <c r="S10" s="104">
        <v>3</v>
      </c>
      <c r="T10" s="104">
        <v>0</v>
      </c>
      <c r="U10" s="2"/>
      <c r="V10" s="2"/>
      <c r="W10" s="105"/>
      <c r="X10" s="3" t="s">
        <v>241</v>
      </c>
      <c r="Y10" s="7" t="s">
        <v>242</v>
      </c>
    </row>
    <row r="11" spans="1:25">
      <c r="O11" s="102"/>
      <c r="P11" s="2" t="str">
        <f>CONCATENATE($T$22,$T$21,$T$20,$T$19,$T$18,$T$17,$T$16,$T$15)</f>
        <v>01011100</v>
      </c>
      <c r="Q11" s="2" t="s">
        <v>243</v>
      </c>
      <c r="R11" s="2" t="s">
        <v>234</v>
      </c>
      <c r="S11" s="104">
        <v>4</v>
      </c>
      <c r="T11" s="104">
        <v>1</v>
      </c>
      <c r="U11" s="2"/>
      <c r="V11" s="2" t="s">
        <v>244</v>
      </c>
      <c r="W11" s="105"/>
    </row>
    <row r="12" spans="1:25">
      <c r="O12" s="102"/>
      <c r="P12" s="2" t="str">
        <f>CONCATENATE($T$30,$T$29,$T$28,$T$27,$T$26,$T$25,$T$24,$T$23)</f>
        <v>00001100</v>
      </c>
      <c r="Q12" s="2" t="s">
        <v>245</v>
      </c>
      <c r="R12" s="2" t="s">
        <v>234</v>
      </c>
      <c r="S12" s="104">
        <v>5</v>
      </c>
      <c r="T12" s="104">
        <v>0</v>
      </c>
      <c r="U12" s="2"/>
      <c r="V12" s="2"/>
      <c r="W12" s="105"/>
    </row>
    <row r="13" spans="1:25">
      <c r="O13" s="102"/>
      <c r="P13" s="2" t="str">
        <f>CONCATENATE($T$38,$T$37,$T$36,$T$35,$T$34,$T$33,$T$32,$T$31)</f>
        <v>00100000</v>
      </c>
      <c r="Q13" s="2" t="s">
        <v>246</v>
      </c>
      <c r="R13" s="2" t="s">
        <v>234</v>
      </c>
      <c r="S13" s="104">
        <v>6</v>
      </c>
      <c r="T13" s="104">
        <v>0</v>
      </c>
      <c r="U13" s="2"/>
      <c r="V13" s="2"/>
      <c r="W13" s="105"/>
    </row>
    <row r="14" spans="1:25">
      <c r="O14" s="102"/>
      <c r="P14" s="2" t="str">
        <f>RIGHT(CONCATENATE("00",BIN2HEX(P10)),2)</f>
        <v>10</v>
      </c>
      <c r="Q14" s="2" t="s">
        <v>240</v>
      </c>
      <c r="R14" s="2" t="s">
        <v>234</v>
      </c>
      <c r="S14" s="104">
        <v>7</v>
      </c>
      <c r="T14" s="104">
        <v>0</v>
      </c>
      <c r="U14" s="2"/>
      <c r="V14" s="2"/>
      <c r="W14" s="105"/>
    </row>
    <row r="15" spans="1:25">
      <c r="O15" s="102"/>
      <c r="P15" s="2" t="str">
        <f t="shared" ref="P15:P17" si="0">RIGHT(CONCATENATE("00",BIN2HEX(P11)),2)</f>
        <v>5C</v>
      </c>
      <c r="Q15" s="2" t="s">
        <v>243</v>
      </c>
      <c r="R15" s="2" t="s">
        <v>234</v>
      </c>
      <c r="S15" s="104">
        <v>8</v>
      </c>
      <c r="T15" s="104">
        <v>0</v>
      </c>
      <c r="U15" s="2" t="s">
        <v>247</v>
      </c>
      <c r="V15" s="2"/>
      <c r="W15" s="105"/>
    </row>
    <row r="16" spans="1:25">
      <c r="O16" s="102"/>
      <c r="P16" s="2" t="str">
        <f t="shared" si="0"/>
        <v>0C</v>
      </c>
      <c r="Q16" s="2" t="s">
        <v>245</v>
      </c>
      <c r="R16" s="2" t="s">
        <v>234</v>
      </c>
      <c r="S16" s="104">
        <v>9</v>
      </c>
      <c r="T16" s="104">
        <v>0</v>
      </c>
      <c r="U16" s="2" t="s">
        <v>248</v>
      </c>
      <c r="V16" s="2"/>
      <c r="W16" s="105"/>
    </row>
    <row r="17" spans="15:23">
      <c r="O17" s="102"/>
      <c r="P17" s="2" t="str">
        <f t="shared" si="0"/>
        <v>20</v>
      </c>
      <c r="Q17" s="2" t="s">
        <v>246</v>
      </c>
      <c r="R17" s="2" t="s">
        <v>234</v>
      </c>
      <c r="S17" s="104">
        <v>10</v>
      </c>
      <c r="T17" s="104">
        <v>1</v>
      </c>
      <c r="U17" s="2" t="s">
        <v>249</v>
      </c>
      <c r="V17" s="2"/>
      <c r="W17" s="105"/>
    </row>
    <row r="18" spans="15:23">
      <c r="O18" s="102"/>
      <c r="P18" s="2"/>
      <c r="Q18" s="2"/>
      <c r="R18" s="2" t="s">
        <v>234</v>
      </c>
      <c r="S18" s="104">
        <v>11</v>
      </c>
      <c r="T18" s="104">
        <v>1</v>
      </c>
      <c r="U18" s="2" t="s">
        <v>250</v>
      </c>
      <c r="V18" s="2"/>
      <c r="W18" s="105"/>
    </row>
    <row r="19" spans="15:23">
      <c r="O19" s="102"/>
      <c r="P19" s="2"/>
      <c r="Q19" s="2"/>
      <c r="R19" s="2" t="s">
        <v>234</v>
      </c>
      <c r="S19" s="104">
        <v>12</v>
      </c>
      <c r="T19" s="104">
        <v>1</v>
      </c>
      <c r="U19" s="2"/>
      <c r="V19" s="2" t="s">
        <v>251</v>
      </c>
      <c r="W19" s="105"/>
    </row>
    <row r="20" spans="15:23">
      <c r="O20" s="102"/>
      <c r="P20" s="2"/>
      <c r="Q20" s="2"/>
      <c r="R20" s="2" t="s">
        <v>234</v>
      </c>
      <c r="S20" s="104">
        <v>13</v>
      </c>
      <c r="T20" s="104">
        <v>0</v>
      </c>
      <c r="U20" s="2"/>
      <c r="V20" s="2" t="s">
        <v>252</v>
      </c>
      <c r="W20" s="105"/>
    </row>
    <row r="21" spans="15:23">
      <c r="O21" s="102"/>
      <c r="P21" s="2"/>
      <c r="Q21" s="2"/>
      <c r="R21" s="2" t="s">
        <v>234</v>
      </c>
      <c r="S21" s="104">
        <v>14</v>
      </c>
      <c r="T21" s="104">
        <v>1</v>
      </c>
      <c r="U21" s="2"/>
      <c r="V21" s="2" t="s">
        <v>253</v>
      </c>
      <c r="W21" s="105"/>
    </row>
    <row r="22" spans="15:23">
      <c r="O22" s="102"/>
      <c r="P22" s="2"/>
      <c r="Q22" s="2"/>
      <c r="R22" s="2" t="s">
        <v>234</v>
      </c>
      <c r="S22" s="104">
        <v>15</v>
      </c>
      <c r="T22" s="104">
        <v>0</v>
      </c>
      <c r="U22" s="2"/>
      <c r="V22" s="2"/>
      <c r="W22" s="105"/>
    </row>
    <row r="23" spans="15:23">
      <c r="O23" s="102"/>
      <c r="P23" s="2"/>
      <c r="Q23" s="2"/>
      <c r="R23" s="2" t="s">
        <v>234</v>
      </c>
      <c r="S23" s="104">
        <v>16</v>
      </c>
      <c r="T23" s="104">
        <v>0</v>
      </c>
      <c r="U23" s="2"/>
      <c r="V23" s="2" t="s">
        <v>254</v>
      </c>
      <c r="W23" s="105"/>
    </row>
    <row r="24" spans="15:23">
      <c r="O24" s="102"/>
      <c r="P24" s="2"/>
      <c r="Q24" s="2"/>
      <c r="R24" s="2" t="s">
        <v>234</v>
      </c>
      <c r="S24" s="104">
        <v>17</v>
      </c>
      <c r="T24" s="104">
        <v>0</v>
      </c>
      <c r="U24" s="2"/>
      <c r="V24" s="2" t="s">
        <v>255</v>
      </c>
      <c r="W24" s="105"/>
    </row>
    <row r="25" spans="15:23">
      <c r="O25" s="102"/>
      <c r="P25" s="2"/>
      <c r="Q25" s="2"/>
      <c r="R25" s="2" t="s">
        <v>234</v>
      </c>
      <c r="S25" s="104">
        <v>18</v>
      </c>
      <c r="T25" s="104">
        <v>1</v>
      </c>
      <c r="U25" s="2"/>
      <c r="V25" s="2" t="s">
        <v>256</v>
      </c>
      <c r="W25" s="105"/>
    </row>
    <row r="26" spans="15:23">
      <c r="O26" s="102"/>
      <c r="P26" s="2"/>
      <c r="Q26" s="2"/>
      <c r="R26" s="2" t="s">
        <v>234</v>
      </c>
      <c r="S26" s="104">
        <v>19</v>
      </c>
      <c r="T26" s="104">
        <v>1</v>
      </c>
      <c r="U26" s="2"/>
      <c r="V26" s="35" t="s">
        <v>266</v>
      </c>
      <c r="W26" s="105"/>
    </row>
    <row r="27" spans="15:23">
      <c r="O27" s="102"/>
      <c r="P27" s="2"/>
      <c r="Q27" s="2"/>
      <c r="R27" s="2" t="s">
        <v>234</v>
      </c>
      <c r="S27" s="104">
        <v>20</v>
      </c>
      <c r="T27" s="104">
        <v>0</v>
      </c>
      <c r="U27" s="2"/>
      <c r="V27" s="2"/>
      <c r="W27" s="105"/>
    </row>
    <row r="28" spans="15:23">
      <c r="O28" s="102"/>
      <c r="P28" s="2"/>
      <c r="Q28" s="2"/>
      <c r="R28" s="2" t="s">
        <v>234</v>
      </c>
      <c r="S28" s="104">
        <v>21</v>
      </c>
      <c r="T28" s="104">
        <v>0</v>
      </c>
      <c r="U28" s="2"/>
      <c r="V28" s="2"/>
      <c r="W28" s="105"/>
    </row>
    <row r="29" spans="15:23">
      <c r="O29" s="102"/>
      <c r="P29" s="2"/>
      <c r="Q29" s="2"/>
      <c r="R29" s="2" t="s">
        <v>234</v>
      </c>
      <c r="S29" s="104">
        <v>22</v>
      </c>
      <c r="T29" s="104">
        <v>0</v>
      </c>
      <c r="U29" s="2"/>
      <c r="V29" s="2"/>
      <c r="W29" s="105"/>
    </row>
    <row r="30" spans="15:23">
      <c r="O30" s="102"/>
      <c r="P30" s="2"/>
      <c r="Q30" s="2"/>
      <c r="R30" s="2" t="s">
        <v>234</v>
      </c>
      <c r="S30" s="104">
        <v>23</v>
      </c>
      <c r="T30" s="104">
        <v>0</v>
      </c>
      <c r="U30" s="2"/>
      <c r="V30" s="2"/>
      <c r="W30" s="105"/>
    </row>
    <row r="31" spans="15:23">
      <c r="O31" s="102"/>
      <c r="P31" s="2"/>
      <c r="Q31" s="2"/>
      <c r="R31" s="2" t="s">
        <v>234</v>
      </c>
      <c r="S31" s="104">
        <v>24</v>
      </c>
      <c r="T31" s="104">
        <v>0</v>
      </c>
      <c r="U31" s="2" t="s">
        <v>257</v>
      </c>
      <c r="V31" s="2"/>
      <c r="W31" s="105"/>
    </row>
    <row r="32" spans="15:23">
      <c r="O32" s="102"/>
      <c r="P32" s="2"/>
      <c r="Q32" s="2"/>
      <c r="R32" s="2" t="s">
        <v>234</v>
      </c>
      <c r="S32" s="104">
        <v>25</v>
      </c>
      <c r="T32" s="104">
        <v>0</v>
      </c>
      <c r="U32" s="2" t="s">
        <v>258</v>
      </c>
      <c r="V32" s="2" t="s">
        <v>259</v>
      </c>
      <c r="W32" s="105"/>
    </row>
    <row r="33" spans="15:23">
      <c r="O33" s="102"/>
      <c r="P33" s="2"/>
      <c r="Q33" s="2"/>
      <c r="R33" s="2" t="s">
        <v>234</v>
      </c>
      <c r="S33" s="104">
        <v>26</v>
      </c>
      <c r="T33" s="104">
        <v>0</v>
      </c>
      <c r="U33" s="2" t="s">
        <v>260</v>
      </c>
      <c r="V33" s="2" t="s">
        <v>261</v>
      </c>
      <c r="W33" s="105"/>
    </row>
    <row r="34" spans="15:23">
      <c r="O34" s="102"/>
      <c r="P34" s="2"/>
      <c r="Q34" s="2"/>
      <c r="R34" s="2" t="s">
        <v>234</v>
      </c>
      <c r="S34" s="104">
        <v>27</v>
      </c>
      <c r="T34" s="104">
        <v>0</v>
      </c>
      <c r="U34" s="2" t="s">
        <v>262</v>
      </c>
      <c r="V34" s="2" t="s">
        <v>263</v>
      </c>
      <c r="W34" s="105"/>
    </row>
    <row r="35" spans="15:23">
      <c r="O35" s="102"/>
      <c r="P35" s="2"/>
      <c r="Q35" s="2"/>
      <c r="R35" s="2" t="s">
        <v>234</v>
      </c>
      <c r="S35" s="104">
        <v>28</v>
      </c>
      <c r="T35" s="104">
        <v>0</v>
      </c>
      <c r="U35" s="2"/>
      <c r="V35" s="2"/>
      <c r="W35" s="105"/>
    </row>
    <row r="36" spans="15:23">
      <c r="O36" s="102"/>
      <c r="P36" s="2"/>
      <c r="Q36" s="2"/>
      <c r="R36" s="2" t="s">
        <v>234</v>
      </c>
      <c r="S36" s="104">
        <v>29</v>
      </c>
      <c r="T36" s="104">
        <v>1</v>
      </c>
      <c r="U36" s="2"/>
      <c r="V36" s="2"/>
      <c r="W36" s="105"/>
    </row>
    <row r="37" spans="15:23">
      <c r="O37" s="102"/>
      <c r="P37" s="2"/>
      <c r="Q37" s="2"/>
      <c r="R37" s="2" t="s">
        <v>234</v>
      </c>
      <c r="S37" s="104">
        <v>30</v>
      </c>
      <c r="T37" s="104">
        <v>0</v>
      </c>
      <c r="U37" s="2"/>
      <c r="V37" s="2"/>
      <c r="W37" s="105"/>
    </row>
    <row r="38" spans="15:23" ht="13.5" thickBot="1">
      <c r="O38" s="107"/>
      <c r="P38" s="108"/>
      <c r="Q38" s="108"/>
      <c r="R38" s="108" t="s">
        <v>234</v>
      </c>
      <c r="S38" s="109">
        <v>31</v>
      </c>
      <c r="T38" s="109">
        <v>0</v>
      </c>
      <c r="U38" s="108"/>
      <c r="V38" s="108"/>
      <c r="W38" s="110"/>
    </row>
  </sheetData>
  <conditionalFormatting sqref="T7:T38">
    <cfRule type="cellIs" dxfId="1" priority="1" operator="equal">
      <formula>0</formula>
    </cfRule>
    <cfRule type="cellIs" dxfId="0" priority="2" operator="equal">
      <formula>1</formula>
    </cfRule>
  </conditionalFormatting>
  <hyperlinks>
    <hyperlink ref="A5" r:id="rId1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StartUpXML</vt:lpstr>
      <vt:lpstr>DesignSheet</vt:lpstr>
      <vt:lpstr>translations</vt:lpstr>
      <vt:lpstr>Voltage Scaling</vt:lpstr>
      <vt:lpstr>Ref Voltages</vt:lpstr>
      <vt:lpstr>Revnote</vt:lpstr>
      <vt:lpstr>Help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Brönnimann Markus</dc:creator>
  <cp:lastModifiedBy>Höhler Andreas</cp:lastModifiedBy>
  <dcterms:created xsi:type="dcterms:W3CDTF">2013-08-20T13:33:08Z</dcterms:created>
  <dcterms:modified xsi:type="dcterms:W3CDTF">2022-04-08T06:45:48Z</dcterms:modified>
</cp:coreProperties>
</file>